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3B0A75CB-2237-4172-990E-26C392AA4838}" xr6:coauthVersionLast="47" xr6:coauthVersionMax="47" xr10:uidLastSave="{00000000-0000-0000-0000-000000000000}"/>
  <bookViews>
    <workbookView xWindow="-120" yWindow="-120" windowWidth="29040" windowHeight="17520" firstSheet="27" activeTab="33" xr2:uid="{212DEBC7-6C81-4411-ABFA-7C03DBB89FE6}"/>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Alt T" sheetId="60" r:id="rId17"/>
    <sheet name="AEO 2025 Table 36 Alt T" sheetId="62" r:id="rId18"/>
    <sheet name="AEO 2025 Table 49" sheetId="63" r:id="rId19"/>
    <sheet name="AEO 2025 Table 43" sheetId="64" r:id="rId20"/>
    <sheet name="SYVbT-passenger" sheetId="39" r:id="rId21"/>
    <sheet name="SYVbT-freight" sheetId="37" r:id="rId22"/>
    <sheet name="BAADTbVT-passenger" sheetId="40" r:id="rId23"/>
    <sheet name="BAADTbVT-frgt" sheetId="38" r:id="rId24"/>
    <sheet name="NTS 1-40" sheetId="20" r:id="rId25"/>
    <sheet name="NRBS 40" sheetId="19" r:id="rId26"/>
    <sheet name="Annual Service Data_rail only" sheetId="49" r:id="rId27"/>
    <sheet name="EPA-Annex3-Table A94" sheetId="61" r:id="rId28"/>
    <sheet name="Fuel and Energy_rail only" sheetId="50" r:id="rId29"/>
    <sheet name="calcs&gt;" sheetId="54" r:id="rId30"/>
    <sheet name="Calibration Adjustments" sheetId="25" r:id="rId31"/>
    <sheet name="psgr rail calcs" sheetId="51" r:id="rId32"/>
    <sheet name="Calculations Etc" sheetId="18" r:id="rId33"/>
    <sheet name="calcs" sheetId="55" r:id="rId34"/>
    <sheet name="SYFAFE-psgr" sheetId="23" r:id="rId35"/>
    <sheet name="SYFAFE-frgt" sheetId="24" r:id="rId36"/>
  </sheets>
  <externalReferences>
    <externalReference r:id="rId37"/>
    <externalReference r:id="rId38"/>
    <externalReference r:id="rId39"/>
  </externalReferences>
  <definedNames>
    <definedName name="_xlnm._FilterDatabase" localSheetId="26" hidden="1">'Annual Service Data_rail only'!$A$1:$AX$1</definedName>
    <definedName name="billion">About!$A$84</definedName>
    <definedName name="CH4GWP">#REF!</definedName>
    <definedName name="Eno_TM" localSheetId="17">'[1]1997  Table 1a Modified'!#REF!</definedName>
    <definedName name="Eno_TM" localSheetId="16">#REF!</definedName>
    <definedName name="Eno_TM" localSheetId="24">'[2]1997  Table 1a Modified'!#REF!</definedName>
    <definedName name="Eno_TM" localSheetId="35">'[2]1997  Table 1a Modified'!#REF!</definedName>
    <definedName name="Eno_TM">'[2]1997  Table 1a Modified'!#REF!</definedName>
    <definedName name="Eno_Tons" localSheetId="17">'[1]1997  Table 1a Modified'!#REF!</definedName>
    <definedName name="Eno_Tons" localSheetId="16">#REF!</definedName>
    <definedName name="Eno_Tons" localSheetId="24">'[2]1997  Table 1a Modified'!#REF!</definedName>
    <definedName name="Eno_Tons" localSheetId="35">'[2]1997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7">'[1]1997  Table 1a Modified'!#REF!</definedName>
    <definedName name="Sum_T2" localSheetId="16">#REF!</definedName>
    <definedName name="Sum_T2" localSheetId="24">'[2]1997  Table 1a Modified'!#REF!</definedName>
    <definedName name="Sum_T2" localSheetId="35">'[2]1997  Table 1a Modified'!#REF!</definedName>
    <definedName name="Sum_T2">'[2]1997  Table 1a Modified'!#REF!</definedName>
    <definedName name="Sum_TTM" localSheetId="17">'[1]1997  Table 1a Modified'!#REF!</definedName>
    <definedName name="Sum_TTM" localSheetId="16">#REF!</definedName>
    <definedName name="Sum_TTM" localSheetId="24">'[2]1997  Table 1a Modified'!#REF!</definedName>
    <definedName name="Sum_TTM" localSheetId="35">'[2]1997  Table 1a Modified'!#REF!</definedName>
    <definedName name="Sum_TTM">'[2]1997  Table 1a Modified'!#REF!</definedName>
    <definedName name="ti_tbl_50" localSheetId="24">#REF!</definedName>
    <definedName name="ti_tbl_50" localSheetId="35">#REF!</definedName>
    <definedName name="ti_tbl_50">#REF!</definedName>
    <definedName name="ti_tbl_69" localSheetId="24">#REF!</definedName>
    <definedName name="ti_tbl_69" localSheetId="35">#REF!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55" l="1"/>
  <c r="E60" i="55"/>
  <c r="D60" i="55"/>
  <c r="C60" i="55"/>
  <c r="E59" i="55"/>
  <c r="C59" i="55"/>
  <c r="D59" i="55"/>
  <c r="F81" i="55"/>
  <c r="B49" i="55" l="1"/>
  <c r="C49" i="55"/>
  <c r="E49" i="55"/>
  <c r="G49" i="55"/>
  <c r="B51" i="55"/>
  <c r="C51" i="55"/>
  <c r="E51" i="55"/>
  <c r="G51" i="55"/>
  <c r="B53" i="55"/>
  <c r="F53" i="55" s="1"/>
  <c r="C53" i="55"/>
  <c r="E53" i="55"/>
  <c r="G53" i="55"/>
  <c r="B55" i="55"/>
  <c r="C55" i="55"/>
  <c r="E55" i="55"/>
  <c r="B21" i="55"/>
  <c r="C21" i="55"/>
  <c r="D21" i="55"/>
  <c r="E21" i="55"/>
  <c r="F21" i="55"/>
  <c r="G21" i="55"/>
  <c r="H21" i="55"/>
  <c r="B22" i="55"/>
  <c r="C22" i="55"/>
  <c r="D22" i="55"/>
  <c r="E22" i="55"/>
  <c r="F22" i="55"/>
  <c r="G22" i="55"/>
  <c r="H22" i="55"/>
  <c r="B23" i="55"/>
  <c r="C23" i="55"/>
  <c r="D23" i="55"/>
  <c r="E23" i="55"/>
  <c r="F23" i="55"/>
  <c r="G23" i="55"/>
  <c r="H23" i="55"/>
  <c r="B25" i="55"/>
  <c r="C25" i="55"/>
  <c r="D25" i="55"/>
  <c r="E25" i="55"/>
  <c r="F25" i="55"/>
  <c r="G25" i="55"/>
  <c r="H25" i="55"/>
  <c r="B29" i="55"/>
  <c r="C29" i="55"/>
  <c r="D29" i="55"/>
  <c r="E29" i="55"/>
  <c r="F29" i="55"/>
  <c r="G29" i="55"/>
  <c r="H29" i="55"/>
  <c r="B30" i="55"/>
  <c r="C30" i="55"/>
  <c r="D30" i="55"/>
  <c r="E30" i="55"/>
  <c r="F30" i="55"/>
  <c r="G30" i="55"/>
  <c r="H30" i="55"/>
  <c r="C38" i="55"/>
  <c r="C39" i="55" s="1"/>
  <c r="C40" i="55"/>
  <c r="C41" i="55"/>
  <c r="C68" i="55"/>
  <c r="D68" i="55"/>
  <c r="E68" i="55"/>
  <c r="F68" i="55"/>
  <c r="G68" i="55"/>
  <c r="H68" i="55"/>
  <c r="I68" i="55"/>
  <c r="H69" i="55"/>
  <c r="C71" i="55"/>
  <c r="F71" i="55"/>
  <c r="D71" i="55" s="1"/>
  <c r="C3" i="55"/>
  <c r="D3" i="55"/>
  <c r="C4" i="55"/>
  <c r="D4" i="55" s="1"/>
  <c r="C6" i="55"/>
  <c r="C7" i="55"/>
  <c r="C8" i="55"/>
  <c r="D8" i="55"/>
  <c r="C9" i="55"/>
  <c r="D9" i="55"/>
  <c r="C10" i="55"/>
  <c r="D10" i="55"/>
  <c r="C11" i="55"/>
  <c r="D11" i="55"/>
  <c r="D12" i="55"/>
  <c r="D13" i="55"/>
  <c r="E81" i="55"/>
  <c r="B28" i="55" l="1"/>
  <c r="B32" i="55" s="1"/>
  <c r="G28" i="55"/>
  <c r="G32" i="55" s="1"/>
  <c r="F49" i="55"/>
  <c r="C42" i="55"/>
  <c r="F28" i="55"/>
  <c r="F32" i="55" s="1"/>
  <c r="H32" i="55"/>
  <c r="F51" i="55"/>
  <c r="H51" i="55" s="1"/>
  <c r="F69" i="55" s="1"/>
  <c r="G69" i="55" s="1"/>
  <c r="H53" i="55"/>
  <c r="D69" i="55" s="1"/>
  <c r="H49" i="55"/>
  <c r="E69" i="55" s="1"/>
  <c r="C43" i="55"/>
  <c r="D28" i="55"/>
  <c r="C28" i="55"/>
  <c r="C32" i="55" s="1"/>
  <c r="D32" i="55"/>
  <c r="D5" i="55"/>
  <c r="D14" i="55" s="1"/>
  <c r="D16" i="55" s="1"/>
  <c r="E28" i="55"/>
  <c r="E32" i="55" s="1"/>
  <c r="I71" i="55"/>
  <c r="E71" i="55"/>
  <c r="C5" i="55"/>
  <c r="C12" i="55"/>
  <c r="C14" i="55" s="1"/>
  <c r="C16" i="55" s="1"/>
  <c r="F70" i="55" s="1"/>
  <c r="C13" i="55"/>
  <c r="D15" i="55" l="1"/>
  <c r="D17" i="55" s="1"/>
  <c r="C69" i="55"/>
  <c r="I69" i="55"/>
  <c r="E70" i="55"/>
  <c r="D70" i="55"/>
  <c r="I70" i="55"/>
  <c r="C70" i="55"/>
  <c r="C15" i="55"/>
  <c r="C17" i="55" s="1"/>
  <c r="F77" i="55"/>
  <c r="C8" i="51"/>
  <c r="S67" i="51" s="1"/>
  <c r="U67" i="51" s="1"/>
  <c r="C7" i="51"/>
  <c r="T67" i="51" s="1"/>
  <c r="E77" i="55" l="1"/>
  <c r="F79" i="55"/>
  <c r="E73" i="55" l="1"/>
  <c r="F73" i="55" s="1"/>
  <c r="I78" i="55" l="1"/>
  <c r="H78" i="55"/>
  <c r="G78" i="55"/>
  <c r="E78" i="55"/>
  <c r="D78" i="55"/>
  <c r="C78" i="55"/>
  <c r="F4" i="24"/>
  <c r="G4" i="24"/>
  <c r="F5" i="24"/>
  <c r="G5" i="24"/>
  <c r="F6" i="24"/>
  <c r="G6" i="24"/>
  <c r="C7" i="24"/>
  <c r="D7" i="24"/>
  <c r="E7" i="24"/>
  <c r="F7" i="24"/>
  <c r="G7" i="24"/>
  <c r="H7" i="24"/>
  <c r="B7" i="24"/>
  <c r="E4" i="23"/>
  <c r="F4" i="23"/>
  <c r="G4" i="23"/>
  <c r="F5" i="23"/>
  <c r="G5" i="23"/>
  <c r="C6" i="23"/>
  <c r="F6" i="23"/>
  <c r="G6" i="23"/>
  <c r="H3" i="18"/>
  <c r="E4" i="24"/>
  <c r="E6" i="24"/>
  <c r="F80" i="55"/>
  <c r="E5" i="24" s="1"/>
  <c r="G3" i="23"/>
  <c r="D7" i="23" l="1"/>
  <c r="C3" i="18"/>
  <c r="C2" i="23"/>
  <c r="D2" i="23"/>
  <c r="E2" i="23"/>
  <c r="F2" i="23"/>
  <c r="G2" i="23"/>
  <c r="H2" i="23"/>
  <c r="B2" i="23"/>
  <c r="E43" i="18"/>
  <c r="E72" i="55"/>
  <c r="F72"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77" i="55" l="1"/>
  <c r="F2" i="24" s="1"/>
  <c r="E2" i="24"/>
  <c r="D2" i="24"/>
  <c r="D77" i="55"/>
  <c r="C2" i="24" s="1"/>
  <c r="C72" i="55"/>
  <c r="H77" i="55"/>
  <c r="G2" i="24" s="1"/>
  <c r="I77" i="55"/>
  <c r="H2" i="24" s="1"/>
  <c r="C77"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B5" i="23" s="1"/>
  <c r="S69" i="51" l="1"/>
  <c r="T69" i="51"/>
  <c r="A85" i="1" l="1"/>
  <c r="A84" i="1"/>
  <c r="C80" i="55" l="1"/>
  <c r="B5" i="24" s="1"/>
  <c r="D80" i="55"/>
  <c r="C5" i="24" s="1"/>
  <c r="E80" i="55"/>
  <c r="D5" i="24" s="1"/>
  <c r="G73" i="55"/>
  <c r="C73" i="55"/>
  <c r="D73" i="55"/>
  <c r="C81" i="55"/>
  <c r="B6" i="24" s="1"/>
  <c r="D81" i="55"/>
  <c r="C6" i="24" s="1"/>
  <c r="D6" i="24"/>
  <c r="E79" i="55"/>
  <c r="D4" i="24" s="1"/>
  <c r="D79" i="55"/>
  <c r="C4" i="24" s="1"/>
  <c r="C79" i="55"/>
  <c r="B4" i="24" s="1"/>
  <c r="E47" i="18"/>
  <c r="E46" i="18"/>
  <c r="F7" i="23" l="1"/>
  <c r="C4" i="23"/>
  <c r="C7" i="23"/>
  <c r="B4" i="23"/>
  <c r="E7" i="23"/>
  <c r="B7" i="23"/>
  <c r="E49" i="18"/>
  <c r="E48" i="18"/>
  <c r="B39" i="18" l="1"/>
  <c r="H73" i="55" s="1"/>
  <c r="B35" i="18"/>
  <c r="G7" i="23" l="1"/>
  <c r="I72" i="55"/>
  <c r="H3" i="23"/>
  <c r="I79" i="55"/>
  <c r="H4" i="24" s="1"/>
  <c r="I80" i="55"/>
  <c r="H5" i="24" s="1"/>
  <c r="I73" i="55"/>
  <c r="I81" i="55"/>
  <c r="H6" i="24" s="1"/>
  <c r="H5" i="23" l="1"/>
  <c r="H4" i="23"/>
  <c r="H6" i="23"/>
  <c r="H7" i="23"/>
</calcChain>
</file>

<file path=xl/sharedStrings.xml><?xml version="1.0" encoding="utf-8"?>
<sst xmlns="http://schemas.openxmlformats.org/spreadsheetml/2006/main" count="8832" uniqueCount="3909">
  <si>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</si>
  <si>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</si>
  <si>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</si>
  <si>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</si>
  <si>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</si>
  <si>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</si>
  <si>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</si>
  <si>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</si>
  <si>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</si>
  <si>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</si>
  <si>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</si>
  <si>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</si>
  <si>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</si>
  <si>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</si>
  <si>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</si>
  <si>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</si>
  <si>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</si>
  <si>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</si>
  <si>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</si>
  <si>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</si>
  <si>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</si>
  <si>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</si>
  <si>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</si>
  <si>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</si>
  <si>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</si>
  <si>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</si>
  <si>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</si>
  <si>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</si>
  <si>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</si>
  <si>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</si>
  <si>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</si>
  <si>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</si>
  <si>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</si>
  <si>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</si>
  <si>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</si>
  <si>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</si>
  <si>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</si>
  <si>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</si>
  <si>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</si>
  <si>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</si>
  <si>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</si>
  <si>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</si>
  <si>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</si>
  <si>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</si>
  <si>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</si>
  <si>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</si>
  <si>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</si>
  <si>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</si>
  <si>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</si>
  <si>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</si>
  <si>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</si>
  <si>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</si>
  <si>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</si>
  <si>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</si>
  <si>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</si>
  <si>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</si>
  <si>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</si>
  <si>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</si>
  <si>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</si>
  <si>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</si>
  <si>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</si>
  <si>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</si>
  <si>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</si>
  <si>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</si>
  <si>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</si>
  <si>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</si>
  <si>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</si>
  <si>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</si>
  <si>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</si>
  <si>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</si>
  <si>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</si>
  <si>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</si>
  <si>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</si>
  <si>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</si>
  <si>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</si>
  <si>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</si>
  <si>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</si>
  <si>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</si>
  <si>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</si>
  <si>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</si>
  <si>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</si>
  <si>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</si>
  <si>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</si>
  <si>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</si>
  <si>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</si>
  <si>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</si>
  <si>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</si>
  <si>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</si>
  <si>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</si>
  <si>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</si>
  <si>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</si>
  <si>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</si>
  <si>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</si>
  <si>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</si>
  <si>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</si>
  <si>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</si>
  <si>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</si>
  <si>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</si>
  <si>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</si>
  <si>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</si>
  <si>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</si>
  <si>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</si>
  <si>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</si>
  <si>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</si>
  <si>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</si>
  <si>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</si>
  <si>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</si>
  <si>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</si>
  <si>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</si>
  <si>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</si>
  <si>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</si>
  <si>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</si>
  <si>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</si>
  <si>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</si>
  <si>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</si>
  <si>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</si>
  <si>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</si>
  <si>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</si>
  <si>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</si>
  <si>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</si>
  <si>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</si>
  <si>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</si>
  <si>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</si>
  <si>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</si>
  <si>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</si>
  <si>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</si>
  <si>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</si>
  <si>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</si>
  <si>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</si>
  <si>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</si>
  <si>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</si>
  <si>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</si>
  <si>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</si>
  <si>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</si>
  <si>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</si>
  <si>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</si>
  <si>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</si>
  <si>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</si>
  <si>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</si>
  <si>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</si>
  <si>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</si>
  <si>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</si>
  <si>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</si>
  <si>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</si>
  <si>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</si>
  <si>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</si>
  <si>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</si>
  <si>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</si>
  <si>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</si>
  <si>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</si>
  <si>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</si>
  <si>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</si>
  <si>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</si>
  <si>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</si>
  <si>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</si>
  <si>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</si>
  <si>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</si>
  <si>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</si>
  <si>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</si>
  <si>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</si>
  <si>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</si>
  <si>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</si>
  <si>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</si>
  <si>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</si>
  <si>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</si>
  <si>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</si>
  <si>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</si>
  <si>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</si>
  <si>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</si>
  <si>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</si>
  <si>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</si>
  <si>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</si>
  <si>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</si>
  <si>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</si>
  <si>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</si>
  <si>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</si>
  <si>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</si>
  <si>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</si>
  <si>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</si>
  <si>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</si>
  <si>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</si>
  <si>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</si>
  <si>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</si>
  <si>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</si>
  <si>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</si>
  <si>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</si>
  <si>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</si>
  <si>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</si>
  <si>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</si>
  <si>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</si>
  <si>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</si>
  <si>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</si>
  <si>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</si>
  <si>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</si>
  <si>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</si>
  <si>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</si>
  <si>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</si>
  <si>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</si>
  <si>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</si>
  <si>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</si>
  <si>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</si>
  <si>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</si>
  <si>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</si>
  <si>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</si>
  <si>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</si>
  <si>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</si>
  <si>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</si>
  <si>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</si>
  <si>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</si>
  <si>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</si>
  <si>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</si>
  <si>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</si>
  <si>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</si>
  <si>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</si>
  <si>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</si>
  <si>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</si>
  <si>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</si>
  <si>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</si>
  <si>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</si>
  <si>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</si>
  <si>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</si>
  <si>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</si>
  <si>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</si>
  <si>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</si>
  <si>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</si>
  <si>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</si>
  <si>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</si>
  <si>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</si>
  <si>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</si>
  <si>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</si>
  <si>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</si>
  <si>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</si>
  <si>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</si>
  <si>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</si>
  <si>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</si>
  <si>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</si>
  <si>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</si>
  <si>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</si>
  <si>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</si>
  <si>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</si>
  <si>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</si>
  <si>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</si>
  <si>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</si>
  <si>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</si>
  <si>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</si>
  <si>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</si>
  <si>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</si>
  <si>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</si>
  <si>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</si>
  <si>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</si>
  <si>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</si>
  <si>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</si>
  <si>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</si>
  <si>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</si>
  <si>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</si>
  <si>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</si>
  <si>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</si>
  <si>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</si>
  <si>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</si>
  <si>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</si>
  <si>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</si>
  <si>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</si>
  <si>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</si>
  <si>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</si>
  <si>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</si>
  <si>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</si>
  <si>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</si>
  <si>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</si>
  <si>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</si>
  <si>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</si>
  <si>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</si>
  <si>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</si>
  <si>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</si>
  <si>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</si>
  <si>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</si>
  <si>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</si>
  <si>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</si>
  <si>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</si>
  <si>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</si>
  <si>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</si>
  <si>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</si>
  <si>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</si>
  <si>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</si>
  <si>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</si>
  <si>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</si>
  <si>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</si>
  <si>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</si>
  <si>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</si>
  <si>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</si>
  <si>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</si>
  <si>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</si>
  <si>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</si>
  <si>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</si>
  <si>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</si>
  <si>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</si>
  <si>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</si>
  <si>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</si>
  <si>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</si>
  <si>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</si>
  <si>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</si>
  <si>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</si>
  <si>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</si>
  <si>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</si>
  <si>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</si>
  <si>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</si>
  <si>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</si>
  <si>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</si>
  <si>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</si>
  <si>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</si>
  <si>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</si>
  <si>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</si>
  <si>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</si>
  <si>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</si>
  <si>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</si>
  <si>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</si>
  <si>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</si>
  <si>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</si>
  <si>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</si>
  <si>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</si>
  <si>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</si>
  <si>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</si>
  <si>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</si>
  <si>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</si>
  <si>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</si>
  <si>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</si>
  <si>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</si>
  <si>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</si>
  <si>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</si>
  <si>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</si>
  <si>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</si>
  <si>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</si>
  <si>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</si>
  <si>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</si>
  <si>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</si>
  <si>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</si>
  <si>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</si>
  <si>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</si>
  <si>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</si>
  <si>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</si>
  <si>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</si>
  <si>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</si>
  <si>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</si>
  <si>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</si>
  <si>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</si>
  <si>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</si>
  <si>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</si>
  <si>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</si>
  <si>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</si>
  <si>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</si>
  <si>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</si>
  <si>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</si>
  <si>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</si>
  <si>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</si>
  <si>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</si>
  <si>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</si>
  <si>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</si>
  <si>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</si>
  <si>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</si>
  <si>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</si>
  <si>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</si>
  <si>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</si>
  <si>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</si>
  <si>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</si>
  <si>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</si>
  <si>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</si>
  <si>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</si>
  <si>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</si>
  <si>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</si>
  <si>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</si>
  <si>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</si>
  <si>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</si>
  <si>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</si>
  <si>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</si>
  <si>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</si>
  <si>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</si>
  <si>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</si>
  <si>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</si>
  <si>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</si>
  <si>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</si>
  <si>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</si>
  <si>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</si>
  <si>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</si>
  <si>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</si>
  <si>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</si>
  <si>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</si>
  <si>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</si>
  <si>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</si>
  <si>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</si>
  <si>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</si>
  <si>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</si>
  <si>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</si>
  <si>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</si>
  <si>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</si>
  <si>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</si>
  <si>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</si>
  <si>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</si>
  <si>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</si>
  <si>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</si>
  <si>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</si>
  <si>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</si>
  <si>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</si>
  <si>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</si>
  <si>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</si>
  <si>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</si>
  <si>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</si>
  <si>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</si>
  <si>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</si>
  <si>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</si>
  <si>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</si>
  <si>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</si>
  <si>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</si>
  <si>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</si>
  <si>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</si>
  <si>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</si>
  <si>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</si>
  <si>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</si>
  <si>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</si>
  <si>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</si>
  <si>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</si>
  <si>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</si>
  <si>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</si>
  <si>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</si>
  <si>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</si>
  <si>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</si>
  <si>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</si>
  <si>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</si>
  <si>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</si>
  <si>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</si>
  <si>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</si>
  <si>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</si>
  <si>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</si>
  <si>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</si>
  <si>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</si>
  <si>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</si>
  <si>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</si>
  <si>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</si>
  <si>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</si>
  <si>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</si>
  <si>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</si>
  <si>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</si>
  <si>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</si>
  <si>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</si>
  <si>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</si>
  <si>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</si>
  <si>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</si>
  <si>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</si>
  <si>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</si>
  <si>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</si>
  <si>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</si>
  <si>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</si>
  <si>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</si>
  <si>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</si>
  <si>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</si>
  <si>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</si>
  <si>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</si>
  <si>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</si>
  <si>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</si>
  <si>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</si>
  <si>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</si>
  <si>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</si>
  <si>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</si>
  <si>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</si>
  <si>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</si>
  <si>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</si>
  <si>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</si>
  <si>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</si>
  <si>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</si>
  <si>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</si>
  <si>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</si>
  <si>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</si>
  <si>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</si>
  <si>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</si>
  <si>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</si>
  <si>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</si>
  <si>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</si>
  <si>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</si>
  <si>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</si>
  <si>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</si>
  <si>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</si>
  <si>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</si>
  <si>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</si>
  <si>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</si>
  <si>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</si>
  <si>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</si>
  <si>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</si>
  <si>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</si>
  <si>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</si>
  <si>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</si>
  <si>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</si>
  <si>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</si>
  <si>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</si>
  <si>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</si>
  <si>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</si>
  <si>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</si>
  <si>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</si>
  <si>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</si>
  <si>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</si>
  <si>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</si>
  <si>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</si>
  <si>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</si>
  <si>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</si>
  <si>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</si>
  <si>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</si>
  <si>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</si>
  <si>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</si>
  <si>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</si>
  <si>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</si>
  <si>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</si>
  <si>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</si>
  <si>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</si>
  <si>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</si>
  <si>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</si>
  <si>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</si>
  <si>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</si>
  <si>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</si>
  <si>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</si>
  <si>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</si>
  <si>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</si>
  <si>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</si>
  <si>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</si>
  <si>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</si>
  <si>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</si>
  <si>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</si>
  <si>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</si>
  <si>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</si>
  <si>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</si>
  <si>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</si>
  <si>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</si>
  <si>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</si>
  <si>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</si>
  <si>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</si>
  <si>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</si>
  <si>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</si>
  <si>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</si>
  <si>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</si>
  <si>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</si>
  <si>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</si>
  <si>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</si>
  <si>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</si>
  <si>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</si>
  <si>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</si>
  <si>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</si>
  <si>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</si>
  <si>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</si>
  <si>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</si>
  <si>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</si>
  <si>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</si>
  <si>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</si>
  <si>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</si>
  <si>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</si>
  <si>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</si>
  <si>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</si>
  <si>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</si>
  <si>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</si>
  <si>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</si>
  <si>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</si>
  <si>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</si>
  <si>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</si>
  <si>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</si>
  <si>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</si>
  <si>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</si>
  <si>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</si>
  <si>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</si>
  <si>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</si>
  <si>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</si>
  <si>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</si>
  <si>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</si>
  <si>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</si>
  <si>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</si>
  <si>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</si>
  <si>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</si>
  <si>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</si>
  <si>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</si>
  <si>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</si>
  <si>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</si>
  <si>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</si>
  <si>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</si>
  <si>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</si>
  <si>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</si>
  <si>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</si>
  <si>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</si>
  <si>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</si>
  <si>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</si>
  <si>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</si>
  <si>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</si>
  <si>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</si>
  <si>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</si>
  <si>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</si>
  <si>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</si>
  <si>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</si>
  <si>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</si>
  <si>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</si>
  <si>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</si>
  <si>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</si>
  <si>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</si>
  <si>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</si>
  <si>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</si>
  <si>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</si>
  <si>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</si>
  <si>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</si>
  <si>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</si>
  <si>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</si>
  <si>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</si>
  <si>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</si>
  <si>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</si>
  <si>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</si>
  <si>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</si>
  <si>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</si>
  <si>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</si>
  <si>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</si>
  <si>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</si>
  <si>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</si>
  <si>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</si>
  <si>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</si>
  <si>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</si>
  <si>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</si>
  <si>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</si>
  <si>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</si>
  <si>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</si>
  <si>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</si>
  <si>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</si>
  <si>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</si>
  <si>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</si>
  <si>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</si>
  <si>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</si>
  <si>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</si>
  <si>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</si>
  <si>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</si>
  <si>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</si>
  <si>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</si>
  <si>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</si>
  <si>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</si>
  <si>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</si>
  <si>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</si>
  <si>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</si>
  <si>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</si>
  <si>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</si>
  <si>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</si>
  <si>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</si>
  <si>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</si>
  <si>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</si>
  <si>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</si>
  <si>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</si>
  <si>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</si>
  <si>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</si>
  <si>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</si>
  <si>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</si>
  <si>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</si>
  <si>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</si>
  <si>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</si>
  <si>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</si>
  <si>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</si>
  <si>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</si>
  <si>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</si>
  <si>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</si>
  <si>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</si>
  <si>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</si>
  <si>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</si>
  <si>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</si>
  <si>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</si>
  <si>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</si>
  <si>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</si>
  <si>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</si>
  <si>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</si>
  <si>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</si>
  <si>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</si>
  <si>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</si>
  <si>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</si>
  <si>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</si>
  <si>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</si>
  <si>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</si>
  <si>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</si>
  <si>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</si>
  <si>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</si>
  <si>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</si>
  <si>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</si>
  <si>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</si>
  <si>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</si>
  <si>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</si>
  <si>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</si>
  <si>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</si>
  <si>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</si>
  <si>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</si>
  <si>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</si>
  <si>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</si>
  <si>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</si>
  <si>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</si>
  <si>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</si>
  <si>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</si>
  <si>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</si>
  <si>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</si>
  <si>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</si>
  <si>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</si>
  <si>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</si>
  <si>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</si>
  <si>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</si>
  <si>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</si>
  <si>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</si>
  <si>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</si>
  <si>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</si>
  <si>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</si>
  <si>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</si>
  <si>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</si>
  <si>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</si>
  <si>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</si>
  <si>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</si>
  <si>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</si>
  <si>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</si>
  <si>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</si>
  <si>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</si>
  <si>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</si>
  <si>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</si>
  <si>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</si>
  <si>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</si>
  <si>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</si>
  <si>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</si>
  <si>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</si>
  <si>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</si>
  <si>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</si>
  <si>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</si>
  <si>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</si>
  <si>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</si>
  <si>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</si>
  <si>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</si>
  <si>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</si>
  <si>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</si>
  <si>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</si>
  <si>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</si>
  <si>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</si>
  <si>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</si>
  <si>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</si>
  <si>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</si>
  <si>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</si>
  <si>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</si>
  <si>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</si>
  <si>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</si>
  <si>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</si>
  <si>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</si>
  <si>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</si>
  <si>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</si>
  <si>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</si>
  <si>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</si>
  <si>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</si>
  <si>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</si>
  <si>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</si>
  <si>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</si>
  <si>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</si>
  <si>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</si>
  <si>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</si>
  <si>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</si>
  <si>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</si>
  <si>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</si>
  <si>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</si>
  <si>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</si>
  <si>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</si>
  <si>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</si>
  <si>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</si>
  <si>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</si>
  <si>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</si>
  <si>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</si>
  <si>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</si>
  <si>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</si>
  <si>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</si>
  <si>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</si>
  <si>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</si>
  <si>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</si>
  <si>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</si>
  <si>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</si>
  <si>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</si>
  <si>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</si>
  <si>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</si>
  <si>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</si>
  <si>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</si>
  <si>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</si>
  <si>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</si>
  <si>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</si>
  <si>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</si>
  <si>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</si>
  <si>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</si>
  <si>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</si>
  <si>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</si>
  <si>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</si>
  <si>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</si>
  <si>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</si>
  <si>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</si>
  <si>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</si>
  <si>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</si>
  <si>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</si>
  <si>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</si>
  <si>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</si>
  <si>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</si>
  <si>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</si>
  <si>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</si>
  <si>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</si>
  <si>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</si>
  <si>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</si>
  <si>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</si>
  <si>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</si>
  <si>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</si>
  <si>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</si>
  <si>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</si>
  <si>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</si>
  <si>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</si>
  <si>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</si>
  <si>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</si>
  <si>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</si>
  <si>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</si>
  <si>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</si>
  <si>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</si>
  <si>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</si>
  <si>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</si>
  <si>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</si>
  <si>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</si>
  <si>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</si>
  <si>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</si>
  <si>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</si>
  <si>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</si>
  <si>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</si>
  <si>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</si>
  <si>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</si>
  <si>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</si>
  <si>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</si>
  <si>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</si>
  <si>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</si>
  <si>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</si>
  <si>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</si>
  <si>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</si>
  <si>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</si>
  <si>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</si>
  <si>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</si>
  <si>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</si>
  <si>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</si>
  <si>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</si>
  <si>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</si>
  <si>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</si>
  <si>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</si>
  <si>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</si>
  <si>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</si>
  <si>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</si>
  <si>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</si>
  <si>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</si>
  <si>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</si>
  <si>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</si>
  <si>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</si>
  <si>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</si>
  <si>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</si>
  <si>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</si>
  <si>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</si>
  <si>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</si>
  <si>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</si>
  <si>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</si>
  <si>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</si>
  <si>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</si>
  <si>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</si>
  <si>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</si>
  <si>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</si>
  <si>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</si>
  <si>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</si>
  <si>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</si>
  <si>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</si>
  <si>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</si>
  <si>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</si>
  <si>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</si>
  <si>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</si>
  <si>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</si>
  <si>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</si>
  <si>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</si>
  <si>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</si>
  <si>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</si>
  <si>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</si>
  <si>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</si>
  <si>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</si>
  <si>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</si>
  <si>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</si>
  <si>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</si>
  <si>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</si>
  <si>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</si>
  <si>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</si>
  <si>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</si>
  <si>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</si>
  <si>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</si>
  <si>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</si>
  <si>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</si>
  <si>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</si>
  <si>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</si>
  <si>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</si>
  <si>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</si>
  <si>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</si>
  <si>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</si>
  <si>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</si>
  <si>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</si>
  <si>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</si>
  <si>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</si>
  <si>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</si>
  <si>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</si>
  <si>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</si>
  <si>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</si>
  <si>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</si>
  <si>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</si>
  <si>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</si>
  <si>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</si>
  <si>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</si>
  <si>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</si>
  <si>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</si>
  <si>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</si>
  <si>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</si>
  <si>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</si>
  <si>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</si>
  <si>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</si>
  <si>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</si>
  <si>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</si>
  <si>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</si>
  <si>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</si>
  <si>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</si>
  <si>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</si>
  <si>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</si>
  <si>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</si>
  <si>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</si>
  <si>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</si>
  <si>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</si>
  <si>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</si>
  <si>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</si>
  <si>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</si>
  <si>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</si>
  <si>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</si>
  <si>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</si>
  <si>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</si>
  <si>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</si>
  <si>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</si>
  <si>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</si>
  <si>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</si>
  <si>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</si>
  <si>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</si>
  <si>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</si>
  <si>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</si>
  <si>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</si>
  <si>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</si>
  <si>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</si>
  <si>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</si>
  <si>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</si>
  <si>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</si>
  <si>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</si>
  <si>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</si>
  <si>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</si>
  <si>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</si>
  <si>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</si>
  <si>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</si>
  <si>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</si>
  <si>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</si>
  <si>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</si>
  <si>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</si>
  <si>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</si>
  <si>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</si>
  <si>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</si>
  <si>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</si>
  <si>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</si>
  <si>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</si>
  <si>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</si>
  <si>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</si>
  <si>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</si>
  <si>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</si>
  <si>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</si>
  <si>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</si>
  <si>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</si>
  <si>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</si>
  <si>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</si>
  <si>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</si>
  <si>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</si>
  <si>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</si>
  <si>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</si>
  <si>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</si>
  <si>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</si>
  <si>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</si>
  <si>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</si>
  <si>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</si>
  <si>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</si>
  <si>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</si>
  <si>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</si>
  <si>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</si>
  <si>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</si>
  <si>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</si>
  <si>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</si>
  <si>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</si>
  <si>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</si>
  <si>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</si>
  <si>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</si>
  <si>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</si>
  <si>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</si>
  <si>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</si>
  <si>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</si>
  <si>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</si>
  <si>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</si>
  <si>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</si>
  <si>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</si>
  <si>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</si>
  <si>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</si>
  <si>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</si>
  <si>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</si>
  <si>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</si>
  <si>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</si>
  <si>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</si>
  <si>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</si>
  <si>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</si>
  <si>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</si>
  <si>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</si>
  <si>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</si>
  <si>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</si>
  <si>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</si>
  <si>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</si>
  <si>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</si>
  <si>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</si>
  <si>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</si>
  <si>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</si>
  <si>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</si>
  <si>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</si>
  <si>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</si>
  <si>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</si>
  <si>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</si>
  <si>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</si>
  <si>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</si>
  <si>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</si>
  <si>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</si>
  <si>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</si>
  <si>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</si>
  <si>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</si>
  <si>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</si>
  <si>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</si>
  <si>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</si>
  <si>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</si>
  <si>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</si>
  <si>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</si>
  <si>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</si>
  <si>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</si>
  <si>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</si>
  <si>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</si>
  <si>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</si>
  <si>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</si>
  <si>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</si>
  <si>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</si>
  <si>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</si>
  <si>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</si>
  <si>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</si>
  <si>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</si>
  <si>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</si>
  <si>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</si>
  <si>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</si>
  <si>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</si>
  <si>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</si>
  <si>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</si>
  <si>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</si>
  <si>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</si>
  <si>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</si>
  <si>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</si>
  <si>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</si>
  <si>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</si>
  <si>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</si>
  <si>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</si>
  <si>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</si>
  <si>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</si>
  <si>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</si>
  <si>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</si>
  <si>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</si>
  <si>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</si>
  <si>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</si>
  <si>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</si>
  <si>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</si>
  <si>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</si>
  <si>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</si>
  <si>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</si>
  <si>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</si>
  <si>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</si>
  <si>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</si>
  <si>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</si>
  <si>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</si>
  <si>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</si>
  <si>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</si>
  <si>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</si>
  <si>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</si>
  <si>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</si>
  <si>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</si>
  <si>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</si>
  <si>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</si>
  <si>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</si>
  <si>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</si>
  <si>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</si>
  <si>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</si>
  <si>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</si>
  <si>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</si>
  <si>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</si>
  <si>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</si>
  <si>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</si>
  <si>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</si>
  <si>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</si>
  <si>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</si>
  <si>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</si>
  <si>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</si>
  <si>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</si>
  <si>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</si>
  <si>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</si>
  <si>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</si>
  <si>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</si>
  <si>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</si>
  <si>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</si>
  <si>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</si>
  <si>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</si>
  <si>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</si>
  <si>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</si>
  <si>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</si>
  <si>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</si>
  <si>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</si>
  <si>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</si>
  <si>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</si>
  <si>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</si>
  <si>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</si>
  <si>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</si>
  <si>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</si>
  <si>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</si>
  <si>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</si>
  <si>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</si>
  <si>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</si>
  <si>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</si>
  <si>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</si>
  <si>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</si>
  <si>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</si>
  <si>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</si>
  <si>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</si>
  <si>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</si>
  <si>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</si>
  <si>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</si>
  <si>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</si>
  <si>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</si>
  <si>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</si>
  <si>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</si>
  <si>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</si>
  <si>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</si>
  <si>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</si>
  <si>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</si>
  <si>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</si>
  <si>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</si>
  <si>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</si>
  <si>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</si>
  <si>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</si>
  <si>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</si>
  <si>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</si>
  <si>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</si>
  <si>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</si>
  <si>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</si>
  <si>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</si>
  <si>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</si>
  <si>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</si>
  <si>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</si>
  <si>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</si>
  <si>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</si>
  <si>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</si>
  <si>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</si>
  <si>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</si>
  <si>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</si>
  <si>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</si>
  <si>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</si>
  <si>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</si>
  <si>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</si>
  <si>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</si>
  <si>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</si>
  <si>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</si>
  <si>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</si>
  <si>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</si>
  <si>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</si>
  <si>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</si>
  <si>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</si>
  <si>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</si>
  <si>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</si>
  <si>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</si>
  <si>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</si>
  <si>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</si>
  <si>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</si>
  <si>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</si>
  <si>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</si>
  <si>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</si>
  <si>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</si>
  <si>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</si>
  <si>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</si>
  <si>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</si>
  <si>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</si>
  <si>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</si>
  <si>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</si>
  <si>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</si>
  <si>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</si>
  <si>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</si>
  <si>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</si>
  <si>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</si>
  <si>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</si>
  <si>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</si>
  <si>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</si>
  <si>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</si>
  <si>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</si>
  <si>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</si>
  <si>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</si>
  <si>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</si>
  <si>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</si>
  <si>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</si>
  <si>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</si>
  <si>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</si>
  <si>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</si>
  <si>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</si>
  <si>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</si>
  <si>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</si>
  <si>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</si>
  <si>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</si>
  <si>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</si>
  <si>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</si>
  <si>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</si>
  <si>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</si>
  <si>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</si>
  <si>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</si>
  <si>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</si>
  <si>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</si>
  <si>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</si>
  <si>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</si>
  <si>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</si>
  <si>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</si>
  <si>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</si>
  <si>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</si>
  <si>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</si>
  <si>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</si>
  <si>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</si>
  <si>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</si>
  <si>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</si>
  <si>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</si>
  <si>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</si>
  <si>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</si>
  <si>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</si>
  <si>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</si>
  <si>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</si>
  <si>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</si>
  <si>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</si>
  <si>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</si>
  <si>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</si>
  <si>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</si>
  <si>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</si>
  <si>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</si>
  <si>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</si>
  <si>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</si>
  <si>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</si>
  <si>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</si>
  <si>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</si>
  <si>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</si>
  <si>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</si>
  <si>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</si>
  <si>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</si>
  <si>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</si>
  <si>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</si>
  <si>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</si>
  <si>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</si>
  <si>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</si>
  <si>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</si>
  <si>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</si>
  <si>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</si>
  <si>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</si>
  <si>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</si>
  <si>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</si>
  <si>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</si>
  <si>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</si>
  <si>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</si>
  <si>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</si>
  <si>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</si>
  <si>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</si>
  <si>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</si>
  <si>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</si>
  <si>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</si>
  <si>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</si>
  <si>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</si>
  <si>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</si>
  <si>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</si>
  <si>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</si>
  <si>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</si>
  <si>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</si>
  <si>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</si>
  <si>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</si>
  <si>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</si>
  <si>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</si>
  <si>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</si>
  <si>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</si>
  <si>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</si>
  <si>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</si>
  <si>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</si>
  <si>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</si>
  <si>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</si>
  <si>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</si>
  <si>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</si>
  <si>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</si>
  <si>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</si>
  <si>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</si>
  <si>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</si>
  <si>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</si>
  <si>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</si>
  <si>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</si>
  <si>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</si>
  <si>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</si>
  <si>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</si>
  <si>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</si>
  <si>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</si>
  <si>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</si>
  <si>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</si>
  <si>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</si>
  <si>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</si>
  <si>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</si>
  <si>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</si>
  <si>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</si>
  <si>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</si>
  <si>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</si>
  <si>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</si>
  <si>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</si>
  <si>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</si>
  <si>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</si>
  <si>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</si>
  <si>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</si>
  <si>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</si>
  <si>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</si>
  <si>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</si>
  <si>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</si>
  <si>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</si>
  <si>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</si>
  <si>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</si>
  <si>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</si>
  <si>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</si>
  <si>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</si>
  <si>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</si>
  <si>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</si>
  <si>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</si>
  <si>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</si>
  <si>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</si>
  <si>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</si>
  <si>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</si>
  <si>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</si>
  <si>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</si>
  <si>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</si>
  <si>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</si>
  <si>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</si>
  <si>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</si>
  <si>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</si>
  <si>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</si>
  <si>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</si>
  <si>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</si>
  <si>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</si>
  <si>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</si>
  <si>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</si>
  <si>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</si>
  <si>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</si>
  <si>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</si>
  <si>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</si>
  <si>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</si>
  <si>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</si>
  <si>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</si>
  <si>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</si>
  <si>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</si>
  <si>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</si>
  <si>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</si>
  <si>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</si>
  <si>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</si>
  <si>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</si>
  <si>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</si>
  <si>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</si>
  <si>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</si>
  <si>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</si>
  <si>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</si>
  <si>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</si>
  <si>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</si>
  <si>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</si>
  <si>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</si>
  <si>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</si>
  <si>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</si>
  <si>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</si>
  <si>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</si>
  <si>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</si>
  <si>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</si>
  <si>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</si>
  <si>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</si>
  <si>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</si>
  <si>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</si>
  <si>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</si>
  <si>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</si>
  <si>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</si>
  <si>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</si>
  <si>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</si>
  <si>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</si>
  <si>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</si>
  <si>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</si>
  <si>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</si>
  <si>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</si>
  <si>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</si>
  <si>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</si>
  <si>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</si>
  <si>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</si>
  <si>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</si>
  <si>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</si>
  <si>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</si>
  <si>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</si>
  <si>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</si>
  <si>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</si>
  <si>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</si>
  <si>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</si>
  <si>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</si>
  <si>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</si>
  <si>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</si>
  <si>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</si>
  <si>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</si>
  <si>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</si>
  <si>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</si>
  <si>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</si>
  <si>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</si>
  <si>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</si>
  <si>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</si>
  <si>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</si>
  <si>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</si>
  <si>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</si>
  <si>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</si>
  <si>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</si>
  <si>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</si>
  <si>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</si>
  <si>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</si>
  <si>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</si>
  <si>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</si>
  <si>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</si>
  <si>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</si>
  <si>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</si>
  <si>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</si>
  <si>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</si>
  <si>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</si>
  <si>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</si>
  <si>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</si>
  <si>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</si>
  <si>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</si>
  <si>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</si>
  <si>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</si>
  <si>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</si>
  <si>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</si>
  <si>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</si>
  <si>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</si>
  <si>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</si>
  <si>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</si>
  <si>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</si>
  <si>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</si>
  <si>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</si>
  <si>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</si>
  <si>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</si>
  <si>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</si>
  <si>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</si>
  <si>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</si>
  <si>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</si>
  <si>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</si>
  <si>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</si>
  <si>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</si>
  <si>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</si>
  <si>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</si>
  <si>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</si>
  <si>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</si>
  <si>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</si>
  <si>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</si>
  <si>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</si>
  <si>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</si>
  <si>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</si>
  <si>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</si>
  <si>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</si>
  <si>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</si>
  <si>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</si>
  <si>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</si>
  <si>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</si>
  <si>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</si>
  <si>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</si>
  <si>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</si>
  <si>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</si>
  <si>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</si>
  <si>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</si>
  <si>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</si>
  <si>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</si>
  <si>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</si>
  <si>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</si>
  <si>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</si>
  <si>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</si>
  <si>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</si>
  <si>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</si>
  <si>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</si>
  <si>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</si>
  <si>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</si>
  <si>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</si>
  <si>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</si>
  <si>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</si>
  <si>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</si>
  <si>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</si>
  <si>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</si>
  <si>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</si>
  <si>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</si>
  <si>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</si>
  <si>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</si>
  <si>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</si>
  <si>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</si>
  <si>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</si>
  <si>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</si>
  <si>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</si>
  <si>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</si>
  <si>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</si>
  <si>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</si>
  <si>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</si>
  <si>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</si>
  <si>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</si>
  <si>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</si>
  <si>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</si>
  <si>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</si>
  <si>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</si>
  <si>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</si>
  <si>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</si>
  <si>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</si>
  <si>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</si>
  <si>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</si>
  <si>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</si>
  <si>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</si>
  <si>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</si>
  <si>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</si>
  <si>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</si>
  <si>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</si>
  <si>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</si>
  <si>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</si>
  <si>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</si>
  <si>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</si>
  <si>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</si>
  <si>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</si>
  <si>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</si>
  <si>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</si>
  <si>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</si>
  <si>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</si>
  <si>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</si>
  <si>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</si>
  <si>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</si>
  <si>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</si>
  <si>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</si>
  <si>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</si>
  <si>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</si>
  <si>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</si>
  <si>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</si>
  <si>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</si>
  <si>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</si>
  <si>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</si>
  <si>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</si>
  <si>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</si>
  <si>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</si>
  <si>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</si>
  <si>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</si>
  <si>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</si>
  <si>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</si>
  <si>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</si>
  <si>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</si>
  <si>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</si>
  <si>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</si>
  <si>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</si>
  <si>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</si>
  <si>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</si>
  <si>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</si>
  <si>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</si>
  <si>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</si>
  <si>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</si>
  <si>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</si>
  <si>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</si>
  <si>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</si>
  <si>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</si>
  <si>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</si>
  <si>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</si>
  <si>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</si>
  <si>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</si>
  <si>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</si>
  <si>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</si>
  <si>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</si>
  <si>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</si>
  <si>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</si>
  <si>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</si>
  <si>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</si>
  <si>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</si>
  <si>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</si>
  <si>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</si>
  <si>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</si>
  <si>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</si>
  <si>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</si>
  <si>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</si>
  <si>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</si>
  <si>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</si>
  <si>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</si>
  <si>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</si>
  <si>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</si>
  <si>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</si>
  <si>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</si>
  <si>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</si>
  <si>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</si>
  <si>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</si>
  <si>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</si>
  <si>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</si>
  <si>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</si>
  <si>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</si>
  <si>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</si>
  <si>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</si>
  <si>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</si>
  <si>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</si>
  <si>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</si>
  <si>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</si>
  <si>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</si>
  <si>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</si>
  <si>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</si>
  <si>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</si>
  <si>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</si>
  <si>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</si>
  <si>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</si>
  <si>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</si>
  <si>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</si>
  <si>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</si>
  <si>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</si>
  <si>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</si>
  <si>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</si>
  <si>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</si>
  <si>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</si>
  <si>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</si>
  <si>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</si>
  <si>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</si>
  <si>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</si>
  <si>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</si>
  <si>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</si>
  <si>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</si>
  <si>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</si>
  <si>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</si>
  <si>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</si>
  <si>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</si>
  <si>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</si>
  <si>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</si>
  <si>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</si>
  <si>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</si>
  <si>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</si>
  <si>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</si>
  <si>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</si>
  <si>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</si>
  <si>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</si>
  <si>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</si>
  <si>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</si>
  <si>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</si>
  <si>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</si>
  <si>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</si>
  <si>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</si>
  <si>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</si>
  <si>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</si>
  <si>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</si>
  <si>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</si>
  <si>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</si>
  <si>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</si>
  <si>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</si>
  <si>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</si>
  <si>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</si>
  <si>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</si>
  <si>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</si>
  <si>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</si>
  <si>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</si>
  <si>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</si>
  <si>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</si>
  <si>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</si>
  <si>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</si>
  <si>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</si>
  <si>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</si>
  <si>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</si>
  <si>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</si>
  <si>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</si>
  <si>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</si>
  <si>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</si>
  <si>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</si>
  <si>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</si>
  <si>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</si>
  <si>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</si>
  <si>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</si>
  <si>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</si>
  <si>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</si>
  <si>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</si>
  <si>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</si>
  <si>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</si>
  <si>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</si>
  <si>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</si>
  <si>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</si>
  <si>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</si>
  <si>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</si>
  <si>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</si>
  <si>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</si>
  <si>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</si>
  <si>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</si>
  <si>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</si>
  <si>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</si>
  <si>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</si>
  <si>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</si>
  <si>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</si>
  <si>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</si>
  <si>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</si>
  <si>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</si>
  <si>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</si>
  <si>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</si>
  <si>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</si>
  <si>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</si>
  <si>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</si>
  <si>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</si>
  <si>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</si>
  <si>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</si>
  <si>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</si>
  <si>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</si>
  <si>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</si>
  <si>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</si>
  <si>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</si>
  <si>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</si>
  <si>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</si>
  <si>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</si>
  <si>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</si>
  <si>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</si>
  <si>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</si>
  <si>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</si>
  <si>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</si>
  <si>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</si>
  <si>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</si>
  <si>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</si>
  <si>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</si>
  <si>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</si>
  <si>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</si>
  <si>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</si>
  <si>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</si>
  <si>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</si>
  <si>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</si>
  <si>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</si>
  <si>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</si>
  <si>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</si>
  <si>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</si>
  <si>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</si>
  <si>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</si>
  <si>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</si>
  <si>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</si>
  <si>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</si>
  <si>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</si>
  <si>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</si>
  <si>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</si>
  <si>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</si>
  <si>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</si>
  <si>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</si>
  <si>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</si>
  <si>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</si>
  <si>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</si>
  <si>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</si>
  <si>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</si>
  <si>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</si>
  <si>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</si>
  <si>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</si>
  <si>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</si>
  <si>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</si>
  <si>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</si>
  <si>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</si>
  <si>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</si>
  <si>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</si>
  <si>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</si>
  <si>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</si>
  <si>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</si>
  <si>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</si>
  <si>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</si>
  <si>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</si>
  <si>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</si>
  <si>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</si>
  <si>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</si>
  <si>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</si>
  <si>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</si>
  <si>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</si>
  <si>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</si>
  <si>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</si>
  <si>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</si>
  <si>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</si>
  <si>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</si>
  <si>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</si>
  <si>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</si>
  <si>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</si>
  <si>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</si>
  <si>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</si>
  <si>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</si>
  <si>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</si>
  <si>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</si>
  <si>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</si>
  <si>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</si>
  <si>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</si>
  <si>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</si>
  <si>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</si>
  <si>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</si>
  <si>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</si>
  <si>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</si>
  <si>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</si>
  <si>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</si>
  <si>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</si>
  <si>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</si>
  <si>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</si>
  <si>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</si>
  <si>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</si>
  <si>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</si>
  <si>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</si>
  <si>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</si>
  <si>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</si>
  <si>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</si>
  <si>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</si>
  <si>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</si>
  <si>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</si>
  <si>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</si>
  <si>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</si>
  <si>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</si>
  <si>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</si>
  <si>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</si>
  <si>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</si>
  <si>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</si>
  <si>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</si>
  <si>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</si>
  <si>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</si>
  <si>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</si>
  <si>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</si>
  <si>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</si>
  <si>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</si>
  <si>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</si>
  <si>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</si>
  <si>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</si>
  <si>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</si>
  <si>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</si>
  <si>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</si>
  <si>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</si>
  <si>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</si>
  <si>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</si>
  <si>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</si>
  <si>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</si>
  <si>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</si>
  <si>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</si>
  <si>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</si>
  <si>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</si>
  <si>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</si>
  <si>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</si>
  <si>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</si>
  <si>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</si>
  <si>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</si>
  <si>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</si>
  <si>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</si>
  <si>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</si>
  <si>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</si>
  <si>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</si>
  <si>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</si>
  <si>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</si>
  <si>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</si>
  <si>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</si>
  <si>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</si>
  <si>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</si>
  <si>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</si>
  <si>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</si>
  <si>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</si>
  <si>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</si>
  <si>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</si>
  <si>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</si>
  <si>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</si>
  <si>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</si>
  <si>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</si>
  <si>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</si>
  <si>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</si>
  <si>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</si>
  <si>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</si>
  <si>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</si>
  <si>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</si>
  <si>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</si>
  <si>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</si>
  <si>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</si>
  <si>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</si>
  <si>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</si>
  <si>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</si>
  <si>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</si>
  <si>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</si>
  <si>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</si>
  <si>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</si>
  <si>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</si>
  <si>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</si>
  <si>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</si>
  <si>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</si>
  <si>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</si>
  <si>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</si>
  <si>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</si>
  <si>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</si>
  <si>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</si>
  <si>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</si>
  <si>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</si>
  <si>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</si>
  <si>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</si>
  <si>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</si>
  <si>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</si>
  <si>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</si>
  <si>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</si>
  <si>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</si>
  <si>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</si>
  <si>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</si>
  <si>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</si>
  <si>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</si>
  <si>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</si>
  <si>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</si>
  <si>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</si>
  <si>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</si>
  <si>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</si>
  <si>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</si>
  <si>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</si>
  <si>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</si>
  <si>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</si>
  <si>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</si>
  <si>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</si>
  <si>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</si>
  <si>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</si>
  <si>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</si>
  <si>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</si>
  <si>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</si>
  <si>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</si>
  <si>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</si>
  <si>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</si>
  <si>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</si>
  <si>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</si>
  <si>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</si>
  <si>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</si>
  <si>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</si>
  <si>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</si>
  <si>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</si>
  <si>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</si>
  <si>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</si>
  <si>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</si>
  <si>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</si>
  <si>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</si>
  <si>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</si>
  <si>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</si>
  <si>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</si>
  <si>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</si>
  <si>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</si>
  <si>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</si>
  <si>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</si>
  <si>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</si>
  <si>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</si>
  <si>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</si>
  <si>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</si>
  <si>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</si>
  <si>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</si>
  <si>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</si>
  <si>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</si>
  <si>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</si>
  <si>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</si>
  <si>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</si>
  <si>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</si>
  <si>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</si>
  <si>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</si>
  <si>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</si>
  <si>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</si>
  <si>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</si>
  <si>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</si>
  <si>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</si>
  <si>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</si>
  <si>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</si>
  <si>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</si>
  <si>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</si>
  <si>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</si>
  <si>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</si>
  <si>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</si>
  <si>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</si>
  <si>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</si>
  <si>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</si>
  <si>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</si>
  <si>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</si>
  <si>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</si>
  <si>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</si>
  <si>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</si>
  <si>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</si>
  <si>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</si>
  <si>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</si>
  <si>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</si>
  <si>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</si>
  <si>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</si>
  <si>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</si>
  <si>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</si>
  <si>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</si>
  <si>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</si>
  <si>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</si>
  <si>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</si>
  <si>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</si>
  <si>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</si>
  <si>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</si>
  <si>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</si>
  <si>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</si>
  <si>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</si>
  <si>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</si>
  <si>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</si>
  <si>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</si>
  <si>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</si>
  <si>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</si>
  <si>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</si>
  <si>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</si>
  <si>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</si>
  <si>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</si>
  <si>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</si>
  <si>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</si>
  <si>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</si>
  <si>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</si>
  <si>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</si>
  <si>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</si>
  <si>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</si>
  <si>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</si>
  <si>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</si>
  <si>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</si>
  <si>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</si>
  <si>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</si>
  <si>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</si>
  <si>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</si>
  <si>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</si>
  <si>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</si>
  <si>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</si>
  <si>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</si>
  <si>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</si>
  <si>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</si>
  <si>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</si>
  <si>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</si>
  <si>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</si>
  <si>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</si>
  <si>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</si>
  <si>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</si>
  <si>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</si>
  <si>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</si>
  <si>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</si>
  <si>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</si>
  <si>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</si>
  <si>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</si>
  <si>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</si>
  <si>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</si>
  <si>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</si>
  <si>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</si>
  <si>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</si>
  <si>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</si>
  <si>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</si>
  <si>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</si>
  <si>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</si>
  <si>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</si>
  <si>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</si>
  <si>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</si>
  <si>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</si>
  <si>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</si>
  <si>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</si>
  <si>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</si>
  <si>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</si>
  <si>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</si>
  <si>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</si>
  <si>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</si>
  <si>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</si>
  <si>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</si>
  <si>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</si>
  <si>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</si>
  <si>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</si>
  <si>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</si>
  <si>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</si>
  <si>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</si>
  <si>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</si>
  <si>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</si>
  <si>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</si>
  <si>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</si>
  <si>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</si>
  <si>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</si>
  <si>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</si>
  <si>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</si>
  <si>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</si>
  <si>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</si>
  <si>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</si>
  <si>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</si>
  <si>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</si>
  <si>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</si>
  <si>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</si>
  <si>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</si>
  <si>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</si>
  <si>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</si>
  <si>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</si>
  <si>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</si>
  <si>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</si>
  <si>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</si>
  <si>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</si>
  <si>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</si>
  <si>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</si>
  <si>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</si>
  <si>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</si>
  <si>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</si>
  <si>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</si>
  <si>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</si>
  <si>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</si>
  <si>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</si>
  <si>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</si>
  <si>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</si>
  <si>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</si>
  <si>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</si>
  <si>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</si>
  <si>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</si>
  <si>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</si>
  <si>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</si>
  <si>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</si>
  <si>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</si>
  <si>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</si>
  <si>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</si>
  <si>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</si>
  <si>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</si>
  <si>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</si>
  <si>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</si>
  <si>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</si>
  <si>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</si>
  <si>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</si>
  <si>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</si>
  <si>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</si>
  <si>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</si>
  <si>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</si>
  <si>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</si>
  <si>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</si>
  <si>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</si>
  <si>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</si>
  <si>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</si>
  <si>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</si>
  <si>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</si>
  <si>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</si>
  <si>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</si>
  <si>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</si>
  <si>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</si>
  <si>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</si>
  <si>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</si>
  <si>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</si>
  <si>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</si>
  <si>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</si>
  <si>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</si>
  <si>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</si>
  <si>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</si>
  <si>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</si>
  <si>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</si>
  <si>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</si>
  <si>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</si>
  <si>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</si>
  <si>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</si>
  <si>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</si>
  <si>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</si>
  <si>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</si>
  <si>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</si>
  <si>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</si>
  <si>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</si>
  <si>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</si>
  <si>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</si>
  <si>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</si>
  <si>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</si>
  <si>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</si>
  <si>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</si>
  <si>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</si>
  <si>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</si>
  <si>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</si>
  <si>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</si>
  <si>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</si>
  <si>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</si>
  <si>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</si>
  <si>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</si>
  <si>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</si>
  <si>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</si>
  <si>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</si>
  <si>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</si>
  <si>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</si>
  <si>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</si>
  <si>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</si>
  <si>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</si>
  <si>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</si>
  <si>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</si>
  <si>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</si>
  <si>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</si>
  <si>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</si>
  <si>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</si>
  <si>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</si>
  <si>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</si>
  <si>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</si>
  <si>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</si>
  <si>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</si>
  <si>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</si>
  <si>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</si>
  <si>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</si>
  <si>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</si>
  <si>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</si>
  <si>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</si>
  <si>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</si>
  <si>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</si>
  <si>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</si>
  <si>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</si>
  <si>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</si>
  <si>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</si>
  <si>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</si>
  <si>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</si>
  <si>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</si>
  <si>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</si>
  <si>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</si>
  <si>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</si>
  <si>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</si>
  <si>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</si>
  <si>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</si>
  <si>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</si>
  <si>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</si>
  <si>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</si>
  <si>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</si>
  <si>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</si>
  <si>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</si>
  <si>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</si>
  <si>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</si>
  <si>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</si>
  <si>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</si>
  <si>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</si>
  <si>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</si>
  <si>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</si>
  <si>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</si>
  <si>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</si>
  <si>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</si>
  <si>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</si>
  <si>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</si>
  <si>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</si>
  <si>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</si>
  <si>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</si>
  <si>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</si>
  <si>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</si>
  <si>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</si>
  <si>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</si>
  <si>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</si>
  <si>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</si>
  <si>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</si>
  <si>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</si>
  <si>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</si>
  <si>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</si>
  <si>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</si>
  <si>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</si>
  <si>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</si>
  <si>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</si>
  <si>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</si>
  <si>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</si>
  <si>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</si>
  <si>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</si>
  <si>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</si>
  <si>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</si>
  <si>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</si>
  <si>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</si>
  <si>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</si>
  <si>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</si>
  <si>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</si>
  <si>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</si>
  <si>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</si>
  <si>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</si>
  <si>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</si>
  <si>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</si>
  <si>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</si>
  <si>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</si>
  <si>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</si>
  <si>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</si>
  <si>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</si>
  <si>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</si>
  <si>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</si>
  <si>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</si>
  <si>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</si>
  <si>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</si>
  <si>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</si>
  <si>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</si>
  <si>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</si>
  <si>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</si>
  <si>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</si>
  <si>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</si>
  <si>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</si>
  <si>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</si>
  <si>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</si>
  <si>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</si>
  <si>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</si>
  <si>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</si>
  <si>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</si>
  <si>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</si>
  <si>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</si>
  <si>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</si>
  <si>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</si>
  <si>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</si>
  <si>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</si>
  <si>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</si>
  <si>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</si>
  <si>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</si>
  <si>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</si>
  <si>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</si>
  <si>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</si>
  <si>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</si>
  <si>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</si>
  <si>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</si>
  <si>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</si>
  <si>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</si>
  <si>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</si>
  <si>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</si>
  <si>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</si>
  <si>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</si>
  <si>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</si>
  <si>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</si>
  <si>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</si>
  <si>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</si>
  <si>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</si>
  <si>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</si>
  <si>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</si>
  <si>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</si>
  <si>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</si>
  <si>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</si>
  <si>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</si>
  <si>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</si>
  <si>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</si>
  <si>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</si>
  <si>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</si>
  <si>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</si>
  <si>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</si>
  <si>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</si>
  <si>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</si>
  <si>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</si>
  <si>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</si>
  <si>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</si>
  <si>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</si>
  <si>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</si>
  <si>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</si>
  <si>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</si>
  <si>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</si>
  <si>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</si>
  <si>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</si>
  <si>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</si>
  <si>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</si>
  <si>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</si>
  <si>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</si>
  <si>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</si>
  <si>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</si>
  <si>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</si>
  <si>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</si>
  <si>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</si>
  <si>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</si>
  <si>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</si>
  <si>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</si>
  <si>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</si>
  <si>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</si>
  <si>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</si>
  <si>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</si>
  <si>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</si>
  <si>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</si>
  <si>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</si>
  <si>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</si>
  <si>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</si>
  <si>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</si>
  <si>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</si>
  <si>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</si>
  <si>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</si>
  <si>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</si>
  <si>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</si>
  <si>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</si>
  <si>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</si>
  <si>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</si>
  <si>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</si>
  <si>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</si>
  <si>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</si>
  <si>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</si>
  <si>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</si>
  <si>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</si>
  <si>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</si>
  <si>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</si>
  <si>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</si>
  <si>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</si>
  <si>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</si>
  <si>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</si>
  <si>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</si>
  <si>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</si>
  <si>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</si>
  <si>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</si>
  <si>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</si>
  <si>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</si>
  <si>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</si>
  <si>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</si>
  <si>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</si>
  <si>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</si>
  <si>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</si>
  <si>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</si>
  <si>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</si>
  <si>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</si>
  <si>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</si>
  <si>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</si>
  <si>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</si>
  <si>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</si>
  <si>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</si>
  <si>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</si>
  <si>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</si>
  <si>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</si>
  <si>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</si>
  <si>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</si>
  <si>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</si>
  <si>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</si>
  <si>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</si>
  <si>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</si>
  <si>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</si>
  <si>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</si>
  <si>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</si>
  <si>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</si>
  <si>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</si>
  <si>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</si>
  <si>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</si>
  <si>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</si>
  <si>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</si>
  <si>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</si>
  <si>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</si>
  <si>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</si>
  <si>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</si>
  <si>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</si>
  <si>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</si>
  <si>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</si>
  <si>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</si>
  <si>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</si>
  <si>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</si>
  <si>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</si>
  <si>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</si>
  <si>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</si>
  <si>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</si>
  <si>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</si>
  <si>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</si>
  <si>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</si>
  <si>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</si>
  <si>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</si>
  <si>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</si>
  <si>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</si>
  <si>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</si>
  <si>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</si>
  <si>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</si>
  <si>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</si>
  <si>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</si>
  <si>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</si>
  <si>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</si>
  <si>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</si>
  <si>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</si>
  <si>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</si>
  <si>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</si>
  <si>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</si>
  <si>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</si>
  <si>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</si>
  <si>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</si>
  <si>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</si>
  <si>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</si>
  <si>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</si>
  <si>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</si>
  <si>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</si>
  <si>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</si>
  <si>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</si>
  <si>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</si>
  <si>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</si>
  <si>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</si>
  <si>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</si>
  <si>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</si>
  <si>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</si>
  <si>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</si>
  <si>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</si>
  <si>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</si>
  <si>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</si>
  <si>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</si>
  <si>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</si>
  <si>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</si>
  <si>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</si>
  <si>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</si>
  <si>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</si>
  <si>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</si>
  <si>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</si>
  <si>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</si>
  <si>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</si>
  <si>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</si>
  <si>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</si>
  <si>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</si>
  <si>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</si>
  <si>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</si>
  <si>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</si>
  <si>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</si>
  <si>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</si>
  <si>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</si>
  <si>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</si>
  <si>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</si>
  <si>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</si>
  <si>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</si>
  <si>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</si>
  <si>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</si>
  <si>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</si>
  <si>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</si>
  <si>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</si>
  <si>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</si>
  <si>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</si>
  <si>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</si>
  <si>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</si>
  <si>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</si>
  <si>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</si>
  <si>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</si>
  <si>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</si>
  <si>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</si>
  <si>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</si>
  <si>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</si>
  <si>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</si>
  <si>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</si>
  <si>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</si>
  <si>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</si>
  <si>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</si>
  <si>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</si>
  <si>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</si>
  <si>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</si>
  <si>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</si>
  <si>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</si>
  <si>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</si>
  <si>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</si>
  <si>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</si>
  <si>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</si>
  <si>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</si>
  <si>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</si>
  <si>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</si>
  <si>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</si>
  <si>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</si>
  <si>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</si>
  <si>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</si>
  <si>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</si>
  <si>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</si>
  <si>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</si>
  <si>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</si>
  <si>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</si>
  <si>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</si>
  <si>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</si>
  <si>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</si>
  <si>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</si>
  <si>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</si>
  <si>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</si>
  <si>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</si>
  <si>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</si>
  <si>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</si>
  <si>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</si>
  <si>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</si>
  <si>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</si>
  <si>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</si>
  <si>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</si>
  <si>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</si>
  <si>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</si>
  <si>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</si>
  <si>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</si>
  <si>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</si>
  <si>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</si>
  <si>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</si>
  <si>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</si>
  <si>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</si>
  <si>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</si>
  <si>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</si>
  <si>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</si>
  <si>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</si>
  <si>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</si>
  <si>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</si>
  <si>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</si>
  <si>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</si>
  <si>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</si>
  <si>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</si>
  <si>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</si>
  <si>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</si>
  <si>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</si>
  <si>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</si>
  <si>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</si>
  <si>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</si>
  <si>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</si>
  <si>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</si>
  <si>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</si>
  <si>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</si>
  <si>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</si>
  <si>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</si>
  <si>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</si>
  <si>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</si>
  <si>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</si>
  <si>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</si>
  <si>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</si>
  <si>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</si>
  <si>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</si>
  <si>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</si>
  <si>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</si>
  <si>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</si>
  <si>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</si>
  <si>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</si>
  <si>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</si>
  <si>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</si>
  <si>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</si>
  <si>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</si>
  <si>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</si>
  <si>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</si>
  <si>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</si>
  <si>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</si>
  <si>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</si>
  <si>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</si>
  <si>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</si>
  <si>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</si>
  <si>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</si>
  <si>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</si>
  <si>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</si>
  <si>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</si>
  <si>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</si>
  <si>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</si>
  <si>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</si>
  <si>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</si>
  <si>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</si>
  <si>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</si>
  <si>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</si>
  <si>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</si>
  <si>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</si>
  <si>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</si>
  <si>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</si>
  <si>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</si>
  <si>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</si>
  <si>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</si>
  <si>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</si>
  <si>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</si>
  <si>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</si>
  <si>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</si>
  <si>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</si>
  <si>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</si>
  <si>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</si>
  <si>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</si>
  <si>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</si>
  <si>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</si>
  <si>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</si>
  <si>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</si>
  <si>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</si>
  <si>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</si>
  <si>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</si>
  <si>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</si>
  <si>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</si>
  <si>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</si>
  <si>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</si>
  <si>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</si>
  <si>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</si>
  <si>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</si>
  <si>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</si>
  <si>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</si>
  <si>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</si>
  <si>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</si>
  <si>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</si>
  <si>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</si>
  <si>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</si>
  <si>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</si>
  <si>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</si>
  <si>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</si>
  <si>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</si>
  <si>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</si>
  <si>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</si>
  <si>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</si>
  <si>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</si>
  <si>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</si>
  <si>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</si>
  <si>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</si>
  <si>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</si>
  <si>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</si>
  <si>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</si>
  <si>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</si>
  <si>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</si>
  <si>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</si>
  <si>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</si>
  <si>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</si>
  <si>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</si>
  <si>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</si>
  <si>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</si>
  <si>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</si>
  <si>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</si>
  <si>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</si>
  <si>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</si>
  <si>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</si>
  <si>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</si>
  <si>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</si>
  <si>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</si>
  <si>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</si>
  <si>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</si>
  <si>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</si>
  <si>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</si>
  <si>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</si>
  <si>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</si>
  <si>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</si>
  <si>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</si>
  <si>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</si>
  <si>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</si>
  <si>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</si>
  <si>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</si>
  <si>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</si>
  <si>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</si>
  <si>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</si>
  <si>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</si>
  <si>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</si>
  <si>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</si>
  <si>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</si>
  <si>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</si>
  <si>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</si>
  <si>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</si>
  <si>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</si>
  <si>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</si>
  <si>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</si>
  <si>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</si>
  <si>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</si>
  <si>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</si>
  <si>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</si>
  <si>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</si>
  <si>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</si>
  <si>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</si>
  <si>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</si>
  <si>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</si>
  <si>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</si>
  <si>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</si>
  <si>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</si>
  <si>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</si>
  <si>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</si>
  <si>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</si>
  <si>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</si>
  <si>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</si>
  <si>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</si>
  <si>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</si>
  <si>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</si>
  <si>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</si>
  <si>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</si>
  <si>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</si>
  <si>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</si>
  <si>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</si>
  <si>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</si>
  <si>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</si>
  <si>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</si>
  <si>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</si>
  <si>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</si>
  <si>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</si>
  <si>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</si>
  <si>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</si>
  <si>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</si>
  <si>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</si>
  <si>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</si>
  <si>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</si>
  <si>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</si>
  <si>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</si>
  <si>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</si>
  <si>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</si>
  <si>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</si>
  <si>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</si>
  <si>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</si>
  <si>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</si>
  <si>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</si>
  <si>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</si>
  <si>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</si>
  <si>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</si>
  <si>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</si>
  <si>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</si>
  <si>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</si>
  <si>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</si>
  <si>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</si>
  <si>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</si>
  <si>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</si>
  <si>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</si>
  <si>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</si>
  <si>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</si>
  <si>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</si>
  <si>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</si>
  <si>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</si>
  <si>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</si>
  <si>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</si>
  <si>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</si>
  <si>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</si>
  <si>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</si>
  <si>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</si>
  <si>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</si>
  <si>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</si>
  <si>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</si>
  <si>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</si>
  <si>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</si>
  <si>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</si>
  <si>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</si>
  <si>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</si>
  <si>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</si>
  <si>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</si>
  <si>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</si>
  <si>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</si>
  <si>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</si>
  <si>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</si>
  <si>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</si>
  <si>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</si>
  <si>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</si>
  <si>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</si>
  <si>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</si>
  <si>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</si>
  <si>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</si>
  <si>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</si>
  <si>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</si>
  <si>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</si>
  <si>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</si>
  <si>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</si>
  <si>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</si>
  <si>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</si>
  <si>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</si>
  <si>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</si>
  <si>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</si>
  <si>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</si>
  <si>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</si>
  <si>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</si>
  <si>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</si>
  <si>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</si>
  <si>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</si>
  <si>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</si>
  <si>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</si>
  <si>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</si>
  <si>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</si>
  <si>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</si>
  <si>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</si>
  <si>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</si>
  <si>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</si>
  <si>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</si>
  <si>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</si>
  <si>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</si>
  <si>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</si>
  <si>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</si>
  <si>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</si>
  <si>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</si>
  <si>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</si>
  <si>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</si>
  <si>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</si>
  <si>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</si>
  <si>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</si>
  <si>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</si>
  <si>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</si>
  <si>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</si>
  <si>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</si>
  <si>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</si>
  <si>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</si>
  <si>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</si>
  <si>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</si>
  <si>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</si>
  <si>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</si>
  <si>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</si>
  <si>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</si>
  <si>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</si>
  <si>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</si>
  <si>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</si>
  <si>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</si>
  <si>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</si>
  <si>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</si>
  <si>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</si>
  <si>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</si>
  <si>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</si>
  <si>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</si>
  <si>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</si>
  <si>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</si>
  <si>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</si>
  <si>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</si>
  <si>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</si>
  <si>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</si>
  <si>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</si>
  <si>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</si>
  <si>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</si>
  <si>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</si>
  <si>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</si>
  <si>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</si>
  <si>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</si>
  <si>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</si>
  <si>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</si>
  <si>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</si>
  <si>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</si>
  <si>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</si>
  <si>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</si>
  <si>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</si>
  <si>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</si>
  <si>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</si>
  <si>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</si>
  <si>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</si>
  <si>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</si>
  <si>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</si>
  <si>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</si>
  <si>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</si>
  <si>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</si>
  <si>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</si>
  <si>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</si>
  <si>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</si>
  <si>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</si>
  <si>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</si>
  <si>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</si>
  <si>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</si>
  <si>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</si>
  <si>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</si>
  <si>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</si>
  <si>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</si>
  <si>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</si>
  <si>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</si>
  <si>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</si>
  <si>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</si>
  <si>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</si>
  <si>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</si>
  <si>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</si>
  <si>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</si>
  <si>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</si>
  <si>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</si>
  <si>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</si>
  <si>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</si>
  <si>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</si>
  <si>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</si>
  <si>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</si>
  <si>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</si>
  <si>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</si>
  <si>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</si>
  <si>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</si>
  <si>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</si>
  <si>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</si>
  <si>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</si>
  <si>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</si>
  <si>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</si>
  <si>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</si>
  <si>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</si>
  <si>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</si>
  <si>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</si>
  <si>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</si>
  <si>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</si>
  <si>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</si>
  <si>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</si>
  <si>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</si>
  <si>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</si>
  <si>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</si>
  <si>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</si>
  <si>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</si>
  <si>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</si>
  <si>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</si>
  <si>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</si>
  <si>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</si>
  <si>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</si>
  <si>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</si>
  <si>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</si>
  <si>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</si>
  <si>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</si>
  <si>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</si>
  <si>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</si>
  <si>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</si>
  <si>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</si>
  <si>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</si>
  <si>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</si>
  <si>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</si>
  <si>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</si>
  <si>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</si>
  <si>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</si>
  <si>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</si>
  <si>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</si>
  <si>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</si>
  <si>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</si>
  <si>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</si>
  <si>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</si>
  <si>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</si>
  <si>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</si>
  <si>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</si>
  <si>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</si>
  <si>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</si>
  <si>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</si>
  <si>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</si>
  <si>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</si>
  <si>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</si>
  <si>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</si>
  <si>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</si>
  <si>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</si>
  <si>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</si>
  <si>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</si>
  <si>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</si>
  <si>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</si>
  <si>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</si>
  <si>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</si>
  <si>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</si>
  <si>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</si>
  <si>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</si>
  <si>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</si>
  <si>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</si>
  <si>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</si>
  <si>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</si>
  <si>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</si>
  <si>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</si>
  <si>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</si>
  <si>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</si>
  <si>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</si>
  <si>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</si>
  <si>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</si>
  <si>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</si>
  <si>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</si>
  <si>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</si>
  <si>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</si>
  <si>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</si>
  <si>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</si>
  <si>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</si>
  <si>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</si>
  <si>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</si>
  <si>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</si>
  <si>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</si>
  <si>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</si>
  <si>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</si>
  <si>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</si>
  <si>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</si>
  <si>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</si>
  <si>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</si>
  <si>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</si>
  <si>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</si>
  <si>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</si>
  <si>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</si>
  <si>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</si>
  <si>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</si>
  <si>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</si>
  <si>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</si>
  <si>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</si>
  <si>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</si>
  <si>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</si>
  <si>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</si>
  <si>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</si>
  <si>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</si>
  <si>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</si>
  <si>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</si>
  <si>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</si>
  <si>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</si>
  <si>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</si>
  <si>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</si>
  <si>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</si>
  <si>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</si>
  <si>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</si>
  <si>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</si>
  <si>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</si>
  <si>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</si>
  <si>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</si>
  <si>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</si>
  <si>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</si>
  <si>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</si>
  <si>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</si>
  <si>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</si>
  <si>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</si>
  <si>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</si>
  <si>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</si>
  <si>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</si>
  <si>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</si>
  <si>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</si>
  <si>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</si>
  <si>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</si>
  <si>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</si>
  <si>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</si>
  <si>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</si>
  <si>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</si>
  <si>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</si>
  <si>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</si>
  <si>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</si>
  <si>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</si>
  <si>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</si>
  <si>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</si>
  <si>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</si>
  <si>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</si>
  <si>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</si>
  <si>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</si>
  <si>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</si>
  <si>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</si>
  <si>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</si>
  <si>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</si>
  <si>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</si>
  <si>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</si>
  <si>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</si>
  <si>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</si>
  <si>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</si>
  <si>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</si>
  <si>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</si>
  <si>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</si>
  <si>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</si>
  <si>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</si>
  <si>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</si>
  <si>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</si>
  <si>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</si>
  <si>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</si>
  <si>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</si>
  <si>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</si>
  <si>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</si>
  <si>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</si>
  <si>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</si>
  <si>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</si>
  <si>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</si>
  <si>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</si>
  <si>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</si>
  <si>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</si>
  <si>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</si>
  <si>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</si>
  <si>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</si>
  <si>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</si>
  <si>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</si>
  <si>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</si>
  <si>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</si>
  <si>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</si>
  <si>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</si>
  <si>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</si>
  <si>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</si>
  <si>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</si>
  <si>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</si>
  <si>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</si>
  <si>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</si>
  <si>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</si>
  <si>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</si>
  <si>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</si>
  <si>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</si>
  <si>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</si>
  <si>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</si>
  <si>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</si>
  <si>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</si>
  <si>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</si>
  <si>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</si>
  <si>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</si>
  <si>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</si>
  <si>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</si>
  <si>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</si>
  <si>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</si>
  <si>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</si>
  <si>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</si>
  <si>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</si>
  <si>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</si>
  <si>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</si>
  <si>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</si>
  <si>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</si>
  <si>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</si>
  <si>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</si>
  <si>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</si>
  <si>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</si>
  <si>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</si>
  <si>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</si>
  <si>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</si>
  <si>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</si>
  <si>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</si>
  <si>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</si>
  <si>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</si>
  <si>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</si>
  <si>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</si>
  <si>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</si>
  <si>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</si>
  <si>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</si>
  <si>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</si>
  <si>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</si>
  <si>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</si>
  <si>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</si>
  <si>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</si>
  <si>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</si>
  <si>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</si>
  <si>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</si>
  <si>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</si>
  <si>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</si>
  <si>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</si>
  <si>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</si>
  <si>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</si>
  <si>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</si>
  <si>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</si>
  <si>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</si>
  <si>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</si>
  <si>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</si>
  <si>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</si>
  <si>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</si>
  <si>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</si>
  <si>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</si>
  <si>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</si>
  <si>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</si>
  <si>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</si>
  <si>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</si>
  <si>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</si>
  <si>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</si>
  <si>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</si>
  <si>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</si>
  <si>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</si>
  <si>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</si>
  <si>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</si>
  <si>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</si>
  <si>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</si>
  <si>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</si>
  <si>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</si>
  <si>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</si>
  <si>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</si>
  <si>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</si>
  <si>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</si>
  <si>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</si>
  <si>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</si>
  <si>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</si>
  <si>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</si>
  <si>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</si>
  <si>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</si>
  <si>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</si>
  <si>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</si>
  <si>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</si>
  <si>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</si>
  <si>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</si>
  <si>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</si>
  <si>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</si>
  <si>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</si>
  <si>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</si>
  <si>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</si>
  <si>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</si>
  <si>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</si>
  <si>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</si>
  <si>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</si>
  <si>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</si>
  <si>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</si>
  <si>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</si>
  <si>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</si>
  <si>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</si>
  <si>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</si>
  <si>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</si>
  <si>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</si>
  <si>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</si>
  <si>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</si>
  <si>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</si>
  <si>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</si>
  <si>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</si>
  <si>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</si>
  <si>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</si>
  <si>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</si>
  <si>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</si>
  <si>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</si>
  <si>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</si>
  <si>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</si>
  <si>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</si>
  <si>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</si>
  <si>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</si>
  <si>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</si>
  <si>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</si>
  <si>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</si>
  <si>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</si>
  <si>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</si>
  <si>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</si>
  <si>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</si>
  <si>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</si>
  <si>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</si>
  <si>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</si>
  <si>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</si>
  <si>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</si>
  <si>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</si>
  <si>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</si>
  <si>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</si>
  <si>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</si>
  <si>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</si>
  <si>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</si>
  <si>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</si>
  <si>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</si>
  <si>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</si>
  <si>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</si>
  <si>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</si>
  <si>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</si>
  <si>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</si>
  <si>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</si>
  <si>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</si>
  <si>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</si>
  <si>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</si>
  <si>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</si>
  <si>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</si>
  <si>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</si>
  <si>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</si>
  <si>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</si>
  <si>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</si>
  <si>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</si>
  <si>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</si>
  <si>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</si>
  <si>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</si>
  <si>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</si>
  <si>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</si>
  <si>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</si>
  <si>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</si>
  <si>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</si>
  <si>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</si>
  <si>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</si>
  <si>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</si>
  <si>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</si>
  <si>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</si>
  <si>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</si>
  <si>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</si>
  <si>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</si>
  <si>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</si>
  <si>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</si>
  <si>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</si>
  <si>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</si>
  <si>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</si>
  <si>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</si>
  <si>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</si>
  <si>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</si>
  <si>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</si>
  <si>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</si>
  <si>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</si>
  <si>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</si>
  <si>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</si>
  <si>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</si>
  <si>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</si>
  <si>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</si>
  <si>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</si>
  <si>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</si>
  <si>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</si>
  <si>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</si>
  <si>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</si>
  <si>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</si>
  <si>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</si>
  <si>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</si>
  <si>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</si>
  <si>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</si>
  <si>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</si>
  <si>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</si>
  <si>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</si>
  <si>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</si>
  <si>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</si>
  <si>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</si>
  <si>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</si>
  <si>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</si>
  <si>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</si>
  <si>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</si>
  <si>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</si>
  <si>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</si>
  <si>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</si>
  <si>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</si>
  <si>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</si>
  <si>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</si>
  <si>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</si>
  <si>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</si>
  <si>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</si>
  <si>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</si>
  <si>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</si>
  <si>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</si>
  <si>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</si>
  <si>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</si>
  <si>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</si>
  <si>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</si>
  <si>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</si>
  <si>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</si>
  <si>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</si>
  <si>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</si>
  <si>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</si>
  <si>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</si>
  <si>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</si>
  <si>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</si>
  <si>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</si>
  <si>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</si>
  <si>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</si>
  <si>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</si>
  <si>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</si>
  <si>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</si>
  <si>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</si>
  <si>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</si>
  <si>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</si>
  <si>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</si>
  <si>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</si>
  <si>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</si>
  <si>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</si>
  <si>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</si>
  <si>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</si>
  <si>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</si>
  <si>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</si>
  <si>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</si>
  <si>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</si>
  <si>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</si>
  <si>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</si>
  <si>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</si>
  <si>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</si>
  <si>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</si>
  <si>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</si>
  <si>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</si>
  <si>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</si>
  <si>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</si>
  <si>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</si>
  <si>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</si>
  <si>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</si>
  <si>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</si>
  <si>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</si>
  <si>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</si>
  <si>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</si>
  <si>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</si>
  <si>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</si>
  <si>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</si>
  <si>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</si>
  <si>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</si>
  <si>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</si>
  <si>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</si>
  <si>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</si>
  <si>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</si>
  <si>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</si>
  <si>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</si>
  <si>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</si>
  <si>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</si>
  <si>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</si>
  <si>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</si>
  <si>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</si>
  <si>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</si>
  <si>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</si>
  <si>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</si>
  <si>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</si>
  <si>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</si>
  <si>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</si>
  <si>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</si>
  <si>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</si>
  <si>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</si>
  <si>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</si>
  <si>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</si>
  <si>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</si>
  <si>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</si>
  <si>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</si>
  <si>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</si>
  <si>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</si>
  <si>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</si>
  <si>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</si>
  <si>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</si>
  <si>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</si>
  <si>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</si>
  <si>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</si>
  <si>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</si>
  <si>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</si>
  <si>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</si>
  <si>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</si>
  <si>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</si>
  <si>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</si>
  <si>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</si>
  <si>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</si>
  <si>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</si>
  <si>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</si>
  <si>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</si>
  <si>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</si>
  <si>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</si>
  <si>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</si>
  <si>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</si>
  <si>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</si>
  <si>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</si>
  <si>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</si>
  <si>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</si>
  <si>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</si>
  <si>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</si>
  <si>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</si>
  <si>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</si>
  <si>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</si>
  <si>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</si>
  <si>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</si>
  <si>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</si>
  <si>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</si>
  <si>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</si>
  <si>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</si>
  <si>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</si>
  <si>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</si>
  <si>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</si>
  <si>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</si>
  <si>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</si>
  <si>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</si>
  <si>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</si>
  <si>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</si>
  <si>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</si>
  <si>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</si>
  <si>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</si>
  <si>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</si>
  <si>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</si>
  <si>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</si>
  <si>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</si>
  <si>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</si>
  <si>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</si>
  <si>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</si>
  <si>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</si>
  <si>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</si>
  <si>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</si>
  <si>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</si>
  <si>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</si>
  <si>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</si>
  <si>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</si>
  <si>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</si>
  <si>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</si>
  <si>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</si>
  <si>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</si>
  <si>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</si>
  <si>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</si>
  <si>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</si>
  <si>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</si>
  <si>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</si>
  <si>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</si>
  <si>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</si>
  <si>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</si>
  <si>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</si>
  <si>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</si>
  <si>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</si>
  <si>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</si>
  <si>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</si>
  <si>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</si>
  <si>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</si>
  <si>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</si>
  <si>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</si>
  <si>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</si>
  <si>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</si>
  <si>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</si>
  <si>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</si>
  <si>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</si>
  <si>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</si>
  <si>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</si>
  <si>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</si>
  <si>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</si>
  <si>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</si>
  <si>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</si>
  <si>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</si>
  <si>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</si>
  <si>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</si>
  <si>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</si>
  <si>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</si>
  <si>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</si>
  <si>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</si>
  <si>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</si>
  <si>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</si>
  <si>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</si>
  <si>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</si>
  <si>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</si>
  <si>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</si>
  <si>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</si>
  <si>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</si>
  <si>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</si>
  <si>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</si>
  <si>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</si>
  <si>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</si>
  <si>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</si>
  <si>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</si>
  <si>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</si>
  <si>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</si>
  <si>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</si>
  <si>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</si>
  <si>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</si>
  <si>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</si>
  <si>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</si>
  <si>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</si>
  <si>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</si>
  <si>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</si>
  <si>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</si>
  <si>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</si>
  <si>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</si>
  <si>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</si>
  <si>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</si>
  <si>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</si>
  <si>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</si>
  <si>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</si>
  <si>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</si>
  <si>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</si>
  <si>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</si>
  <si>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</si>
  <si>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</si>
  <si>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</si>
  <si>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</si>
  <si>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</si>
  <si>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</si>
  <si>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</si>
  <si>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</si>
  <si>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</si>
  <si>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</si>
  <si>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</si>
  <si>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</si>
  <si>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</si>
  <si>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</si>
  <si>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</si>
  <si>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</si>
  <si>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</si>
  <si>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</si>
  <si>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</si>
  <si>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</si>
  <si>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</si>
  <si>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</si>
  <si>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</si>
  <si>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</si>
  <si>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</si>
  <si>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</si>
  <si>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</si>
  <si>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</si>
  <si>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</si>
  <si>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</si>
  <si>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</si>
  <si>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</si>
  <si>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</si>
  <si>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</si>
  <si>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</si>
  <si>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</si>
  <si>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</si>
  <si>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</si>
  <si>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</si>
  <si>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</si>
  <si>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</si>
  <si>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</si>
  <si>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</si>
  <si>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</si>
  <si>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</si>
  <si>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</si>
  <si>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</si>
  <si>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</si>
  <si>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</si>
  <si>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</si>
  <si>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</si>
  <si>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</si>
  <si>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</si>
  <si>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</si>
  <si>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</si>
  <si>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</si>
  <si>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</si>
  <si>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</si>
  <si>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</si>
  <si>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</si>
  <si>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</si>
  <si>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</si>
  <si>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</si>
  <si>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</si>
  <si>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</si>
  <si>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</si>
  <si>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</si>
  <si>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</si>
  <si>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</si>
  <si>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</si>
  <si>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</si>
  <si>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</si>
  <si>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</si>
  <si>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</si>
  <si>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</si>
  <si>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</si>
  <si>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</si>
  <si>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</si>
  <si>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</si>
  <si>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</si>
  <si>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</si>
  <si>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</si>
  <si>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</si>
  <si>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</si>
  <si>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</si>
  <si>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</si>
  <si>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</si>
  <si>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</si>
  <si>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</si>
  <si>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</si>
  <si>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</si>
  <si>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</si>
  <si>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</si>
  <si>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</si>
  <si>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</si>
  <si>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</si>
  <si>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</si>
  <si>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</si>
  <si>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</si>
  <si>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</si>
  <si>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</si>
  <si>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</si>
  <si>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</si>
  <si>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</si>
  <si>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</si>
  <si>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</si>
  <si>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</si>
  <si>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</si>
  <si>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</si>
  <si>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</si>
  <si>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</si>
  <si>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</si>
  <si>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</si>
  <si>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</si>
  <si>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</si>
  <si>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</si>
  <si>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</si>
  <si>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</si>
  <si>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</si>
  <si>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</si>
  <si>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</si>
  <si>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</si>
  <si>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</si>
  <si>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</si>
  <si>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</si>
  <si>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</si>
  <si>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</si>
  <si>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</si>
  <si>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</si>
  <si>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</si>
  <si>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</si>
  <si>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</si>
  <si>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</si>
  <si>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</si>
  <si>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</si>
  <si>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</si>
  <si>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</si>
  <si>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</si>
  <si>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</si>
  <si>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</si>
  <si>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</si>
  <si>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</si>
  <si>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</si>
  <si>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</si>
  <si>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</si>
  <si>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</si>
  <si>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</si>
  <si>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</si>
  <si>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</si>
  <si>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</si>
  <si>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</si>
  <si>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</si>
  <si>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</si>
  <si>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</si>
  <si>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</si>
  <si>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</si>
  <si>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</si>
  <si>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</si>
  <si>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</si>
  <si>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</si>
  <si>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</si>
  <si>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</si>
  <si>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</si>
  <si>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</si>
  <si>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</si>
  <si>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</si>
  <si>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</si>
  <si>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</si>
  <si>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</si>
  <si>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</si>
  <si>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</si>
  <si>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</si>
  <si>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</si>
  <si>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</si>
  <si>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</si>
  <si>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</si>
  <si>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</si>
  <si>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</si>
  <si>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</si>
  <si>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</si>
  <si>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</si>
  <si>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</si>
  <si>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</si>
  <si>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</si>
  <si>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</si>
  <si>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</si>
  <si>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</si>
  <si>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</si>
  <si>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</si>
  <si>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</si>
  <si>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</si>
  <si>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</si>
  <si>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</si>
  <si>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</si>
  <si>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</si>
  <si>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</si>
  <si>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</si>
  <si>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</si>
  <si>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</si>
  <si>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</si>
  <si>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</si>
  <si>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</si>
  <si>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</si>
  <si>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</si>
  <si>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</si>
  <si>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</si>
  <si>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</si>
  <si>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</si>
  <si>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</si>
  <si>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</si>
  <si>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</si>
  <si>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</si>
  <si>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</si>
  <si>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</si>
  <si>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</si>
  <si>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</si>
  <si>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</si>
  <si>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</si>
  <si>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</si>
  <si>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</si>
  <si>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</si>
  <si>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</si>
  <si>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</si>
  <si>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</si>
  <si>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</si>
  <si>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</si>
  <si>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</si>
  <si>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</si>
  <si>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</si>
  <si>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</si>
  <si>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</si>
  <si>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</si>
  <si>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</si>
  <si>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</si>
  <si>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</si>
  <si>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</si>
  <si>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</si>
  <si>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</si>
  <si>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</si>
  <si>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</si>
  <si>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</si>
  <si>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</si>
  <si>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</si>
  <si>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</si>
  <si>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</si>
  <si>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</si>
  <si>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</si>
  <si>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</si>
  <si>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</si>
  <si>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</si>
  <si>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</si>
  <si>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</si>
  <si>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</si>
  <si>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</si>
  <si>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</si>
  <si>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</si>
  <si>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</si>
  <si>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</si>
  <si>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</si>
  <si>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</si>
  <si>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</si>
  <si>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</si>
  <si>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</si>
  <si>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</si>
  <si>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</si>
  <si>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</si>
  <si>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</si>
  <si>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</si>
  <si>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</si>
  <si>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</si>
  <si>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</si>
  <si>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</si>
  <si>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</si>
  <si>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</si>
  <si>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</si>
  <si>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</si>
  <si>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</si>
  <si>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</si>
  <si>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</si>
  <si>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</si>
  <si>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</si>
  <si>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</si>
  <si>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</si>
  <si>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</si>
  <si>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</si>
  <si>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</si>
  <si>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</si>
  <si>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</si>
  <si>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</si>
  <si>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</si>
  <si>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</si>
  <si>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</si>
  <si>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</si>
  <si>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</si>
  <si>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</si>
  <si>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</si>
  <si>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</si>
  <si>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</si>
  <si>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</si>
  <si>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</si>
  <si>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</si>
  <si>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</si>
  <si>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</si>
  <si>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</si>
  <si>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</si>
  <si>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</si>
  <si>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</si>
  <si>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</si>
  <si>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</si>
  <si>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</si>
  <si>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</si>
  <si>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</si>
  <si>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</si>
  <si>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</si>
  <si>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</si>
  <si>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</si>
  <si>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</si>
  <si>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</si>
  <si>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</si>
  <si>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</si>
  <si>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</si>
  <si>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</si>
  <si>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</si>
  <si>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</si>
  <si>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</si>
  <si>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</si>
  <si>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</si>
  <si>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</si>
  <si>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</si>
  <si>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</si>
  <si>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</si>
  <si>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</si>
  <si>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</si>
  <si>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</si>
  <si>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</si>
  <si>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</si>
  <si>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</si>
  <si>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</si>
  <si>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</si>
  <si>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</si>
  <si>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</si>
  <si>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</si>
  <si>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</si>
  <si>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</si>
  <si>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</si>
  <si>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</si>
  <si>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</si>
  <si>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</si>
  <si>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</si>
  <si>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</si>
  <si>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</si>
  <si>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</si>
  <si>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</si>
  <si>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</si>
  <si>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</si>
  <si>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</si>
  <si>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</si>
  <si>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</si>
  <si>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</si>
  <si>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</si>
  <si>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</si>
  <si>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</si>
  <si>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</si>
  <si>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</si>
  <si>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</si>
  <si>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</si>
  <si>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</si>
  <si>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</si>
  <si>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</si>
  <si>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</si>
  <si>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</si>
  <si>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</si>
  <si>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</si>
  <si>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</si>
  <si>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</si>
  <si>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</si>
  <si>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</si>
  <si>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</si>
  <si>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</si>
  <si>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</si>
  <si>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</si>
  <si>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</si>
  <si>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</si>
  <si>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</si>
  <si>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</si>
  <si>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</si>
  <si>
    <t>AIR</t>
  </si>
  <si>
    <t>FREIGHT LDV</t>
  </si>
  <si>
    <t>FINAL</t>
  </si>
  <si>
    <t>FREIGHT HDV</t>
  </si>
  <si>
    <t>total energy</t>
  </si>
  <si>
    <t>thing miles</t>
  </si>
  <si>
    <t>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</si>
</sst>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78">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19">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3.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election activeCell="E29" sqref="E29"/>
    </sheetView>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6" t="s">
        <v>631</v>
      </c>
      <c r="B18" s="196">
        <v>8</v>
      </c>
      <c r="C18" s="196">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6" t="s">
        <v>626</v>
      </c>
      <c r="B29" s="196">
        <v>7</v>
      </c>
      <c r="C29" s="196">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topLeftCell="A50" workbookViewId="0"/>
  </sheetViews>
  <sheetFormatPr defaultRowHeight="15" customHeight="1"/>
  <cols>
    <col min="1" max="1" width="11.7109375" customWidth="1"/>
    <col min="2" max="2" width="45.71093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election activeCell="G10" sqref="G10"/>
    </sheetView>
  </sheetViews>
  <sheetFormatPr defaultRowHeight="15" customHeight="1"/>
  <cols>
    <col min="2" max="2" width="75.1406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215" customFormat="1">
      <c r="A29" s="215" t="s">
        <v>1105</v>
      </c>
      <c r="B29" s="215" t="s">
        <v>1106</v>
      </c>
      <c r="C29" s="215" t="s">
        <v>1107</v>
      </c>
      <c r="D29" s="215" t="s">
        <v>354</v>
      </c>
      <c r="F29" s="215">
        <v>4207.2714839999999</v>
      </c>
      <c r="G29" s="215">
        <v>4138.3046880000002</v>
      </c>
      <c r="H29" s="215">
        <v>4077.726807</v>
      </c>
      <c r="I29" s="215">
        <v>4039</v>
      </c>
      <c r="J29" s="215">
        <v>4013.0432129999999</v>
      </c>
      <c r="K29" s="215">
        <v>3976.7475589999999</v>
      </c>
      <c r="L29" s="215">
        <v>3937.7006839999999</v>
      </c>
      <c r="M29" s="215">
        <v>3887.5866700000001</v>
      </c>
      <c r="N29" s="215">
        <v>3833.3549800000001</v>
      </c>
      <c r="O29" s="215">
        <v>3784.2954100000002</v>
      </c>
      <c r="P29" s="215">
        <v>3747.7138669999999</v>
      </c>
      <c r="Q29" s="215">
        <v>3710.2224120000001</v>
      </c>
      <c r="R29" s="215">
        <v>3677.4086910000001</v>
      </c>
      <c r="S29" s="215">
        <v>3652.3420409999999</v>
      </c>
      <c r="T29" s="215">
        <v>3627.3435060000002</v>
      </c>
      <c r="U29" s="215">
        <v>3611.4228520000001</v>
      </c>
      <c r="V29" s="215">
        <v>3599.4960940000001</v>
      </c>
      <c r="W29" s="215">
        <v>3588.51001</v>
      </c>
      <c r="X29" s="215">
        <v>3582.46875</v>
      </c>
      <c r="Y29" s="215">
        <v>3579.7341310000002</v>
      </c>
      <c r="Z29" s="215">
        <v>3579.54126</v>
      </c>
      <c r="AA29" s="215">
        <v>3578.6533199999999</v>
      </c>
      <c r="AB29" s="215">
        <v>3575.9597170000002</v>
      </c>
      <c r="AC29" s="215">
        <v>3570.5195309999999</v>
      </c>
      <c r="AD29" s="215">
        <v>3568.015625</v>
      </c>
      <c r="AE29" s="215">
        <v>3565.4650879999999</v>
      </c>
      <c r="AF29" s="215">
        <v>3558.26001</v>
      </c>
      <c r="AG29" s="215">
        <v>3552.2463379999999</v>
      </c>
      <c r="AH29" s="215">
        <v>3556.4165039999998</v>
      </c>
      <c r="AI29" s="216">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topLeftCell="A91"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AK1" t="s">
        <v>353</v>
      </c>
    </row>
    <row r="10" spans="2:37">
      <c r="B10" t="s">
        <v>301</v>
      </c>
    </row>
    <row r="11" spans="2:37">
      <c r="B11" t="s">
        <v>1185</v>
      </c>
    </row>
    <row r="12" spans="2:37">
      <c r="B12" t="s">
        <v>1186</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K14" t="s">
        <v>540</v>
      </c>
    </row>
    <row r="15" spans="2:37">
      <c r="B15" t="s">
        <v>276</v>
      </c>
      <c r="C15" t="s">
        <v>1187</v>
      </c>
      <c r="D15" t="s">
        <v>1188</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1189</v>
      </c>
      <c r="D16" t="s">
        <v>1190</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1191</v>
      </c>
      <c r="D17" t="s">
        <v>1192</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1193</v>
      </c>
      <c r="D18" t="s">
        <v>1194</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1195</v>
      </c>
      <c r="D19" t="s">
        <v>1196</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1197</v>
      </c>
      <c r="D20" t="s">
        <v>1198</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1199</v>
      </c>
      <c r="D21" t="s">
        <v>1200</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1201</v>
      </c>
      <c r="D22" t="s">
        <v>1202</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1203</v>
      </c>
      <c r="D23" t="s">
        <v>1204</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1205</v>
      </c>
      <c r="D24" t="s">
        <v>1206</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1207</v>
      </c>
      <c r="D25" t="s">
        <v>1208</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1209</v>
      </c>
      <c r="D26" t="s">
        <v>1210</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1211</v>
      </c>
      <c r="D27" t="s">
        <v>1212</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1213</v>
      </c>
      <c r="D28" t="s">
        <v>1214</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1215</v>
      </c>
      <c r="D29" t="s">
        <v>1216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1217</v>
      </c>
      <c r="D30" t="s">
        <v>1218</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1219</v>
      </c>
      <c r="D31" t="s">
        <v>1220</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1221</v>
      </c>
      <c r="D32" t="s">
        <v>1222</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1223</v>
      </c>
      <c r="D33" t="s">
        <v>1224</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1225</v>
      </c>
      <c r="D34" t="s">
        <v>1226</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1227</v>
      </c>
      <c r="D35" t="s">
        <v>1228</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1229</v>
      </c>
      <c r="D36" t="s">
        <v>1230</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1231</v>
      </c>
      <c r="D37" t="s">
        <v>1232</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1233</v>
      </c>
      <c r="D38" t="s">
        <v>1234</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1235</v>
      </c>
      <c r="D39" t="s">
        <v>1236</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1237</v>
      </c>
      <c r="D40" t="s">
        <v>1238</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1239</v>
      </c>
      <c r="D41" t="s">
        <v>1240</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1241</v>
      </c>
      <c r="D42" t="s">
        <v>1242</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1243</v>
      </c>
      <c r="D43" t="s">
        <v>1244</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1245</v>
      </c>
      <c r="D44" t="s">
        <v>1246</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1247</v>
      </c>
      <c r="D45" t="s">
        <v>1248</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1249</v>
      </c>
      <c r="D46" t="s">
        <v>1250</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1251</v>
      </c>
      <c r="D47" t="s">
        <v>1252</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1253</v>
      </c>
      <c r="D48" t="s">
        <v>1254</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1255</v>
      </c>
      <c r="D49" t="s">
        <v>1256</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1257</v>
      </c>
      <c r="D50" t="s">
        <v>1258</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1259</v>
      </c>
      <c r="D51" t="s">
        <v>1260</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1261</v>
      </c>
      <c r="D52" t="s">
        <v>1262</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1263</v>
      </c>
      <c r="D53" t="s">
        <v>1264</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1265</v>
      </c>
      <c r="D54" t="s">
        <v>1109</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1266</v>
      </c>
      <c r="D55" t="s">
        <v>1267</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1268</v>
      </c>
      <c r="D56" t="s">
        <v>1269</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1270</v>
      </c>
      <c r="D57" t="s">
        <v>1271</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1272</v>
      </c>
      <c r="D58" t="s">
        <v>1273</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1274</v>
      </c>
      <c r="D59" t="s">
        <v>1275</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1276</v>
      </c>
      <c r="D60" t="s">
        <v>1277</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1278</v>
      </c>
      <c r="D61" t="s">
        <v>1279</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1280</v>
      </c>
      <c r="D62" t="s">
        <v>1281</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1282</v>
      </c>
      <c r="D63" t="s">
        <v>1283</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1284</v>
      </c>
      <c r="D64" t="s">
        <v>1285</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1286</v>
      </c>
      <c r="D65" t="s">
        <v>1287</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1288</v>
      </c>
      <c r="D66" t="s">
        <v>1289</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1290</v>
      </c>
      <c r="D67" t="s">
        <v>1291</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1292</v>
      </c>
      <c r="D68" t="s">
        <v>1293</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1294</v>
      </c>
      <c r="D69" t="s">
        <v>1295</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1296</v>
      </c>
      <c r="D70" t="s">
        <v>1297</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1298</v>
      </c>
      <c r="D71" t="s">
        <v>1299</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1300</v>
      </c>
      <c r="D72" t="s">
        <v>1301</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1302</v>
      </c>
      <c r="D73" t="s">
        <v>1303</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1304</v>
      </c>
      <c r="D74" t="s">
        <v>1305</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1306</v>
      </c>
      <c r="D75" t="s">
        <v>1307</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1308</v>
      </c>
      <c r="D76" t="s">
        <v>1309</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1310</v>
      </c>
      <c r="D77" t="s">
        <v>1311</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1312</v>
      </c>
      <c r="D78" t="s">
        <v>1313</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1314</v>
      </c>
      <c r="D79" t="s">
        <v>1315</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1316</v>
      </c>
      <c r="D80" t="s">
        <v>1317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1318</v>
      </c>
      <c r="D81" t="s">
        <v>1319</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1320</v>
      </c>
      <c r="D82" t="s">
        <v>1321</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1322</v>
      </c>
      <c r="D83" t="s">
        <v>1323</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1324</v>
      </c>
      <c r="D84" t="s">
        <v>1325</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1326</v>
      </c>
      <c r="D85" t="s">
        <v>1327</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s="181" customFormat="1">
      <c r="B86" s="181" t="s">
        <v>280</v>
      </c>
      <c r="C86" s="181" t="s">
        <v>1328</v>
      </c>
      <c r="D86" s="181" t="s">
        <v>1329</v>
      </c>
      <c r="E86" s="181" t="s">
        <v>354</v>
      </c>
      <c r="G86" s="181">
        <v>43.913421999999997</v>
      </c>
      <c r="H86" s="181">
        <v>45.563988000000002</v>
      </c>
      <c r="I86" s="181">
        <v>46.540951</v>
      </c>
      <c r="J86" s="181">
        <v>47.205399</v>
      </c>
      <c r="K86" s="181">
        <v>47.900013000000001</v>
      </c>
      <c r="L86" s="181">
        <v>48.570526000000001</v>
      </c>
      <c r="M86" s="181">
        <v>49.132919000000001</v>
      </c>
      <c r="N86" s="181">
        <v>49.707282999999997</v>
      </c>
      <c r="O86" s="181">
        <v>50.150032000000003</v>
      </c>
      <c r="P86" s="181">
        <v>50.598678999999997</v>
      </c>
      <c r="Q86" s="181">
        <v>51.139499999999998</v>
      </c>
      <c r="R86" s="181">
        <v>51.726661999999997</v>
      </c>
      <c r="S86" s="181">
        <v>52.369225</v>
      </c>
      <c r="T86" s="181">
        <v>52.923794000000001</v>
      </c>
      <c r="U86" s="181">
        <v>53.456974000000002</v>
      </c>
      <c r="V86" s="181">
        <v>53.972693999999997</v>
      </c>
      <c r="W86" s="181">
        <v>54.509743</v>
      </c>
      <c r="X86" s="181">
        <v>55.033695000000002</v>
      </c>
      <c r="Y86" s="181">
        <v>55.626582999999997</v>
      </c>
      <c r="Z86" s="181">
        <v>56.181145000000001</v>
      </c>
      <c r="AA86" s="181">
        <v>56.753779999999999</v>
      </c>
      <c r="AB86" s="181">
        <v>57.257598999999999</v>
      </c>
      <c r="AC86" s="181">
        <v>57.815627999999997</v>
      </c>
      <c r="AD86" s="181">
        <v>58.366591999999997</v>
      </c>
      <c r="AE86" s="181">
        <v>59.116034999999997</v>
      </c>
      <c r="AF86" s="181">
        <v>59.751427</v>
      </c>
      <c r="AG86" s="181">
        <v>60.444682999999998</v>
      </c>
      <c r="AH86" s="181">
        <v>61.080703999999997</v>
      </c>
      <c r="AI86" s="181">
        <v>61.848125000000003</v>
      </c>
      <c r="AJ86" s="189">
        <v>1.2E-2</v>
      </c>
      <c r="AK86" s="189">
        <v>2.7E-2</v>
      </c>
    </row>
    <row r="87" spans="1:37" s="181" customFormat="1">
      <c r="B87" s="181" t="s">
        <v>326</v>
      </c>
      <c r="C87" s="181" t="s">
        <v>1330</v>
      </c>
      <c r="D87" s="181" t="s">
        <v>1331</v>
      </c>
      <c r="E87" s="181" t="s">
        <v>354</v>
      </c>
      <c r="G87" s="181">
        <v>7.5946369999999996</v>
      </c>
      <c r="H87" s="181">
        <v>8.2708110000000001</v>
      </c>
      <c r="I87" s="181">
        <v>8.8117520000000003</v>
      </c>
      <c r="J87" s="181">
        <v>9.2425239999999995</v>
      </c>
      <c r="K87" s="181">
        <v>9.5890699999999995</v>
      </c>
      <c r="L87" s="181">
        <v>9.8712160000000004</v>
      </c>
      <c r="M87" s="181">
        <v>10.105147000000001</v>
      </c>
      <c r="N87" s="181">
        <v>10.303372</v>
      </c>
      <c r="O87" s="181">
        <v>10.475068</v>
      </c>
      <c r="P87" s="181">
        <v>10.626023999999999</v>
      </c>
      <c r="Q87" s="181">
        <v>10.758953999999999</v>
      </c>
      <c r="R87" s="181">
        <v>10.875567999999999</v>
      </c>
      <c r="S87" s="181">
        <v>10.979032999999999</v>
      </c>
      <c r="T87" s="181">
        <v>11.071654000000001</v>
      </c>
      <c r="U87" s="181">
        <v>11.154877000000001</v>
      </c>
      <c r="V87" s="181">
        <v>11.229654999999999</v>
      </c>
      <c r="W87" s="181">
        <v>11.304667</v>
      </c>
      <c r="X87" s="181">
        <v>11.377219</v>
      </c>
      <c r="Y87" s="181">
        <v>11.447278000000001</v>
      </c>
      <c r="Z87" s="181">
        <v>11.515231999999999</v>
      </c>
      <c r="AA87" s="181">
        <v>11.582255999999999</v>
      </c>
      <c r="AB87" s="181">
        <v>11.648866999999999</v>
      </c>
      <c r="AC87" s="181">
        <v>11.715138</v>
      </c>
      <c r="AD87" s="181">
        <v>11.781057000000001</v>
      </c>
      <c r="AE87" s="181">
        <v>11.847011999999999</v>
      </c>
      <c r="AF87" s="181">
        <v>11.912785</v>
      </c>
      <c r="AG87" s="181">
        <v>11.978335</v>
      </c>
      <c r="AH87" s="181">
        <v>12.043905000000001</v>
      </c>
      <c r="AI87" s="181">
        <v>12.109465</v>
      </c>
      <c r="AJ87" s="189">
        <v>1.7000000000000001E-2</v>
      </c>
      <c r="AK87" s="189">
        <v>0.03</v>
      </c>
    </row>
    <row r="88" spans="1:37" s="181" customFormat="1">
      <c r="B88" s="181" t="s">
        <v>309</v>
      </c>
      <c r="C88" s="181" t="s">
        <v>1332</v>
      </c>
      <c r="D88" s="181" t="s">
        <v>1333</v>
      </c>
      <c r="E88" s="181" t="s">
        <v>354</v>
      </c>
      <c r="G88" s="181">
        <v>0.923149</v>
      </c>
      <c r="H88" s="181">
        <v>1.0053399999999999</v>
      </c>
      <c r="I88" s="181">
        <v>1.0710919999999999</v>
      </c>
      <c r="J88" s="181">
        <v>1.123454</v>
      </c>
      <c r="K88" s="181">
        <v>1.165578</v>
      </c>
      <c r="L88" s="181">
        <v>1.199873</v>
      </c>
      <c r="M88" s="181">
        <v>1.228308</v>
      </c>
      <c r="N88" s="181">
        <v>1.2524029999999999</v>
      </c>
      <c r="O88" s="181">
        <v>1.2732730000000001</v>
      </c>
      <c r="P88" s="181">
        <v>1.291622</v>
      </c>
      <c r="Q88" s="181">
        <v>1.3077799999999999</v>
      </c>
      <c r="R88" s="181">
        <v>1.321955</v>
      </c>
      <c r="S88" s="181">
        <v>1.3345309999999999</v>
      </c>
      <c r="T88" s="181">
        <v>1.34579</v>
      </c>
      <c r="U88" s="181">
        <v>1.3559060000000001</v>
      </c>
      <c r="V88" s="181">
        <v>1.364995</v>
      </c>
      <c r="W88" s="181">
        <v>1.3741129999999999</v>
      </c>
      <c r="X88" s="181">
        <v>1.3829320000000001</v>
      </c>
      <c r="Y88" s="181">
        <v>1.391448</v>
      </c>
      <c r="Z88" s="181">
        <v>1.399708</v>
      </c>
      <c r="AA88" s="181">
        <v>1.4078550000000001</v>
      </c>
      <c r="AB88" s="181">
        <v>1.4159520000000001</v>
      </c>
      <c r="AC88" s="181">
        <v>1.4240060000000001</v>
      </c>
      <c r="AD88" s="181">
        <v>1.4320189999999999</v>
      </c>
      <c r="AE88" s="181">
        <v>1.440037</v>
      </c>
      <c r="AF88" s="181">
        <v>1.4480310000000001</v>
      </c>
      <c r="AG88" s="181">
        <v>1.455999</v>
      </c>
      <c r="AH88" s="181">
        <v>1.4639690000000001</v>
      </c>
      <c r="AI88" s="181">
        <v>1.471938</v>
      </c>
      <c r="AJ88" s="189">
        <v>1.7000000000000001E-2</v>
      </c>
      <c r="AK88" s="189">
        <v>0.03</v>
      </c>
    </row>
    <row r="89" spans="1:37" s="181" customFormat="1">
      <c r="B89" s="181" t="s">
        <v>327</v>
      </c>
      <c r="C89" s="181" t="s">
        <v>1334</v>
      </c>
      <c r="D89" s="181" t="s">
        <v>1335</v>
      </c>
      <c r="E89" s="181" t="s">
        <v>354</v>
      </c>
      <c r="G89" s="181">
        <v>6.6714880000000001</v>
      </c>
      <c r="H89" s="181">
        <v>7.2654709999999998</v>
      </c>
      <c r="I89" s="181">
        <v>7.7406600000000001</v>
      </c>
      <c r="J89" s="181">
        <v>8.1190700000000007</v>
      </c>
      <c r="K89" s="181">
        <v>8.4234919999999995</v>
      </c>
      <c r="L89" s="181">
        <v>8.6713430000000002</v>
      </c>
      <c r="M89" s="181">
        <v>8.8768399999999996</v>
      </c>
      <c r="N89" s="181">
        <v>9.0509690000000003</v>
      </c>
      <c r="O89" s="181">
        <v>9.2017959999999999</v>
      </c>
      <c r="P89" s="181">
        <v>9.3344020000000008</v>
      </c>
      <c r="Q89" s="181">
        <v>9.451174</v>
      </c>
      <c r="R89" s="181">
        <v>9.5536139999999996</v>
      </c>
      <c r="S89" s="181">
        <v>9.6445030000000003</v>
      </c>
      <c r="T89" s="181">
        <v>9.7258639999999996</v>
      </c>
      <c r="U89" s="181">
        <v>9.7989709999999999</v>
      </c>
      <c r="V89" s="181">
        <v>9.8646600000000007</v>
      </c>
      <c r="W89" s="181">
        <v>9.9305540000000008</v>
      </c>
      <c r="X89" s="181">
        <v>9.9942869999999999</v>
      </c>
      <c r="Y89" s="181">
        <v>10.05583</v>
      </c>
      <c r="Z89" s="181">
        <v>10.115524000000001</v>
      </c>
      <c r="AA89" s="181">
        <v>10.174401</v>
      </c>
      <c r="AB89" s="181">
        <v>10.232915</v>
      </c>
      <c r="AC89" s="181">
        <v>10.291131999999999</v>
      </c>
      <c r="AD89" s="181">
        <v>10.349038</v>
      </c>
      <c r="AE89" s="181">
        <v>10.406974999999999</v>
      </c>
      <c r="AF89" s="181">
        <v>10.464753</v>
      </c>
      <c r="AG89" s="181">
        <v>10.522335999999999</v>
      </c>
      <c r="AH89" s="181">
        <v>10.579936</v>
      </c>
      <c r="AI89" s="181">
        <v>10.637527</v>
      </c>
      <c r="AJ89" s="189">
        <v>1.7000000000000001E-2</v>
      </c>
      <c r="AK89" s="189">
        <v>0.03</v>
      </c>
    </row>
    <row r="90" spans="1:37" s="181" customFormat="1">
      <c r="B90" s="181" t="s">
        <v>316</v>
      </c>
      <c r="C90" s="181" t="s">
        <v>1336</v>
      </c>
      <c r="D90" s="181" t="s">
        <v>1337</v>
      </c>
      <c r="E90" s="181" t="s">
        <v>354</v>
      </c>
      <c r="G90" s="181">
        <v>0</v>
      </c>
      <c r="H90" s="181">
        <v>0</v>
      </c>
      <c r="I90" s="181">
        <v>0</v>
      </c>
      <c r="J90" s="181">
        <v>0</v>
      </c>
      <c r="K90" s="181">
        <v>0</v>
      </c>
      <c r="L90" s="181">
        <v>0</v>
      </c>
      <c r="M90" s="181">
        <v>0</v>
      </c>
      <c r="N90" s="181">
        <v>0</v>
      </c>
      <c r="O90" s="181">
        <v>0</v>
      </c>
      <c r="P90" s="181">
        <v>0</v>
      </c>
      <c r="Q90" s="181">
        <v>0</v>
      </c>
      <c r="R90" s="181">
        <v>0</v>
      </c>
      <c r="S90" s="181">
        <v>0</v>
      </c>
      <c r="T90" s="181">
        <v>0</v>
      </c>
      <c r="U90" s="181">
        <v>0</v>
      </c>
      <c r="V90" s="181">
        <v>0</v>
      </c>
      <c r="W90" s="181">
        <v>0</v>
      </c>
      <c r="X90" s="181">
        <v>0</v>
      </c>
      <c r="Y90" s="181">
        <v>0</v>
      </c>
      <c r="Z90" s="181">
        <v>0</v>
      </c>
      <c r="AA90" s="181">
        <v>0</v>
      </c>
      <c r="AB90" s="181">
        <v>0</v>
      </c>
      <c r="AC90" s="181">
        <v>0</v>
      </c>
      <c r="AD90" s="181">
        <v>0</v>
      </c>
      <c r="AE90" s="181">
        <v>0</v>
      </c>
      <c r="AF90" s="181">
        <v>0</v>
      </c>
      <c r="AG90" s="181">
        <v>0</v>
      </c>
      <c r="AH90" s="181">
        <v>0</v>
      </c>
      <c r="AI90" s="181">
        <v>0</v>
      </c>
      <c r="AJ90" s="181" t="s">
        <v>117</v>
      </c>
      <c r="AK90" s="181" t="s">
        <v>117</v>
      </c>
    </row>
    <row r="91" spans="1:37" s="181" customFormat="1">
      <c r="B91" s="181" t="s">
        <v>317</v>
      </c>
      <c r="C91" s="181" t="s">
        <v>1338</v>
      </c>
      <c r="D91" s="181" t="s">
        <v>1339</v>
      </c>
      <c r="E91" s="181" t="s">
        <v>354</v>
      </c>
      <c r="G91" s="181">
        <v>0</v>
      </c>
      <c r="H91" s="181">
        <v>0</v>
      </c>
      <c r="I91" s="181">
        <v>0</v>
      </c>
      <c r="J91" s="181">
        <v>0</v>
      </c>
      <c r="K91" s="181">
        <v>0</v>
      </c>
      <c r="L91" s="181">
        <v>0</v>
      </c>
      <c r="M91" s="181">
        <v>0</v>
      </c>
      <c r="N91" s="181">
        <v>0</v>
      </c>
      <c r="O91" s="181">
        <v>0</v>
      </c>
      <c r="P91" s="181">
        <v>0</v>
      </c>
      <c r="Q91" s="181">
        <v>0</v>
      </c>
      <c r="R91" s="181">
        <v>0</v>
      </c>
      <c r="S91" s="181">
        <v>0</v>
      </c>
      <c r="T91" s="181">
        <v>0</v>
      </c>
      <c r="U91" s="181">
        <v>0</v>
      </c>
      <c r="V91" s="181">
        <v>0</v>
      </c>
      <c r="W91" s="181">
        <v>0</v>
      </c>
      <c r="X91" s="181">
        <v>0</v>
      </c>
      <c r="Y91" s="181">
        <v>0</v>
      </c>
      <c r="Z91" s="181">
        <v>0</v>
      </c>
      <c r="AA91" s="181">
        <v>0</v>
      </c>
      <c r="AB91" s="181">
        <v>0</v>
      </c>
      <c r="AC91" s="181">
        <v>0</v>
      </c>
      <c r="AD91" s="181">
        <v>0</v>
      </c>
      <c r="AE91" s="181">
        <v>0</v>
      </c>
      <c r="AF91" s="181">
        <v>0</v>
      </c>
      <c r="AG91" s="181">
        <v>0</v>
      </c>
      <c r="AH91" s="181">
        <v>0</v>
      </c>
      <c r="AI91" s="181">
        <v>0</v>
      </c>
      <c r="AJ91" s="181" t="s">
        <v>117</v>
      </c>
      <c r="AK91" s="181" t="s">
        <v>117</v>
      </c>
    </row>
    <row r="92" spans="1:37" s="181" customFormat="1">
      <c r="B92" s="181" t="s">
        <v>328</v>
      </c>
      <c r="C92" s="181" t="s">
        <v>1340</v>
      </c>
      <c r="D92" s="181" t="s">
        <v>1341</v>
      </c>
      <c r="E92" s="181" t="s">
        <v>354</v>
      </c>
      <c r="G92" s="181">
        <v>17.032639</v>
      </c>
      <c r="H92" s="181">
        <v>17.333525000000002</v>
      </c>
      <c r="I92" s="181">
        <v>17.471111000000001</v>
      </c>
      <c r="J92" s="181">
        <v>17.514868</v>
      </c>
      <c r="K92" s="181">
        <v>17.667708999999999</v>
      </c>
      <c r="L92" s="181">
        <v>17.921016999999999</v>
      </c>
      <c r="M92" s="181">
        <v>18.139037999999999</v>
      </c>
      <c r="N92" s="181">
        <v>18.293453</v>
      </c>
      <c r="O92" s="181">
        <v>18.389309000000001</v>
      </c>
      <c r="P92" s="181">
        <v>18.446940999999999</v>
      </c>
      <c r="Q92" s="181">
        <v>18.571213</v>
      </c>
      <c r="R92" s="181">
        <v>18.730657999999998</v>
      </c>
      <c r="S92" s="181">
        <v>18.930088000000001</v>
      </c>
      <c r="T92" s="181">
        <v>19.092124999999999</v>
      </c>
      <c r="U92" s="181">
        <v>19.259436000000001</v>
      </c>
      <c r="V92" s="181">
        <v>19.415512</v>
      </c>
      <c r="W92" s="181">
        <v>19.584526</v>
      </c>
      <c r="X92" s="181">
        <v>19.751868999999999</v>
      </c>
      <c r="Y92" s="181">
        <v>19.950641999999998</v>
      </c>
      <c r="Z92" s="181">
        <v>20.133372999999999</v>
      </c>
      <c r="AA92" s="181">
        <v>20.325230000000001</v>
      </c>
      <c r="AB92" s="181">
        <v>20.481424000000001</v>
      </c>
      <c r="AC92" s="181">
        <v>20.667052999999999</v>
      </c>
      <c r="AD92" s="181">
        <v>20.844881000000001</v>
      </c>
      <c r="AE92" s="181">
        <v>21.123301999999999</v>
      </c>
      <c r="AF92" s="181">
        <v>21.333514999999998</v>
      </c>
      <c r="AG92" s="181">
        <v>21.575635999999999</v>
      </c>
      <c r="AH92" s="181">
        <v>21.790666999999999</v>
      </c>
      <c r="AI92" s="181">
        <v>22.070596999999999</v>
      </c>
      <c r="AJ92" s="189">
        <v>8.9999999999999993E-3</v>
      </c>
      <c r="AK92" s="189">
        <v>2.5999999999999999E-2</v>
      </c>
    </row>
    <row r="93" spans="1:37" s="181" customFormat="1">
      <c r="B93" s="181" t="s">
        <v>309</v>
      </c>
      <c r="C93" s="181" t="s">
        <v>1342</v>
      </c>
      <c r="D93" s="181" t="s">
        <v>1343</v>
      </c>
      <c r="E93" s="181" t="s">
        <v>354</v>
      </c>
      <c r="G93" s="181">
        <v>17.032639</v>
      </c>
      <c r="H93" s="181">
        <v>17.333525000000002</v>
      </c>
      <c r="I93" s="181">
        <v>17.471111000000001</v>
      </c>
      <c r="J93" s="181">
        <v>17.514868</v>
      </c>
      <c r="K93" s="181">
        <v>17.667708999999999</v>
      </c>
      <c r="L93" s="181">
        <v>17.921016999999999</v>
      </c>
      <c r="M93" s="181">
        <v>18.139037999999999</v>
      </c>
      <c r="N93" s="181">
        <v>18.293453</v>
      </c>
      <c r="O93" s="181">
        <v>18.389309000000001</v>
      </c>
      <c r="P93" s="181">
        <v>18.446940999999999</v>
      </c>
      <c r="Q93" s="181">
        <v>18.571213</v>
      </c>
      <c r="R93" s="181">
        <v>18.730657999999998</v>
      </c>
      <c r="S93" s="181">
        <v>18.930088000000001</v>
      </c>
      <c r="T93" s="181">
        <v>19.092124999999999</v>
      </c>
      <c r="U93" s="181">
        <v>19.259436000000001</v>
      </c>
      <c r="V93" s="181">
        <v>19.415512</v>
      </c>
      <c r="W93" s="181">
        <v>19.584526</v>
      </c>
      <c r="X93" s="181">
        <v>19.751868999999999</v>
      </c>
      <c r="Y93" s="181">
        <v>19.950641999999998</v>
      </c>
      <c r="Z93" s="181">
        <v>20.133372999999999</v>
      </c>
      <c r="AA93" s="181">
        <v>20.325230000000001</v>
      </c>
      <c r="AB93" s="181">
        <v>20.481424000000001</v>
      </c>
      <c r="AC93" s="181">
        <v>20.667052999999999</v>
      </c>
      <c r="AD93" s="181">
        <v>20.844881000000001</v>
      </c>
      <c r="AE93" s="181">
        <v>21.123301999999999</v>
      </c>
      <c r="AF93" s="181">
        <v>21.333514999999998</v>
      </c>
      <c r="AG93" s="181">
        <v>21.575635999999999</v>
      </c>
      <c r="AH93" s="181">
        <v>21.790666999999999</v>
      </c>
      <c r="AI93" s="181">
        <v>22.070596999999999</v>
      </c>
      <c r="AJ93" s="189">
        <v>8.9999999999999993E-3</v>
      </c>
      <c r="AK93" s="189">
        <v>2.5999999999999999E-2</v>
      </c>
    </row>
    <row r="94" spans="1:37" s="181" customFormat="1">
      <c r="B94" s="181" t="s">
        <v>329</v>
      </c>
      <c r="C94" s="181" t="s">
        <v>1344</v>
      </c>
      <c r="D94" s="181" t="s">
        <v>1345</v>
      </c>
      <c r="E94" s="181" t="s">
        <v>354</v>
      </c>
      <c r="G94" s="181">
        <v>19.286148000000001</v>
      </c>
      <c r="H94" s="181">
        <v>19.959654</v>
      </c>
      <c r="I94" s="181">
        <v>20.258087</v>
      </c>
      <c r="J94" s="181">
        <v>20.448008000000002</v>
      </c>
      <c r="K94" s="181">
        <v>20.643234</v>
      </c>
      <c r="L94" s="181">
        <v>20.778293999999999</v>
      </c>
      <c r="M94" s="181">
        <v>20.888736999999999</v>
      </c>
      <c r="N94" s="181">
        <v>21.11046</v>
      </c>
      <c r="O94" s="181">
        <v>21.285655999999999</v>
      </c>
      <c r="P94" s="181">
        <v>21.525711000000001</v>
      </c>
      <c r="Q94" s="181">
        <v>21.809334</v>
      </c>
      <c r="R94" s="181">
        <v>22.120438</v>
      </c>
      <c r="S94" s="181">
        <v>22.460100000000001</v>
      </c>
      <c r="T94" s="181">
        <v>22.760014000000002</v>
      </c>
      <c r="U94" s="181">
        <v>23.042663999999998</v>
      </c>
      <c r="V94" s="181">
        <v>23.327525999999999</v>
      </c>
      <c r="W94" s="181">
        <v>23.620547999999999</v>
      </c>
      <c r="X94" s="181">
        <v>23.904606000000001</v>
      </c>
      <c r="Y94" s="181">
        <v>24.228663999999998</v>
      </c>
      <c r="Z94" s="181">
        <v>24.532539</v>
      </c>
      <c r="AA94" s="181">
        <v>24.846294</v>
      </c>
      <c r="AB94" s="181">
        <v>25.127307999999999</v>
      </c>
      <c r="AC94" s="181">
        <v>25.433437000000001</v>
      </c>
      <c r="AD94" s="181">
        <v>25.740656000000001</v>
      </c>
      <c r="AE94" s="181">
        <v>26.145723</v>
      </c>
      <c r="AF94" s="181">
        <v>26.505127000000002</v>
      </c>
      <c r="AG94" s="181">
        <v>26.890711</v>
      </c>
      <c r="AH94" s="181">
        <v>27.246131999999999</v>
      </c>
      <c r="AI94" s="181">
        <v>27.668061999999999</v>
      </c>
      <c r="AJ94" s="189">
        <v>1.2999999999999999E-2</v>
      </c>
      <c r="AK94" s="189">
        <v>2.5000000000000001E-2</v>
      </c>
    </row>
    <row r="95" spans="1:37" s="181" customFormat="1">
      <c r="B95" s="181" t="s">
        <v>309</v>
      </c>
      <c r="C95" s="181" t="s">
        <v>1346</v>
      </c>
      <c r="D95" s="181" t="s">
        <v>1347</v>
      </c>
      <c r="E95" s="181" t="s">
        <v>354</v>
      </c>
      <c r="G95" s="181">
        <v>6.9668039999999998</v>
      </c>
      <c r="H95" s="181">
        <v>7.2055709999999999</v>
      </c>
      <c r="I95" s="181">
        <v>7.3069870000000003</v>
      </c>
      <c r="J95" s="181">
        <v>7.3605080000000003</v>
      </c>
      <c r="K95" s="181">
        <v>7.3962209999999997</v>
      </c>
      <c r="L95" s="181">
        <v>7.4034529999999998</v>
      </c>
      <c r="M95" s="181">
        <v>7.4034849999999999</v>
      </c>
      <c r="N95" s="181">
        <v>7.4601230000000003</v>
      </c>
      <c r="O95" s="181">
        <v>7.5075329999999996</v>
      </c>
      <c r="P95" s="181">
        <v>7.6063049999999999</v>
      </c>
      <c r="Q95" s="181">
        <v>7.7227600000000001</v>
      </c>
      <c r="R95" s="181">
        <v>7.8505010000000004</v>
      </c>
      <c r="S95" s="181">
        <v>7.987139</v>
      </c>
      <c r="T95" s="181">
        <v>8.1068239999999996</v>
      </c>
      <c r="U95" s="181">
        <v>8.2209280000000007</v>
      </c>
      <c r="V95" s="181">
        <v>8.3371739999999992</v>
      </c>
      <c r="W95" s="181">
        <v>8.4559110000000004</v>
      </c>
      <c r="X95" s="181">
        <v>8.5701509999999992</v>
      </c>
      <c r="Y95" s="181">
        <v>8.700564</v>
      </c>
      <c r="Z95" s="181">
        <v>8.8238339999999997</v>
      </c>
      <c r="AA95" s="181">
        <v>8.9493679999999998</v>
      </c>
      <c r="AB95" s="181">
        <v>9.0625599999999995</v>
      </c>
      <c r="AC95" s="181">
        <v>9.1843959999999996</v>
      </c>
      <c r="AD95" s="181">
        <v>9.3055529999999997</v>
      </c>
      <c r="AE95" s="181">
        <v>9.4632129999999997</v>
      </c>
      <c r="AF95" s="181">
        <v>9.6034579999999998</v>
      </c>
      <c r="AG95" s="181">
        <v>9.7528290000000002</v>
      </c>
      <c r="AH95" s="181">
        <v>9.890326</v>
      </c>
      <c r="AI95" s="181">
        <v>10.053587</v>
      </c>
      <c r="AJ95" s="189">
        <v>1.2999999999999999E-2</v>
      </c>
      <c r="AK95" s="189">
        <v>2.5000000000000001E-2</v>
      </c>
    </row>
    <row r="96" spans="1:37" s="181" customFormat="1">
      <c r="B96" s="181" t="s">
        <v>327</v>
      </c>
      <c r="C96" s="181" t="s">
        <v>1348</v>
      </c>
      <c r="D96" s="181" t="s">
        <v>1349</v>
      </c>
      <c r="E96" s="181" t="s">
        <v>354</v>
      </c>
      <c r="G96" s="181">
        <v>12.319345</v>
      </c>
      <c r="H96" s="181">
        <v>12.754084000000001</v>
      </c>
      <c r="I96" s="181">
        <v>12.951098999999999</v>
      </c>
      <c r="J96" s="181">
        <v>13.0875</v>
      </c>
      <c r="K96" s="181">
        <v>13.247013000000001</v>
      </c>
      <c r="L96" s="181">
        <v>13.374840000000001</v>
      </c>
      <c r="M96" s="181">
        <v>13.485250000000001</v>
      </c>
      <c r="N96" s="181">
        <v>13.650337</v>
      </c>
      <c r="O96" s="181">
        <v>13.778123000000001</v>
      </c>
      <c r="P96" s="181">
        <v>13.919407</v>
      </c>
      <c r="Q96" s="181">
        <v>14.086574000000001</v>
      </c>
      <c r="R96" s="181">
        <v>14.269936</v>
      </c>
      <c r="S96" s="181">
        <v>14.47296</v>
      </c>
      <c r="T96" s="181">
        <v>14.65319</v>
      </c>
      <c r="U96" s="181">
        <v>14.821736</v>
      </c>
      <c r="V96" s="181">
        <v>14.990353000000001</v>
      </c>
      <c r="W96" s="181">
        <v>15.164637000000001</v>
      </c>
      <c r="X96" s="181">
        <v>15.334455</v>
      </c>
      <c r="Y96" s="181">
        <v>15.528098999999999</v>
      </c>
      <c r="Z96" s="181">
        <v>15.708705999999999</v>
      </c>
      <c r="AA96" s="181">
        <v>15.896927</v>
      </c>
      <c r="AB96" s="181">
        <v>16.064747000000001</v>
      </c>
      <c r="AC96" s="181">
        <v>16.249043</v>
      </c>
      <c r="AD96" s="181">
        <v>16.435102000000001</v>
      </c>
      <c r="AE96" s="181">
        <v>16.682510000000001</v>
      </c>
      <c r="AF96" s="181">
        <v>16.901668999999998</v>
      </c>
      <c r="AG96" s="181">
        <v>17.137882000000001</v>
      </c>
      <c r="AH96" s="181">
        <v>17.355803999999999</v>
      </c>
      <c r="AI96" s="181">
        <v>17.614474999999999</v>
      </c>
      <c r="AJ96" s="189">
        <v>1.2999999999999999E-2</v>
      </c>
      <c r="AK96" s="189">
        <v>2.5999999999999999E-2</v>
      </c>
    </row>
    <row r="97" spans="1:37" s="181" customFormat="1">
      <c r="B97" s="181" t="s">
        <v>316</v>
      </c>
      <c r="C97" s="181" t="s">
        <v>1350</v>
      </c>
      <c r="D97" s="181" t="s">
        <v>1351</v>
      </c>
      <c r="E97" s="181" t="s">
        <v>354</v>
      </c>
      <c r="G97" s="181">
        <v>0</v>
      </c>
      <c r="H97" s="181">
        <v>0</v>
      </c>
      <c r="I97" s="181">
        <v>0</v>
      </c>
      <c r="J97" s="181">
        <v>0</v>
      </c>
      <c r="K97" s="181">
        <v>0</v>
      </c>
      <c r="L97" s="181">
        <v>0</v>
      </c>
      <c r="M97" s="181">
        <v>0</v>
      </c>
      <c r="N97" s="181">
        <v>0</v>
      </c>
      <c r="O97" s="181">
        <v>0</v>
      </c>
      <c r="P97" s="181">
        <v>0</v>
      </c>
      <c r="Q97" s="181">
        <v>0</v>
      </c>
      <c r="R97" s="181">
        <v>0</v>
      </c>
      <c r="S97" s="181">
        <v>0</v>
      </c>
      <c r="T97" s="181">
        <v>0</v>
      </c>
      <c r="U97" s="181">
        <v>0</v>
      </c>
      <c r="V97" s="181">
        <v>0</v>
      </c>
      <c r="W97" s="181">
        <v>0</v>
      </c>
      <c r="X97" s="181">
        <v>0</v>
      </c>
      <c r="Y97" s="181">
        <v>0</v>
      </c>
      <c r="Z97" s="181">
        <v>0</v>
      </c>
      <c r="AA97" s="181">
        <v>0</v>
      </c>
      <c r="AB97" s="181">
        <v>0</v>
      </c>
      <c r="AC97" s="181">
        <v>0</v>
      </c>
      <c r="AD97" s="181">
        <v>0</v>
      </c>
      <c r="AE97" s="181">
        <v>0</v>
      </c>
      <c r="AF97" s="181">
        <v>0</v>
      </c>
      <c r="AG97" s="181">
        <v>0</v>
      </c>
      <c r="AH97" s="181">
        <v>0</v>
      </c>
      <c r="AI97" s="181">
        <v>0</v>
      </c>
      <c r="AJ97" s="181" t="s">
        <v>117</v>
      </c>
      <c r="AK97" s="181" t="s">
        <v>117</v>
      </c>
    </row>
    <row r="98" spans="1:37" s="181" customFormat="1">
      <c r="B98" s="181" t="s">
        <v>317</v>
      </c>
      <c r="C98" s="181" t="s">
        <v>1352</v>
      </c>
      <c r="D98" s="181" t="s">
        <v>1353</v>
      </c>
      <c r="E98" s="181" t="s">
        <v>354</v>
      </c>
      <c r="G98" s="181">
        <v>0</v>
      </c>
      <c r="H98" s="181">
        <v>0</v>
      </c>
      <c r="I98" s="181">
        <v>0</v>
      </c>
      <c r="J98" s="181">
        <v>0</v>
      </c>
      <c r="K98" s="181">
        <v>0</v>
      </c>
      <c r="L98" s="181">
        <v>0</v>
      </c>
      <c r="M98" s="181">
        <v>0</v>
      </c>
      <c r="N98" s="181">
        <v>0</v>
      </c>
      <c r="O98" s="181">
        <v>0</v>
      </c>
      <c r="P98" s="181">
        <v>0</v>
      </c>
      <c r="Q98" s="181">
        <v>0</v>
      </c>
      <c r="R98" s="181">
        <v>0</v>
      </c>
      <c r="S98" s="181">
        <v>0</v>
      </c>
      <c r="T98" s="181">
        <v>0</v>
      </c>
      <c r="U98" s="181">
        <v>0</v>
      </c>
      <c r="V98" s="181">
        <v>0</v>
      </c>
      <c r="W98" s="181">
        <v>0</v>
      </c>
      <c r="X98" s="181">
        <v>0</v>
      </c>
      <c r="Y98" s="181">
        <v>0</v>
      </c>
      <c r="Z98" s="181">
        <v>0</v>
      </c>
      <c r="AA98" s="181">
        <v>0</v>
      </c>
      <c r="AB98" s="181">
        <v>0</v>
      </c>
      <c r="AC98" s="181">
        <v>0</v>
      </c>
      <c r="AD98" s="181">
        <v>0</v>
      </c>
      <c r="AE98" s="181">
        <v>0</v>
      </c>
      <c r="AF98" s="181">
        <v>0</v>
      </c>
      <c r="AG98" s="181">
        <v>0</v>
      </c>
      <c r="AH98" s="181">
        <v>0</v>
      </c>
      <c r="AI98" s="181">
        <v>0</v>
      </c>
      <c r="AJ98" s="181" t="s">
        <v>117</v>
      </c>
      <c r="AK98" s="181" t="s">
        <v>117</v>
      </c>
    </row>
    <row r="99" spans="1:37">
      <c r="B99" t="s">
        <v>281</v>
      </c>
      <c r="C99" t="s">
        <v>1354</v>
      </c>
      <c r="D99" t="s">
        <v>1355</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1356</v>
      </c>
      <c r="D100" t="s">
        <v>1357</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1358</v>
      </c>
      <c r="D101" t="s">
        <v>1359</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1360</v>
      </c>
      <c r="D102" t="s">
        <v>1141</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1181</v>
      </c>
      <c r="D103" t="s">
        <v>1143</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1144</v>
      </c>
      <c r="C104" t="s">
        <v>1182</v>
      </c>
      <c r="D104" t="s">
        <v>1146</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1361</v>
      </c>
      <c r="D105" t="s">
        <v>1184</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topLeftCell="A57" workbookViewId="0">
      <selection activeCell="E61" sqref="E61"/>
    </sheetView>
  </sheetViews>
  <sheetFormatPr defaultRowHeight="15" customHeight="1"/>
  <cols>
    <col min="1" max="1" width="21.7109375" bestFit="1"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c r="B10" t="s">
        <v>355</v>
      </c>
    </row>
    <row r="11" spans="2:38">
      <c r="B11" t="s">
        <v>1426</v>
      </c>
    </row>
    <row r="12" spans="2:38">
      <c r="B12" t="s">
        <v>1427</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c r="B15" t="s">
        <v>356</v>
      </c>
    </row>
    <row r="16" spans="2:38">
      <c r="B16" t="s">
        <v>357</v>
      </c>
    </row>
    <row r="17" spans="2:38">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c r="B60" s="190" t="s">
        <v>311</v>
      </c>
    </row>
    <row r="61" spans="1:38" s="190" customFormat="1">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c r="B10" t="s">
        <v>384</v>
      </c>
    </row>
    <row r="11" spans="2:36">
      <c r="B11" t="s">
        <v>1520</v>
      </c>
    </row>
    <row r="12" spans="2:36">
      <c r="B12" t="s">
        <v>1521</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c r="B15" t="s">
        <v>356</v>
      </c>
    </row>
    <row r="16" spans="2:36">
      <c r="B16" t="s">
        <v>357</v>
      </c>
    </row>
    <row r="17" spans="2:38">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c r="A10" t="s">
        <v>455</v>
      </c>
    </row>
    <row r="11" spans="1:37">
      <c r="A11" t="s">
        <v>2035</v>
      </c>
    </row>
    <row r="12" spans="1:37">
      <c r="A12" t="s">
        <v>2036</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c r="A15" t="s">
        <v>127</v>
      </c>
    </row>
    <row r="16" spans="1:37">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topLeftCell="A104" workbookViewId="0">
      <selection activeCell="B121" sqref="B121"/>
    </sheetView>
  </sheetViews>
  <sheetFormatPr defaultRowHeight="15" customHeight="1"/>
  <cols>
    <col min="1" max="1" width="11" style="23" customWidth="1"/>
    <col min="2" max="2" width="33"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217" t="s">
        <v>114</v>
      </c>
      <c r="B121" s="1" t="s">
        <v>327</v>
      </c>
      <c r="C121" s="1" t="s">
        <v>2567</v>
      </c>
      <c r="D121" s="1" t="s">
        <v>2568</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18">
        <v>8.9999999999999993E-3</v>
      </c>
      <c r="AL121" s="218"/>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topLeftCell="A13"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G96"/>
  <sheetViews>
    <sheetView workbookViewId="0"/>
  </sheetViews>
  <sheetFormatPr defaultRowHeight="15"/>
  <cols>
    <col min="1" max="1" width="39.28515625" customWidth="1"/>
    <col min="2" max="2" width="89.85546875" bestFit="1" customWidth="1"/>
  </cols>
  <sheetData>
    <row r="1" spans="1:33">
      <c r="A1" t="s">
        <v>301</v>
      </c>
    </row>
    <row r="2" spans="1:33">
      <c r="A2" t="s">
        <v>3067</v>
      </c>
    </row>
    <row r="3" spans="1:33">
      <c r="A3" t="s">
        <v>3068</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276</v>
      </c>
      <c r="B6" t="s">
        <v>3069</v>
      </c>
      <c r="C6" t="s">
        <v>3070</v>
      </c>
      <c r="D6" t="s">
        <v>354</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31">
        <v>-8.0000000000000002E-3</v>
      </c>
    </row>
    <row r="7" spans="1:33">
      <c r="A7" t="s">
        <v>304</v>
      </c>
      <c r="B7" t="s">
        <v>3071</v>
      </c>
      <c r="C7" t="s">
        <v>3072</v>
      </c>
      <c r="D7" t="s">
        <v>354</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31">
        <v>-1.2E-2</v>
      </c>
    </row>
    <row r="8" spans="1:33">
      <c r="A8" t="s">
        <v>305</v>
      </c>
      <c r="B8" t="s">
        <v>3073</v>
      </c>
      <c r="C8" t="s">
        <v>3074</v>
      </c>
      <c r="D8" t="s">
        <v>354</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31">
        <v>-5.3999999999999999E-2</v>
      </c>
    </row>
    <row r="9" spans="1:33">
      <c r="A9" t="s">
        <v>306</v>
      </c>
      <c r="B9" t="s">
        <v>3075</v>
      </c>
      <c r="C9" t="s">
        <v>3076</v>
      </c>
      <c r="D9" t="s">
        <v>354</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31">
        <v>2.1000000000000001E-2</v>
      </c>
    </row>
    <row r="10" spans="1:33">
      <c r="A10" t="s">
        <v>307</v>
      </c>
      <c r="B10" t="s">
        <v>3077</v>
      </c>
      <c r="C10" t="s">
        <v>3078</v>
      </c>
      <c r="D10" t="s">
        <v>354</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31">
        <v>-8.2000000000000003E-2</v>
      </c>
    </row>
    <row r="11" spans="1:33">
      <c r="A11" t="s">
        <v>308</v>
      </c>
      <c r="B11" t="s">
        <v>3079</v>
      </c>
      <c r="C11" t="s">
        <v>3080</v>
      </c>
      <c r="D11" t="s">
        <v>354</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31">
        <v>-6.7000000000000004E-2</v>
      </c>
    </row>
    <row r="12" spans="1:33">
      <c r="A12" t="s">
        <v>309</v>
      </c>
      <c r="B12" t="s">
        <v>3081</v>
      </c>
      <c r="C12" t="s">
        <v>3082</v>
      </c>
      <c r="D12" t="s">
        <v>354</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31">
        <v>0.11799999999999999</v>
      </c>
    </row>
    <row r="13" spans="1:33">
      <c r="A13" t="s">
        <v>310</v>
      </c>
      <c r="B13" t="s">
        <v>3083</v>
      </c>
      <c r="C13" t="s">
        <v>3084</v>
      </c>
      <c r="D13" t="s">
        <v>354</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31">
        <v>-0.05</v>
      </c>
    </row>
    <row r="14" spans="1:33">
      <c r="A14" t="s">
        <v>311</v>
      </c>
      <c r="B14" t="s">
        <v>3085</v>
      </c>
      <c r="C14" t="s">
        <v>3086</v>
      </c>
      <c r="D14" t="s">
        <v>354</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31">
        <v>-1.4999999999999999E-2</v>
      </c>
    </row>
    <row r="15" spans="1:33">
      <c r="A15" t="s">
        <v>304</v>
      </c>
      <c r="B15" t="s">
        <v>3087</v>
      </c>
      <c r="C15" t="s">
        <v>3088</v>
      </c>
      <c r="D15" t="s">
        <v>354</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31">
        <v>-8.0000000000000002E-3</v>
      </c>
    </row>
    <row r="16" spans="1:33">
      <c r="A16" t="s">
        <v>305</v>
      </c>
      <c r="B16" t="s">
        <v>3089</v>
      </c>
      <c r="C16" t="s">
        <v>3090</v>
      </c>
      <c r="D16" t="s">
        <v>354</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31">
        <v>6.0000000000000001E-3</v>
      </c>
    </row>
    <row r="17" spans="1:33">
      <c r="A17" t="s">
        <v>306</v>
      </c>
      <c r="B17" t="s">
        <v>3091</v>
      </c>
      <c r="C17" t="s">
        <v>3092</v>
      </c>
      <c r="D17" t="s">
        <v>354</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31">
        <v>-6.6000000000000003E-2</v>
      </c>
    </row>
    <row r="18" spans="1:33">
      <c r="A18" t="s">
        <v>308</v>
      </c>
      <c r="B18" t="s">
        <v>3093</v>
      </c>
      <c r="C18" t="s">
        <v>3094</v>
      </c>
      <c r="D18" t="s">
        <v>354</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31">
        <v>7.0999999999999994E-2</v>
      </c>
    </row>
    <row r="19" spans="1:33">
      <c r="A19" t="s">
        <v>307</v>
      </c>
      <c r="B19" t="s">
        <v>3095</v>
      </c>
      <c r="C19" t="s">
        <v>3096</v>
      </c>
      <c r="D19" t="s">
        <v>354</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31">
        <v>0.107</v>
      </c>
    </row>
    <row r="20" spans="1:33">
      <c r="A20" t="s">
        <v>309</v>
      </c>
      <c r="B20" t="s">
        <v>3097</v>
      </c>
      <c r="C20" t="s">
        <v>3098</v>
      </c>
      <c r="D20" t="s">
        <v>354</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31">
        <v>0.127</v>
      </c>
    </row>
    <row r="21" spans="1:33">
      <c r="A21" t="s">
        <v>310</v>
      </c>
      <c r="B21" t="s">
        <v>3099</v>
      </c>
      <c r="C21" t="s">
        <v>3100</v>
      </c>
      <c r="D21" t="s">
        <v>354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117</v>
      </c>
    </row>
    <row r="22" spans="1:33">
      <c r="A22" t="s">
        <v>312</v>
      </c>
      <c r="B22" t="s">
        <v>3101</v>
      </c>
      <c r="C22" t="s">
        <v>3102</v>
      </c>
      <c r="D22" t="s">
        <v>354</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31">
        <v>-1E-3</v>
      </c>
    </row>
    <row r="23" spans="1:33">
      <c r="A23" t="s">
        <v>313</v>
      </c>
      <c r="B23" t="s">
        <v>3103</v>
      </c>
      <c r="C23" t="s">
        <v>3104</v>
      </c>
      <c r="D23" t="s">
        <v>354</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31">
        <v>2.1999999999999999E-2</v>
      </c>
    </row>
    <row r="24" spans="1:33">
      <c r="A24" t="s">
        <v>306</v>
      </c>
      <c r="B24" t="s">
        <v>3105</v>
      </c>
      <c r="C24" t="s">
        <v>3106</v>
      </c>
      <c r="D24" t="s">
        <v>354</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31">
        <v>-6.0000000000000001E-3</v>
      </c>
    </row>
    <row r="25" spans="1:33">
      <c r="A25" t="s">
        <v>307</v>
      </c>
      <c r="B25" t="s">
        <v>3107</v>
      </c>
      <c r="C25" t="s">
        <v>3108</v>
      </c>
      <c r="D25" t="s">
        <v>354</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31">
        <v>3.4000000000000002E-2</v>
      </c>
    </row>
    <row r="26" spans="1:33">
      <c r="A26" t="s">
        <v>308</v>
      </c>
      <c r="B26" t="s">
        <v>3109</v>
      </c>
      <c r="C26" t="s">
        <v>3110</v>
      </c>
      <c r="D26" t="s">
        <v>354</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31">
        <v>1.4E-2</v>
      </c>
    </row>
    <row r="27" spans="1:33">
      <c r="A27" t="s">
        <v>305</v>
      </c>
      <c r="B27" t="s">
        <v>3111</v>
      </c>
      <c r="C27" t="s">
        <v>3112</v>
      </c>
      <c r="D27" t="s">
        <v>354</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31">
        <v>-9.5000000000000001E-2</v>
      </c>
    </row>
    <row r="28" spans="1:33">
      <c r="A28" t="s">
        <v>309</v>
      </c>
      <c r="B28" t="s">
        <v>3113</v>
      </c>
      <c r="C28" t="s">
        <v>3114</v>
      </c>
      <c r="D28" t="s">
        <v>354</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31">
        <v>0.14099999999999999</v>
      </c>
    </row>
    <row r="29" spans="1:33">
      <c r="A29" t="s">
        <v>310</v>
      </c>
      <c r="B29" t="s">
        <v>3115</v>
      </c>
      <c r="C29" t="s">
        <v>3116</v>
      </c>
      <c r="D29" t="s">
        <v>354</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117</v>
      </c>
    </row>
    <row r="30" spans="1:33">
      <c r="A30" t="s">
        <v>314</v>
      </c>
      <c r="B30" t="s">
        <v>3117</v>
      </c>
      <c r="C30" t="s">
        <v>3118</v>
      </c>
      <c r="D30" t="s">
        <v>354</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31">
        <v>-3.0000000000000001E-3</v>
      </c>
    </row>
    <row r="31" spans="1:33">
      <c r="A31" t="s">
        <v>306</v>
      </c>
      <c r="B31" t="s">
        <v>3119</v>
      </c>
      <c r="C31" t="s">
        <v>3120</v>
      </c>
      <c r="D31" t="s">
        <v>354</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31">
        <v>-3.0000000000000001E-3</v>
      </c>
    </row>
    <row r="32" spans="1:33">
      <c r="A32" t="s">
        <v>315</v>
      </c>
      <c r="B32" t="s">
        <v>3121</v>
      </c>
      <c r="C32" t="s">
        <v>3122</v>
      </c>
      <c r="D32" t="s">
        <v>354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316</v>
      </c>
      <c r="B33" t="s">
        <v>3123</v>
      </c>
      <c r="C33" t="s">
        <v>3124</v>
      </c>
      <c r="D33" t="s">
        <v>354</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117</v>
      </c>
    </row>
    <row r="34" spans="1:33">
      <c r="A34" t="s">
        <v>317</v>
      </c>
      <c r="B34" t="s">
        <v>3125</v>
      </c>
      <c r="C34" t="s">
        <v>3126</v>
      </c>
      <c r="D34" t="s">
        <v>354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213</v>
      </c>
      <c r="B35" t="s">
        <v>3127</v>
      </c>
      <c r="C35" t="s">
        <v>3128</v>
      </c>
      <c r="D35" t="s">
        <v>354</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31">
        <v>-7.0000000000000001E-3</v>
      </c>
    </row>
    <row r="36" spans="1:33">
      <c r="A36" t="s">
        <v>306</v>
      </c>
      <c r="B36" t="s">
        <v>3129</v>
      </c>
      <c r="C36" t="s">
        <v>3130</v>
      </c>
      <c r="D36" t="s">
        <v>354</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31">
        <v>-8.0000000000000002E-3</v>
      </c>
    </row>
    <row r="37" spans="1:33">
      <c r="A37" t="s">
        <v>318</v>
      </c>
      <c r="B37" t="s">
        <v>3131</v>
      </c>
      <c r="C37" t="s">
        <v>3132</v>
      </c>
      <c r="D37" t="s">
        <v>354</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31">
        <v>-5.7000000000000002E-2</v>
      </c>
    </row>
    <row r="38" spans="1:33">
      <c r="A38" t="s">
        <v>316</v>
      </c>
      <c r="B38" t="s">
        <v>3133</v>
      </c>
      <c r="C38" t="s">
        <v>3134</v>
      </c>
      <c r="D38" t="s">
        <v>354</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117</v>
      </c>
    </row>
    <row r="39" spans="1:33">
      <c r="A39" t="s">
        <v>317</v>
      </c>
      <c r="B39" t="s">
        <v>3135</v>
      </c>
      <c r="C39" t="s">
        <v>3136</v>
      </c>
      <c r="D39" t="s">
        <v>354</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31">
        <v>0.05</v>
      </c>
    </row>
    <row r="40" spans="1:33">
      <c r="A40" t="s">
        <v>212</v>
      </c>
      <c r="B40" t="s">
        <v>3137</v>
      </c>
      <c r="C40" t="s">
        <v>3138</v>
      </c>
      <c r="D40" t="s">
        <v>354</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31">
        <v>8.9999999999999993E-3</v>
      </c>
    </row>
    <row r="41" spans="1:33">
      <c r="A41" t="s">
        <v>306</v>
      </c>
      <c r="B41" t="s">
        <v>3139</v>
      </c>
      <c r="C41" t="s">
        <v>3140</v>
      </c>
      <c r="D41" t="s">
        <v>354</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31">
        <v>1.6E-2</v>
      </c>
    </row>
    <row r="42" spans="1:33">
      <c r="A42" t="s">
        <v>318</v>
      </c>
      <c r="B42" t="s">
        <v>3141</v>
      </c>
      <c r="C42" t="s">
        <v>3142</v>
      </c>
      <c r="D42" t="s">
        <v>354</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31">
        <v>5.0000000000000001E-3</v>
      </c>
    </row>
    <row r="43" spans="1:33">
      <c r="A43" t="s">
        <v>316</v>
      </c>
      <c r="B43" t="s">
        <v>3143</v>
      </c>
      <c r="C43" t="s">
        <v>3144</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317</v>
      </c>
      <c r="B44" t="s">
        <v>3145</v>
      </c>
      <c r="C44" t="s">
        <v>3146</v>
      </c>
      <c r="D44" t="s">
        <v>354</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31">
        <v>2.5999999999999999E-2</v>
      </c>
    </row>
    <row r="45" spans="1:33">
      <c r="A45" t="s">
        <v>277</v>
      </c>
      <c r="B45" t="s">
        <v>3147</v>
      </c>
      <c r="C45" t="s">
        <v>3148</v>
      </c>
      <c r="D45" t="s">
        <v>354</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31">
        <v>8.9999999999999993E-3</v>
      </c>
    </row>
    <row r="46" spans="1:33">
      <c r="A46" t="s">
        <v>319</v>
      </c>
      <c r="B46" t="s">
        <v>3149</v>
      </c>
      <c r="C46" t="s">
        <v>3150</v>
      </c>
      <c r="D46" t="s">
        <v>354</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31">
        <v>8.9999999999999993E-3</v>
      </c>
    </row>
    <row r="47" spans="1:33">
      <c r="A47" t="s">
        <v>320</v>
      </c>
      <c r="B47" t="s">
        <v>3151</v>
      </c>
      <c r="C47" t="s">
        <v>3152</v>
      </c>
      <c r="D47" t="s">
        <v>354</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31">
        <v>0</v>
      </c>
    </row>
    <row r="48" spans="1:33">
      <c r="A48" t="s">
        <v>278</v>
      </c>
      <c r="B48" t="s">
        <v>3153</v>
      </c>
      <c r="C48" t="s">
        <v>3154</v>
      </c>
      <c r="D48" t="s">
        <v>354</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31">
        <v>2E-3</v>
      </c>
    </row>
    <row r="49" spans="1:33">
      <c r="A49" t="s">
        <v>321</v>
      </c>
      <c r="B49" t="s">
        <v>3155</v>
      </c>
      <c r="C49" t="s">
        <v>3156</v>
      </c>
      <c r="D49" t="s">
        <v>354</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31">
        <v>2E-3</v>
      </c>
    </row>
    <row r="50" spans="1:33">
      <c r="A50" t="s">
        <v>315</v>
      </c>
      <c r="B50" t="s">
        <v>3157</v>
      </c>
      <c r="C50" t="s">
        <v>3158</v>
      </c>
      <c r="D50" t="s">
        <v>354</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117</v>
      </c>
    </row>
    <row r="51" spans="1:33">
      <c r="A51" t="s">
        <v>322</v>
      </c>
      <c r="B51" t="s">
        <v>3159</v>
      </c>
      <c r="C51" t="s">
        <v>3160</v>
      </c>
      <c r="D51" t="s">
        <v>354</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31">
        <v>2E-3</v>
      </c>
    </row>
    <row r="52" spans="1:33">
      <c r="A52" t="s">
        <v>279</v>
      </c>
      <c r="B52" t="s">
        <v>3161</v>
      </c>
      <c r="C52" t="s">
        <v>3162</v>
      </c>
      <c r="D52" t="s">
        <v>354</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31">
        <v>-5.0000000000000001E-3</v>
      </c>
    </row>
    <row r="53" spans="1:33">
      <c r="A53" t="s">
        <v>323</v>
      </c>
      <c r="B53" t="s">
        <v>3163</v>
      </c>
      <c r="C53" t="s">
        <v>3164</v>
      </c>
      <c r="D53" t="s">
        <v>354</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31">
        <v>0</v>
      </c>
    </row>
    <row r="54" spans="1:33">
      <c r="A54" t="s">
        <v>313</v>
      </c>
      <c r="B54" t="s">
        <v>3165</v>
      </c>
      <c r="C54" t="s">
        <v>3166</v>
      </c>
      <c r="D54" t="s">
        <v>354</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31">
        <v>-3.0000000000000001E-3</v>
      </c>
    </row>
    <row r="55" spans="1:33">
      <c r="A55" t="s">
        <v>305</v>
      </c>
      <c r="B55" t="s">
        <v>3167</v>
      </c>
      <c r="C55" t="s">
        <v>3168</v>
      </c>
      <c r="D55" t="s">
        <v>354</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117</v>
      </c>
    </row>
    <row r="56" spans="1:33">
      <c r="A56" t="s">
        <v>306</v>
      </c>
      <c r="B56" t="s">
        <v>3169</v>
      </c>
      <c r="C56" t="s">
        <v>3170</v>
      </c>
      <c r="D56" t="s">
        <v>354</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31">
        <v>-2E-3</v>
      </c>
    </row>
    <row r="57" spans="1:33">
      <c r="A57" t="s">
        <v>307</v>
      </c>
      <c r="B57" t="s">
        <v>3171</v>
      </c>
      <c r="C57" t="s">
        <v>3172</v>
      </c>
      <c r="D57" t="s">
        <v>354</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31">
        <v>-6.0000000000000001E-3</v>
      </c>
    </row>
    <row r="58" spans="1:33">
      <c r="A58" t="s">
        <v>308</v>
      </c>
      <c r="B58" t="s">
        <v>3173</v>
      </c>
      <c r="C58" t="s">
        <v>3174</v>
      </c>
      <c r="D58" t="s">
        <v>354</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31">
        <v>4.0000000000000001E-3</v>
      </c>
    </row>
    <row r="59" spans="1:33">
      <c r="A59" t="s">
        <v>309</v>
      </c>
      <c r="B59" t="s">
        <v>3175</v>
      </c>
      <c r="C59" t="s">
        <v>3176</v>
      </c>
      <c r="D59" t="s">
        <v>354</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31">
        <v>4.5999999999999999E-2</v>
      </c>
    </row>
    <row r="60" spans="1:33">
      <c r="A60" t="s">
        <v>310</v>
      </c>
      <c r="B60" t="s">
        <v>3177</v>
      </c>
      <c r="C60" t="s">
        <v>3178</v>
      </c>
      <c r="D60" t="s">
        <v>354</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31">
        <v>-1.0999999999999999E-2</v>
      </c>
    </row>
    <row r="61" spans="1:33">
      <c r="A61" t="s">
        <v>324</v>
      </c>
      <c r="B61" t="s">
        <v>3179</v>
      </c>
      <c r="C61" t="s">
        <v>3180</v>
      </c>
      <c r="D61" t="s">
        <v>354</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31">
        <v>3.0000000000000001E-3</v>
      </c>
    </row>
    <row r="62" spans="1:33">
      <c r="A62" t="s">
        <v>313</v>
      </c>
      <c r="B62" t="s">
        <v>3181</v>
      </c>
      <c r="C62" t="s">
        <v>3182</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305</v>
      </c>
      <c r="B63" t="s">
        <v>3183</v>
      </c>
      <c r="C63" t="s">
        <v>3184</v>
      </c>
      <c r="D63" t="s">
        <v>354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117</v>
      </c>
    </row>
    <row r="64" spans="1:33">
      <c r="A64" t="s">
        <v>306</v>
      </c>
      <c r="B64" t="s">
        <v>3185</v>
      </c>
      <c r="C64" t="s">
        <v>3186</v>
      </c>
      <c r="D64" t="s">
        <v>354</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31">
        <v>3.0000000000000001E-3</v>
      </c>
    </row>
    <row r="65" spans="1:33">
      <c r="A65" t="s">
        <v>307</v>
      </c>
      <c r="B65" t="s">
        <v>3187</v>
      </c>
      <c r="C65" t="s">
        <v>3188</v>
      </c>
      <c r="D65" t="s">
        <v>354</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117</v>
      </c>
    </row>
    <row r="66" spans="1:33">
      <c r="A66" t="s">
        <v>308</v>
      </c>
      <c r="B66" t="s">
        <v>3189</v>
      </c>
      <c r="C66" t="s">
        <v>3190</v>
      </c>
      <c r="D66" t="s">
        <v>354</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117</v>
      </c>
    </row>
    <row r="67" spans="1:33">
      <c r="A67" t="s">
        <v>309</v>
      </c>
      <c r="B67" t="s">
        <v>3191</v>
      </c>
      <c r="C67" t="s">
        <v>3192</v>
      </c>
      <c r="D67" t="s">
        <v>354</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117</v>
      </c>
    </row>
    <row r="68" spans="1:33">
      <c r="A68" t="s">
        <v>310</v>
      </c>
      <c r="B68" t="s">
        <v>3193</v>
      </c>
      <c r="C68" t="s">
        <v>3194</v>
      </c>
      <c r="D68" t="s">
        <v>354</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117</v>
      </c>
    </row>
    <row r="69" spans="1:33">
      <c r="A69" t="s">
        <v>325</v>
      </c>
      <c r="B69" t="s">
        <v>3195</v>
      </c>
      <c r="C69" t="s">
        <v>3196</v>
      </c>
      <c r="D69" t="s">
        <v>354</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31">
        <v>-1.2999999999999999E-2</v>
      </c>
    </row>
    <row r="70" spans="1:33">
      <c r="A70" t="s">
        <v>313</v>
      </c>
      <c r="B70" t="s">
        <v>3197</v>
      </c>
      <c r="C70" t="s">
        <v>3198</v>
      </c>
      <c r="D70" t="s">
        <v>354</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31">
        <v>-1.6E-2</v>
      </c>
    </row>
    <row r="71" spans="1:33">
      <c r="A71" t="s">
        <v>305</v>
      </c>
      <c r="B71" t="s">
        <v>3199</v>
      </c>
      <c r="C71" t="s">
        <v>3200</v>
      </c>
      <c r="D71" t="s">
        <v>354</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117</v>
      </c>
    </row>
    <row r="72" spans="1:33">
      <c r="A72" t="s">
        <v>306</v>
      </c>
      <c r="B72" t="s">
        <v>3201</v>
      </c>
      <c r="C72" t="s">
        <v>3202</v>
      </c>
      <c r="D72" t="s">
        <v>354</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31">
        <v>-1.6E-2</v>
      </c>
    </row>
    <row r="73" spans="1:33">
      <c r="A73" t="s">
        <v>307</v>
      </c>
      <c r="B73" t="s">
        <v>3203</v>
      </c>
      <c r="C73" t="s">
        <v>3204</v>
      </c>
      <c r="D73" t="s">
        <v>354</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31">
        <v>8.0000000000000002E-3</v>
      </c>
    </row>
    <row r="74" spans="1:33">
      <c r="A74" t="s">
        <v>308</v>
      </c>
      <c r="B74" t="s">
        <v>3205</v>
      </c>
      <c r="C74" t="s">
        <v>3206</v>
      </c>
      <c r="D74" t="s">
        <v>354</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31">
        <v>-1.6E-2</v>
      </c>
    </row>
    <row r="75" spans="1:33">
      <c r="A75" t="s">
        <v>309</v>
      </c>
      <c r="B75" t="s">
        <v>3207</v>
      </c>
      <c r="C75" t="s">
        <v>3208</v>
      </c>
      <c r="D75" t="s">
        <v>354</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31">
        <v>0.10100000000000001</v>
      </c>
    </row>
    <row r="76" spans="1:33">
      <c r="A76" t="s">
        <v>310</v>
      </c>
      <c r="B76" t="s">
        <v>3209</v>
      </c>
      <c r="C76" t="s">
        <v>3210</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s="127" customFormat="1">
      <c r="A77" s="127" t="s">
        <v>280</v>
      </c>
      <c r="B77" s="127" t="s">
        <v>3211</v>
      </c>
      <c r="C77" s="127" t="s">
        <v>3212</v>
      </c>
      <c r="D77" s="127" t="s">
        <v>354</v>
      </c>
      <c r="F77" s="127">
        <v>43.892204</v>
      </c>
      <c r="G77" s="127">
        <v>46.490710999999997</v>
      </c>
      <c r="H77" s="127">
        <v>47.928882999999999</v>
      </c>
      <c r="I77" s="127">
        <v>48.711205</v>
      </c>
      <c r="J77" s="127">
        <v>49.231833999999999</v>
      </c>
      <c r="K77" s="127">
        <v>49.773636000000003</v>
      </c>
      <c r="L77" s="127">
        <v>50.393982000000001</v>
      </c>
      <c r="M77" s="127">
        <v>50.846916</v>
      </c>
      <c r="N77" s="127">
        <v>51.249969</v>
      </c>
      <c r="O77" s="127">
        <v>51.578491</v>
      </c>
      <c r="P77" s="127">
        <v>51.858665000000002</v>
      </c>
      <c r="Q77" s="127">
        <v>52.283653000000001</v>
      </c>
      <c r="R77" s="127">
        <v>52.821021999999999</v>
      </c>
      <c r="S77" s="127">
        <v>53.370353999999999</v>
      </c>
      <c r="T77" s="127">
        <v>53.936473999999997</v>
      </c>
      <c r="U77" s="127">
        <v>54.449078</v>
      </c>
      <c r="V77" s="127">
        <v>54.919967999999997</v>
      </c>
      <c r="W77" s="127">
        <v>55.340308999999998</v>
      </c>
      <c r="X77" s="127">
        <v>55.737267000000003</v>
      </c>
      <c r="Y77" s="127">
        <v>56.129337</v>
      </c>
      <c r="Z77" s="127">
        <v>56.455002</v>
      </c>
      <c r="AA77" s="127">
        <v>56.804771000000002</v>
      </c>
      <c r="AB77" s="127">
        <v>57.083145000000002</v>
      </c>
      <c r="AC77" s="127">
        <v>57.392547999999998</v>
      </c>
      <c r="AD77" s="127">
        <v>57.764831999999998</v>
      </c>
      <c r="AE77" s="127">
        <v>58.136749000000002</v>
      </c>
      <c r="AF77" s="127">
        <v>58.625304999999997</v>
      </c>
      <c r="AG77" s="187">
        <v>1.0999999999999999E-2</v>
      </c>
    </row>
    <row r="78" spans="1:33" s="127" customFormat="1">
      <c r="A78" s="127" t="s">
        <v>326</v>
      </c>
      <c r="B78" s="127" t="s">
        <v>3213</v>
      </c>
      <c r="C78" s="127" t="s">
        <v>3214</v>
      </c>
      <c r="D78" s="127" t="s">
        <v>354</v>
      </c>
      <c r="F78" s="127">
        <v>8.7423819999999992</v>
      </c>
      <c r="G78" s="127">
        <v>9.3800589999999993</v>
      </c>
      <c r="H78" s="127">
        <v>9.8378320000000006</v>
      </c>
      <c r="I78" s="127">
        <v>10.165743000000001</v>
      </c>
      <c r="J78" s="127">
        <v>10.415087</v>
      </c>
      <c r="K78" s="127">
        <v>10.611311000000001</v>
      </c>
      <c r="L78" s="127">
        <v>10.771235000000001</v>
      </c>
      <c r="M78" s="127">
        <v>10.905773999999999</v>
      </c>
      <c r="N78" s="127">
        <v>11.020588</v>
      </c>
      <c r="O78" s="127">
        <v>11.119541</v>
      </c>
      <c r="P78" s="127">
        <v>11.206322</v>
      </c>
      <c r="Q78" s="127">
        <v>11.283692</v>
      </c>
      <c r="R78" s="127">
        <v>11.353813000000001</v>
      </c>
      <c r="S78" s="127">
        <v>11.417555</v>
      </c>
      <c r="T78" s="127">
        <v>11.481839000000001</v>
      </c>
      <c r="U78" s="127">
        <v>11.543386999999999</v>
      </c>
      <c r="V78" s="127">
        <v>11.602665</v>
      </c>
      <c r="W78" s="127">
        <v>11.660023000000001</v>
      </c>
      <c r="X78" s="127">
        <v>11.716011999999999</v>
      </c>
      <c r="Y78" s="127">
        <v>11.770652999999999</v>
      </c>
      <c r="Z78" s="127">
        <v>11.824216</v>
      </c>
      <c r="AA78" s="127">
        <v>11.876847</v>
      </c>
      <c r="AB78" s="127">
        <v>11.928874</v>
      </c>
      <c r="AC78" s="127">
        <v>11.980318</v>
      </c>
      <c r="AD78" s="127">
        <v>12.031491000000001</v>
      </c>
      <c r="AE78" s="127">
        <v>12.082007000000001</v>
      </c>
      <c r="AF78" s="127">
        <v>12.132166</v>
      </c>
      <c r="AG78" s="187">
        <v>1.2999999999999999E-2</v>
      </c>
    </row>
    <row r="79" spans="1:33" s="127" customFormat="1">
      <c r="A79" s="127" t="s">
        <v>309</v>
      </c>
      <c r="B79" s="127" t="s">
        <v>3215</v>
      </c>
      <c r="C79" s="127" t="s">
        <v>3216</v>
      </c>
      <c r="D79" s="127" t="s">
        <v>354</v>
      </c>
      <c r="F79" s="127">
        <v>1.0626599999999999</v>
      </c>
      <c r="G79" s="127">
        <v>1.140172</v>
      </c>
      <c r="H79" s="127">
        <v>1.1958150000000001</v>
      </c>
      <c r="I79" s="127">
        <v>1.2356739999999999</v>
      </c>
      <c r="J79" s="127">
        <v>1.2659819999999999</v>
      </c>
      <c r="K79" s="127">
        <v>1.2898339999999999</v>
      </c>
      <c r="L79" s="127">
        <v>1.3092729999999999</v>
      </c>
      <c r="M79" s="127">
        <v>1.325626</v>
      </c>
      <c r="N79" s="127">
        <v>1.3395820000000001</v>
      </c>
      <c r="O79" s="127">
        <v>1.35161</v>
      </c>
      <c r="P79" s="127">
        <v>1.3621589999999999</v>
      </c>
      <c r="Q79" s="127">
        <v>1.3715630000000001</v>
      </c>
      <c r="R79" s="127">
        <v>1.3800870000000001</v>
      </c>
      <c r="S79" s="127">
        <v>1.3878349999999999</v>
      </c>
      <c r="T79" s="127">
        <v>1.3956489999999999</v>
      </c>
      <c r="U79" s="127">
        <v>1.40313</v>
      </c>
      <c r="V79" s="127">
        <v>1.410336</v>
      </c>
      <c r="W79" s="127">
        <v>1.4173070000000001</v>
      </c>
      <c r="X79" s="127">
        <v>1.424113</v>
      </c>
      <c r="Y79" s="127">
        <v>1.430755</v>
      </c>
      <c r="Z79" s="127">
        <v>1.437265</v>
      </c>
      <c r="AA79" s="127">
        <v>1.4436629999999999</v>
      </c>
      <c r="AB79" s="127">
        <v>1.449986</v>
      </c>
      <c r="AC79" s="127">
        <v>1.45624</v>
      </c>
      <c r="AD79" s="127">
        <v>1.462461</v>
      </c>
      <c r="AE79" s="127">
        <v>1.4685999999999999</v>
      </c>
      <c r="AF79" s="127">
        <v>1.4746980000000001</v>
      </c>
      <c r="AG79" s="187">
        <v>1.2999999999999999E-2</v>
      </c>
    </row>
    <row r="80" spans="1:33" s="127" customFormat="1">
      <c r="A80" s="127" t="s">
        <v>327</v>
      </c>
      <c r="B80" s="127" t="s">
        <v>3217</v>
      </c>
      <c r="C80" s="127" t="s">
        <v>3218</v>
      </c>
      <c r="D80" s="127" t="s">
        <v>354</v>
      </c>
      <c r="F80" s="127">
        <v>7.6797219999999999</v>
      </c>
      <c r="G80" s="127">
        <v>8.2398869999999995</v>
      </c>
      <c r="H80" s="127">
        <v>8.6420169999999992</v>
      </c>
      <c r="I80" s="127">
        <v>8.9300689999999996</v>
      </c>
      <c r="J80" s="127">
        <v>9.1491050000000005</v>
      </c>
      <c r="K80" s="127">
        <v>9.3214769999999998</v>
      </c>
      <c r="L80" s="127">
        <v>9.4619630000000008</v>
      </c>
      <c r="M80" s="127">
        <v>9.5801479999999994</v>
      </c>
      <c r="N80" s="127">
        <v>9.6810050000000007</v>
      </c>
      <c r="O80" s="127">
        <v>9.7679310000000008</v>
      </c>
      <c r="P80" s="127">
        <v>9.844163</v>
      </c>
      <c r="Q80" s="127">
        <v>9.9121290000000002</v>
      </c>
      <c r="R80" s="127">
        <v>9.9737259999999992</v>
      </c>
      <c r="S80" s="127">
        <v>10.029719999999999</v>
      </c>
      <c r="T80" s="127">
        <v>10.08619</v>
      </c>
      <c r="U80" s="127">
        <v>10.140257999999999</v>
      </c>
      <c r="V80" s="127">
        <v>10.192329000000001</v>
      </c>
      <c r="W80" s="127">
        <v>10.242716</v>
      </c>
      <c r="X80" s="127">
        <v>10.291899000000001</v>
      </c>
      <c r="Y80" s="127">
        <v>10.339898</v>
      </c>
      <c r="Z80" s="127">
        <v>10.386950000000001</v>
      </c>
      <c r="AA80" s="127">
        <v>10.433185</v>
      </c>
      <c r="AB80" s="127">
        <v>10.478888</v>
      </c>
      <c r="AC80" s="127">
        <v>10.524077999999999</v>
      </c>
      <c r="AD80" s="127">
        <v>10.569031000000001</v>
      </c>
      <c r="AE80" s="127">
        <v>10.613407</v>
      </c>
      <c r="AF80" s="127">
        <v>10.657468</v>
      </c>
      <c r="AG80" s="187">
        <v>1.2999999999999999E-2</v>
      </c>
    </row>
    <row r="81" spans="1:33" s="127" customFormat="1">
      <c r="A81" s="127" t="s">
        <v>316</v>
      </c>
      <c r="B81" s="127" t="s">
        <v>3219</v>
      </c>
      <c r="C81" s="127" t="s">
        <v>3220</v>
      </c>
      <c r="D81" s="127" t="s">
        <v>354</v>
      </c>
      <c r="F81" s="127">
        <v>0</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t="s">
        <v>117</v>
      </c>
    </row>
    <row r="82" spans="1:33" s="127" customFormat="1">
      <c r="A82" s="127" t="s">
        <v>317</v>
      </c>
      <c r="B82" s="127" t="s">
        <v>3221</v>
      </c>
      <c r="C82" s="127" t="s">
        <v>3222</v>
      </c>
      <c r="D82" s="127" t="s">
        <v>354</v>
      </c>
      <c r="F82" s="127">
        <v>0</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t="s">
        <v>117</v>
      </c>
    </row>
    <row r="83" spans="1:33" s="127" customFormat="1">
      <c r="A83" s="127" t="s">
        <v>328</v>
      </c>
      <c r="B83" s="127" t="s">
        <v>3223</v>
      </c>
      <c r="C83" s="127" t="s">
        <v>3224</v>
      </c>
      <c r="D83" s="127" t="s">
        <v>354</v>
      </c>
      <c r="F83" s="127">
        <v>14.508388999999999</v>
      </c>
      <c r="G83" s="127">
        <v>15.421035</v>
      </c>
      <c r="H83" s="127">
        <v>16.002700999999998</v>
      </c>
      <c r="I83" s="127">
        <v>16.428796999999999</v>
      </c>
      <c r="J83" s="127">
        <v>16.870525000000001</v>
      </c>
      <c r="K83" s="127">
        <v>17.287436</v>
      </c>
      <c r="L83" s="127">
        <v>17.607780000000002</v>
      </c>
      <c r="M83" s="127">
        <v>17.836908000000001</v>
      </c>
      <c r="N83" s="127">
        <v>18.041525</v>
      </c>
      <c r="O83" s="127">
        <v>18.197558999999998</v>
      </c>
      <c r="P83" s="127">
        <v>18.347023</v>
      </c>
      <c r="Q83" s="127">
        <v>18.543555999999999</v>
      </c>
      <c r="R83" s="127">
        <v>18.732952000000001</v>
      </c>
      <c r="S83" s="127">
        <v>18.925523999999999</v>
      </c>
      <c r="T83" s="127">
        <v>19.122789000000001</v>
      </c>
      <c r="U83" s="127">
        <v>19.294951999999999</v>
      </c>
      <c r="V83" s="127">
        <v>19.444386000000002</v>
      </c>
      <c r="W83" s="127">
        <v>19.568449000000001</v>
      </c>
      <c r="X83" s="127">
        <v>19.677353</v>
      </c>
      <c r="Y83" s="127">
        <v>19.784870000000002</v>
      </c>
      <c r="Z83" s="127">
        <v>19.860029000000001</v>
      </c>
      <c r="AA83" s="127">
        <v>19.946988999999999</v>
      </c>
      <c r="AB83" s="127">
        <v>19.998484000000001</v>
      </c>
      <c r="AC83" s="127">
        <v>20.058503999999999</v>
      </c>
      <c r="AD83" s="127">
        <v>20.148382000000002</v>
      </c>
      <c r="AE83" s="127">
        <v>20.242802000000001</v>
      </c>
      <c r="AF83" s="127">
        <v>20.400482</v>
      </c>
      <c r="AG83" s="187">
        <v>1.2999999999999999E-2</v>
      </c>
    </row>
    <row r="84" spans="1:33" s="127" customFormat="1">
      <c r="A84" s="127" t="s">
        <v>309</v>
      </c>
      <c r="B84" s="127" t="s">
        <v>3225</v>
      </c>
      <c r="C84" s="127" t="s">
        <v>3226</v>
      </c>
      <c r="D84" s="127" t="s">
        <v>354</v>
      </c>
      <c r="F84" s="127">
        <v>14.508388999999999</v>
      </c>
      <c r="G84" s="127">
        <v>15.421035</v>
      </c>
      <c r="H84" s="127">
        <v>16.002700999999998</v>
      </c>
      <c r="I84" s="127">
        <v>16.428796999999999</v>
      </c>
      <c r="J84" s="127">
        <v>16.870525000000001</v>
      </c>
      <c r="K84" s="127">
        <v>17.287436</v>
      </c>
      <c r="L84" s="127">
        <v>17.607780000000002</v>
      </c>
      <c r="M84" s="127">
        <v>17.836908000000001</v>
      </c>
      <c r="N84" s="127">
        <v>18.041525</v>
      </c>
      <c r="O84" s="127">
        <v>18.197558999999998</v>
      </c>
      <c r="P84" s="127">
        <v>18.347023</v>
      </c>
      <c r="Q84" s="127">
        <v>18.543555999999999</v>
      </c>
      <c r="R84" s="127">
        <v>18.732952000000001</v>
      </c>
      <c r="S84" s="127">
        <v>18.925523999999999</v>
      </c>
      <c r="T84" s="127">
        <v>19.122789000000001</v>
      </c>
      <c r="U84" s="127">
        <v>19.294951999999999</v>
      </c>
      <c r="V84" s="127">
        <v>19.444386000000002</v>
      </c>
      <c r="W84" s="127">
        <v>19.568449000000001</v>
      </c>
      <c r="X84" s="127">
        <v>19.677353</v>
      </c>
      <c r="Y84" s="127">
        <v>19.784870000000002</v>
      </c>
      <c r="Z84" s="127">
        <v>19.860029000000001</v>
      </c>
      <c r="AA84" s="127">
        <v>19.946988999999999</v>
      </c>
      <c r="AB84" s="127">
        <v>19.998484000000001</v>
      </c>
      <c r="AC84" s="127">
        <v>20.058503999999999</v>
      </c>
      <c r="AD84" s="127">
        <v>20.148382000000002</v>
      </c>
      <c r="AE84" s="127">
        <v>20.242802000000001</v>
      </c>
      <c r="AF84" s="127">
        <v>20.400482</v>
      </c>
      <c r="AG84" s="187">
        <v>1.2999999999999999E-2</v>
      </c>
    </row>
    <row r="85" spans="1:33" s="127" customFormat="1">
      <c r="A85" s="127" t="s">
        <v>329</v>
      </c>
      <c r="B85" s="127" t="s">
        <v>3227</v>
      </c>
      <c r="C85" s="127" t="s">
        <v>3228</v>
      </c>
      <c r="D85" s="127" t="s">
        <v>354</v>
      </c>
      <c r="F85" s="127">
        <v>20.641434</v>
      </c>
      <c r="G85" s="127">
        <v>21.689616999999998</v>
      </c>
      <c r="H85" s="127">
        <v>22.088348</v>
      </c>
      <c r="I85" s="127">
        <v>22.116669000000002</v>
      </c>
      <c r="J85" s="127">
        <v>21.94622</v>
      </c>
      <c r="K85" s="127">
        <v>21.874889</v>
      </c>
      <c r="L85" s="127">
        <v>22.014965</v>
      </c>
      <c r="M85" s="127">
        <v>22.104230999999999</v>
      </c>
      <c r="N85" s="127">
        <v>22.187854999999999</v>
      </c>
      <c r="O85" s="127">
        <v>22.261389000000001</v>
      </c>
      <c r="P85" s="127">
        <v>22.305319000000001</v>
      </c>
      <c r="Q85" s="127">
        <v>22.456403999999999</v>
      </c>
      <c r="R85" s="127">
        <v>22.734255000000001</v>
      </c>
      <c r="S85" s="127">
        <v>23.027270999999999</v>
      </c>
      <c r="T85" s="127">
        <v>23.331844</v>
      </c>
      <c r="U85" s="127">
        <v>23.610738999999999</v>
      </c>
      <c r="V85" s="127">
        <v>23.872917000000001</v>
      </c>
      <c r="W85" s="127">
        <v>24.111839</v>
      </c>
      <c r="X85" s="127">
        <v>24.343903000000001</v>
      </c>
      <c r="Y85" s="127">
        <v>24.573816000000001</v>
      </c>
      <c r="Z85" s="127">
        <v>24.770754</v>
      </c>
      <c r="AA85" s="127">
        <v>24.980931999999999</v>
      </c>
      <c r="AB85" s="127">
        <v>25.155787</v>
      </c>
      <c r="AC85" s="127">
        <v>25.353729000000001</v>
      </c>
      <c r="AD85" s="127">
        <v>25.584959000000001</v>
      </c>
      <c r="AE85" s="127">
        <v>25.811942999999999</v>
      </c>
      <c r="AF85" s="127">
        <v>26.092656999999999</v>
      </c>
      <c r="AG85" s="187">
        <v>8.9999999999999993E-3</v>
      </c>
    </row>
    <row r="86" spans="1:33" s="127" customFormat="1">
      <c r="A86" s="127" t="s">
        <v>309</v>
      </c>
      <c r="B86" s="127" t="s">
        <v>3229</v>
      </c>
      <c r="C86" s="127" t="s">
        <v>3230</v>
      </c>
      <c r="D86" s="127" t="s">
        <v>354</v>
      </c>
      <c r="F86" s="127">
        <v>7.5111889999999999</v>
      </c>
      <c r="G86" s="127">
        <v>7.855988</v>
      </c>
      <c r="H86" s="127">
        <v>8.0141960000000001</v>
      </c>
      <c r="I86" s="127">
        <v>8.0560130000000001</v>
      </c>
      <c r="J86" s="127">
        <v>8.0277329999999996</v>
      </c>
      <c r="K86" s="127">
        <v>8.0724560000000007</v>
      </c>
      <c r="L86" s="127">
        <v>8.107094</v>
      </c>
      <c r="M86" s="127">
        <v>8.1060300000000005</v>
      </c>
      <c r="N86" s="127">
        <v>8.1130739999999992</v>
      </c>
      <c r="O86" s="127">
        <v>8.1194109999999995</v>
      </c>
      <c r="P86" s="127">
        <v>8.102843</v>
      </c>
      <c r="Q86" s="127">
        <v>8.1355620000000002</v>
      </c>
      <c r="R86" s="127">
        <v>8.2269900000000007</v>
      </c>
      <c r="S86" s="127">
        <v>8.3286890000000007</v>
      </c>
      <c r="T86" s="127">
        <v>8.4335880000000003</v>
      </c>
      <c r="U86" s="127">
        <v>8.5265900000000006</v>
      </c>
      <c r="V86" s="127">
        <v>8.6186360000000004</v>
      </c>
      <c r="W86" s="127">
        <v>8.7029239999999994</v>
      </c>
      <c r="X86" s="127">
        <v>8.7860029999999991</v>
      </c>
      <c r="Y86" s="127">
        <v>8.8617150000000002</v>
      </c>
      <c r="Z86" s="127">
        <v>8.9281100000000002</v>
      </c>
      <c r="AA86" s="127">
        <v>8.9928310000000007</v>
      </c>
      <c r="AB86" s="127">
        <v>9.0486979999999999</v>
      </c>
      <c r="AC86" s="127">
        <v>9.1163530000000002</v>
      </c>
      <c r="AD86" s="127">
        <v>9.1924899999999994</v>
      </c>
      <c r="AE86" s="127">
        <v>9.2656609999999997</v>
      </c>
      <c r="AF86" s="127">
        <v>9.3441930000000006</v>
      </c>
      <c r="AG86" s="187">
        <v>8.0000000000000002E-3</v>
      </c>
    </row>
    <row r="87" spans="1:33" s="127" customFormat="1">
      <c r="A87" s="127" t="s">
        <v>327</v>
      </c>
      <c r="B87" s="127" t="s">
        <v>3231</v>
      </c>
      <c r="C87" s="127" t="s">
        <v>3232</v>
      </c>
      <c r="D87" s="127" t="s">
        <v>354</v>
      </c>
      <c r="F87" s="127">
        <v>13.130245</v>
      </c>
      <c r="G87" s="127">
        <v>13.833631</v>
      </c>
      <c r="H87" s="127">
        <v>14.074153000000001</v>
      </c>
      <c r="I87" s="127">
        <v>14.060656</v>
      </c>
      <c r="J87" s="127">
        <v>13.918488</v>
      </c>
      <c r="K87" s="127">
        <v>13.802433000000001</v>
      </c>
      <c r="L87" s="127">
        <v>13.907870000000001</v>
      </c>
      <c r="M87" s="127">
        <v>13.998201</v>
      </c>
      <c r="N87" s="127">
        <v>14.074781</v>
      </c>
      <c r="O87" s="127">
        <v>14.141977000000001</v>
      </c>
      <c r="P87" s="127">
        <v>14.202476000000001</v>
      </c>
      <c r="Q87" s="127">
        <v>14.320842000000001</v>
      </c>
      <c r="R87" s="127">
        <v>14.507265</v>
      </c>
      <c r="S87" s="127">
        <v>14.698584</v>
      </c>
      <c r="T87" s="127">
        <v>14.898256999999999</v>
      </c>
      <c r="U87" s="127">
        <v>15.084148000000001</v>
      </c>
      <c r="V87" s="127">
        <v>15.25428</v>
      </c>
      <c r="W87" s="127">
        <v>15.408915</v>
      </c>
      <c r="X87" s="127">
        <v>15.5579</v>
      </c>
      <c r="Y87" s="127">
        <v>15.712101000000001</v>
      </c>
      <c r="Z87" s="127">
        <v>15.842644</v>
      </c>
      <c r="AA87" s="127">
        <v>15.988101</v>
      </c>
      <c r="AB87" s="127">
        <v>16.107088000000001</v>
      </c>
      <c r="AC87" s="127">
        <v>16.237375</v>
      </c>
      <c r="AD87" s="127">
        <v>16.392468999999998</v>
      </c>
      <c r="AE87" s="127">
        <v>16.546282000000001</v>
      </c>
      <c r="AF87" s="127">
        <v>16.748464999999999</v>
      </c>
      <c r="AG87" s="187">
        <v>8.9999999999999993E-3</v>
      </c>
    </row>
    <row r="88" spans="1:33" s="127" customFormat="1">
      <c r="A88" s="127" t="s">
        <v>316</v>
      </c>
      <c r="B88" s="127" t="s">
        <v>3233</v>
      </c>
      <c r="C88" s="127" t="s">
        <v>3234</v>
      </c>
      <c r="D88" s="127" t="s">
        <v>354</v>
      </c>
      <c r="F88" s="127">
        <v>0</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t="s">
        <v>117</v>
      </c>
    </row>
    <row r="89" spans="1:33" s="127" customFormat="1">
      <c r="A89" s="127" t="s">
        <v>317</v>
      </c>
      <c r="B89" s="127" t="s">
        <v>3235</v>
      </c>
      <c r="C89" s="127" t="s">
        <v>3236</v>
      </c>
      <c r="D89" s="127" t="s">
        <v>354</v>
      </c>
      <c r="F89" s="127">
        <v>0</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t="s">
        <v>117</v>
      </c>
    </row>
    <row r="90" spans="1:33">
      <c r="A90" t="s">
        <v>281</v>
      </c>
      <c r="B90" t="s">
        <v>3237</v>
      </c>
      <c r="C90" t="s">
        <v>3238</v>
      </c>
      <c r="D90" t="s">
        <v>354</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31">
        <v>-5.0000000000000001E-3</v>
      </c>
    </row>
    <row r="91" spans="1:33">
      <c r="A91" t="s">
        <v>330</v>
      </c>
      <c r="B91" t="s">
        <v>3239</v>
      </c>
      <c r="C91" t="s">
        <v>3240</v>
      </c>
      <c r="D91" t="s">
        <v>354</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31">
        <v>-7.0000000000000001E-3</v>
      </c>
    </row>
    <row r="92" spans="1:33">
      <c r="A92" t="s">
        <v>306</v>
      </c>
      <c r="B92" t="s">
        <v>3241</v>
      </c>
      <c r="C92" t="s">
        <v>3242</v>
      </c>
      <c r="D92" t="s">
        <v>354</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31">
        <v>1E-3</v>
      </c>
    </row>
    <row r="93" spans="1:33">
      <c r="A93" t="s">
        <v>282</v>
      </c>
      <c r="B93" t="s">
        <v>3243</v>
      </c>
      <c r="C93" t="s">
        <v>3244</v>
      </c>
      <c r="D93" t="s">
        <v>354</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31">
        <v>0</v>
      </c>
    </row>
    <row r="94" spans="1:33">
      <c r="A94" t="s">
        <v>283</v>
      </c>
      <c r="B94" t="s">
        <v>3245</v>
      </c>
      <c r="C94" t="s">
        <v>3246</v>
      </c>
      <c r="D94" t="s">
        <v>354</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31">
        <v>-4.0000000000000001E-3</v>
      </c>
    </row>
    <row r="95" spans="1:33">
      <c r="A95" t="s">
        <v>1144</v>
      </c>
      <c r="B95" t="s">
        <v>3247</v>
      </c>
      <c r="C95" t="s">
        <v>3248</v>
      </c>
      <c r="D95" t="s">
        <v>354</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31">
        <v>3.6999999999999998E-2</v>
      </c>
    </row>
    <row r="96" spans="1:33">
      <c r="A96" t="s">
        <v>195</v>
      </c>
      <c r="B96" t="s">
        <v>3249</v>
      </c>
      <c r="C96" t="s">
        <v>3250</v>
      </c>
      <c r="D96" t="s">
        <v>354</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31">
        <v>-3.0000000000000001E-3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topLeftCell="A121" workbookViewId="0">
      <selection activeCell="A138" sqref="A138:XFD138"/>
    </sheetView>
  </sheetViews>
  <sheetFormatPr defaultRowHeight="15"/>
  <cols>
    <col min="2" max="2" width="34.28515625" customWidth="1"/>
  </cols>
  <sheetData>
    <row r="1" spans="1:33">
      <c r="A1" t="s">
        <v>388</v>
      </c>
    </row>
    <row r="2" spans="1:33">
      <c r="A2" t="s">
        <v>3794</v>
      </c>
    </row>
    <row r="3" spans="1:33">
      <c r="A3" t="s">
        <v>3793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3792</v>
      </c>
      <c r="C9" t="s">
        <v>3791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3790</v>
      </c>
      <c r="C10" t="s">
        <v>3789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3788</v>
      </c>
      <c r="C11" t="s">
        <v>3787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3786</v>
      </c>
      <c r="C12" t="s">
        <v>3785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3784</v>
      </c>
      <c r="C13" t="s">
        <v>3783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3782</v>
      </c>
      <c r="C14" t="s">
        <v>3781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3780</v>
      </c>
      <c r="C15" t="s">
        <v>3779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3778</v>
      </c>
      <c r="C16" t="s">
        <v>3777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3776</v>
      </c>
      <c r="C17" t="s">
        <v>3775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3298</v>
      </c>
      <c r="B18" t="s">
        <v>3774</v>
      </c>
      <c r="C18" t="s">
        <v>3773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3295</v>
      </c>
      <c r="B19" t="s">
        <v>3772</v>
      </c>
      <c r="C19" t="s">
        <v>3771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3292</v>
      </c>
      <c r="B20" t="s">
        <v>3770</v>
      </c>
      <c r="C20" t="s">
        <v>3769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3768</v>
      </c>
      <c r="C21" t="s">
        <v>3767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3766</v>
      </c>
      <c r="C23" t="s">
        <v>3765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3764</v>
      </c>
      <c r="C24" t="s">
        <v>3763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3762</v>
      </c>
      <c r="C25" t="s">
        <v>3761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3760</v>
      </c>
      <c r="C26" t="s">
        <v>3759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3758</v>
      </c>
      <c r="C27" t="s">
        <v>3757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3756</v>
      </c>
      <c r="C28" t="s">
        <v>3755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3754</v>
      </c>
      <c r="C29" t="s">
        <v>3753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3752</v>
      </c>
      <c r="C30" t="s">
        <v>3751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3750</v>
      </c>
      <c r="C31" t="s">
        <v>3749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3298</v>
      </c>
      <c r="B32" t="s">
        <v>3748</v>
      </c>
      <c r="C32" t="s">
        <v>3747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3295</v>
      </c>
      <c r="B33" t="s">
        <v>3746</v>
      </c>
      <c r="C33" t="s">
        <v>3745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3292</v>
      </c>
      <c r="B34" t="s">
        <v>3744</v>
      </c>
      <c r="C34" t="s">
        <v>3743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3742</v>
      </c>
      <c r="C35" t="s">
        <v>3741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3740</v>
      </c>
      <c r="C37" t="s">
        <v>3739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3738</v>
      </c>
      <c r="C38" t="s">
        <v>3737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3736</v>
      </c>
      <c r="C39" t="s">
        <v>3735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3734</v>
      </c>
      <c r="C40" t="s">
        <v>3733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3732</v>
      </c>
      <c r="C41" t="s">
        <v>3731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3730</v>
      </c>
      <c r="C42" t="s">
        <v>3729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3728</v>
      </c>
      <c r="C43" t="s">
        <v>3727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3726</v>
      </c>
      <c r="C44" t="s">
        <v>3725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3724</v>
      </c>
      <c r="C45" t="s">
        <v>3723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3298</v>
      </c>
      <c r="B46" t="s">
        <v>3722</v>
      </c>
      <c r="C46" t="s">
        <v>3721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3295</v>
      </c>
      <c r="B47" t="s">
        <v>3720</v>
      </c>
      <c r="C47" t="s">
        <v>3719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3292</v>
      </c>
      <c r="B48" t="s">
        <v>3718</v>
      </c>
      <c r="C48" t="s">
        <v>3717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3716</v>
      </c>
      <c r="C49" t="s">
        <v>3715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3714</v>
      </c>
      <c r="C50" t="s">
        <v>3713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3712</v>
      </c>
      <c r="C53" t="s">
        <v>3711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3710</v>
      </c>
      <c r="C54" s="29" t="s">
        <v>3709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3708</v>
      </c>
      <c r="C55" t="s">
        <v>3707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3706</v>
      </c>
      <c r="C56" t="s">
        <v>3705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3704</v>
      </c>
      <c r="C57" s="29" t="s">
        <v>3703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3702</v>
      </c>
      <c r="C58" t="s">
        <v>3701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3700</v>
      </c>
      <c r="C59" t="s">
        <v>3699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3698</v>
      </c>
      <c r="C60" t="s">
        <v>3697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3696</v>
      </c>
      <c r="C61" t="s">
        <v>3695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3298</v>
      </c>
      <c r="B62" t="s">
        <v>3694</v>
      </c>
      <c r="C62" t="s">
        <v>3693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3295</v>
      </c>
      <c r="B63" t="s">
        <v>3692</v>
      </c>
      <c r="C63" t="s">
        <v>3691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3292</v>
      </c>
      <c r="B64" t="s">
        <v>3690</v>
      </c>
      <c r="C64" t="s">
        <v>3689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3688</v>
      </c>
      <c r="C65" t="s">
        <v>3687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3686</v>
      </c>
      <c r="C67" t="s">
        <v>3685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3684</v>
      </c>
      <c r="C68" s="29" t="s">
        <v>3683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3682</v>
      </c>
      <c r="C69" t="s">
        <v>3681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3680</v>
      </c>
      <c r="C70" t="s">
        <v>3679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3678</v>
      </c>
      <c r="C71" s="29" t="s">
        <v>3677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3676</v>
      </c>
      <c r="C72" t="s">
        <v>3675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3674</v>
      </c>
      <c r="C73" t="s">
        <v>3673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3672</v>
      </c>
      <c r="C74" t="s">
        <v>3671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3670</v>
      </c>
      <c r="C75" t="s">
        <v>3669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3298</v>
      </c>
      <c r="B76" t="s">
        <v>3668</v>
      </c>
      <c r="C76" t="s">
        <v>3667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3295</v>
      </c>
      <c r="B77" t="s">
        <v>3666</v>
      </c>
      <c r="C77" t="s">
        <v>3665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3292</v>
      </c>
      <c r="B78" t="s">
        <v>3664</v>
      </c>
      <c r="C78" t="s">
        <v>3663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3662</v>
      </c>
      <c r="C79" t="s">
        <v>3661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3660</v>
      </c>
      <c r="C81" t="s">
        <v>3659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3658</v>
      </c>
      <c r="C82" t="s">
        <v>3657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3656</v>
      </c>
      <c r="C83" t="s">
        <v>3655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3654</v>
      </c>
      <c r="C84" t="s">
        <v>3653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3652</v>
      </c>
      <c r="C85" t="s">
        <v>3651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3650</v>
      </c>
      <c r="C86" t="s">
        <v>3649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3648</v>
      </c>
      <c r="C87" t="s">
        <v>3647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3646</v>
      </c>
      <c r="C88" t="s">
        <v>3645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3644</v>
      </c>
      <c r="C89" t="s">
        <v>3643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3298</v>
      </c>
      <c r="B90" t="s">
        <v>3642</v>
      </c>
      <c r="C90" t="s">
        <v>3641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3295</v>
      </c>
      <c r="B91" t="s">
        <v>3640</v>
      </c>
      <c r="C91" t="s">
        <v>3639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3292</v>
      </c>
      <c r="B92" t="s">
        <v>3638</v>
      </c>
      <c r="C92" t="s">
        <v>3637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3636</v>
      </c>
      <c r="C93" t="s">
        <v>3635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3634</v>
      </c>
      <c r="C95" t="s">
        <v>3633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3632</v>
      </c>
      <c r="C96" t="s">
        <v>3631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3630</v>
      </c>
      <c r="C97" t="s">
        <v>3629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3628</v>
      </c>
      <c r="C98" t="s">
        <v>3627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3626</v>
      </c>
      <c r="C99" t="s">
        <v>3625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3624</v>
      </c>
      <c r="C100" t="s">
        <v>3623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3622</v>
      </c>
      <c r="C101" t="s">
        <v>3621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3620</v>
      </c>
      <c r="C102" t="s">
        <v>3619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3618</v>
      </c>
      <c r="C103" t="s">
        <v>3617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3298</v>
      </c>
      <c r="B104" t="s">
        <v>3616</v>
      </c>
      <c r="C104" t="s">
        <v>3615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3295</v>
      </c>
      <c r="B105" t="s">
        <v>3614</v>
      </c>
      <c r="C105" t="s">
        <v>3613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3292</v>
      </c>
      <c r="B106" t="s">
        <v>3612</v>
      </c>
      <c r="C106" t="s">
        <v>3611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3610</v>
      </c>
      <c r="C107" t="s">
        <v>3609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3608</v>
      </c>
      <c r="C110" t="s">
        <v>3607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3606</v>
      </c>
      <c r="C111" t="s">
        <v>3605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3604</v>
      </c>
      <c r="C112" t="s">
        <v>3603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3602</v>
      </c>
      <c r="C113" t="s">
        <v>3601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3600</v>
      </c>
      <c r="C114" t="s">
        <v>3599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3598</v>
      </c>
      <c r="C115" t="s">
        <v>3597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3596</v>
      </c>
      <c r="C116" t="s">
        <v>3595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3594</v>
      </c>
      <c r="C117" t="s">
        <v>3593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3592</v>
      </c>
      <c r="C118" t="s">
        <v>3591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3298</v>
      </c>
      <c r="B119" t="s">
        <v>3590</v>
      </c>
      <c r="C119" t="s">
        <v>3589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3295</v>
      </c>
      <c r="B120" t="s">
        <v>3588</v>
      </c>
      <c r="C120" t="s">
        <v>3587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3292</v>
      </c>
      <c r="B121" t="s">
        <v>3586</v>
      </c>
      <c r="C121" t="s">
        <v>3585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3584</v>
      </c>
      <c r="C122" t="s">
        <v>3583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3582</v>
      </c>
      <c r="C124" t="s">
        <v>3581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3580</v>
      </c>
      <c r="C125" t="s">
        <v>3579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3578</v>
      </c>
      <c r="C126" t="s">
        <v>3577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3576</v>
      </c>
      <c r="C127" t="s">
        <v>3575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3574</v>
      </c>
      <c r="C128" t="s">
        <v>3573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3572</v>
      </c>
      <c r="C129" t="s">
        <v>3571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3570</v>
      </c>
      <c r="C130" t="s">
        <v>3569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3568</v>
      </c>
      <c r="C131" t="s">
        <v>3567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3566</v>
      </c>
      <c r="C132" t="s">
        <v>3565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3298</v>
      </c>
      <c r="B133" t="s">
        <v>3564</v>
      </c>
      <c r="C133" t="s">
        <v>3563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3295</v>
      </c>
      <c r="B134" t="s">
        <v>3562</v>
      </c>
      <c r="C134" t="s">
        <v>3561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3292</v>
      </c>
      <c r="B135" t="s">
        <v>3560</v>
      </c>
      <c r="C135" t="s">
        <v>3559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3558</v>
      </c>
      <c r="C136" t="s">
        <v>3557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3556</v>
      </c>
      <c r="C138" s="1" t="s">
        <v>3555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18">
        <v>8.0000000000000002E-3</v>
      </c>
    </row>
    <row r="139" spans="1:33">
      <c r="A139" t="s">
        <v>313</v>
      </c>
      <c r="B139" t="s">
        <v>3554</v>
      </c>
      <c r="C139" t="s">
        <v>3553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3552</v>
      </c>
      <c r="C140" t="s">
        <v>3551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3550</v>
      </c>
      <c r="C141" t="s">
        <v>3549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3548</v>
      </c>
      <c r="C142" t="s">
        <v>3547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c r="A143" t="s">
        <v>379</v>
      </c>
      <c r="B143" t="s">
        <v>3546</v>
      </c>
      <c r="C143" t="s">
        <v>3545</v>
      </c>
      <c r="D143" t="s">
        <v>413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31">
        <v>3.0000000000000001E-3</v>
      </c>
    </row>
    <row r="144" spans="1:33">
      <c r="A144" t="s">
        <v>381</v>
      </c>
      <c r="B144" t="s">
        <v>3544</v>
      </c>
      <c r="C144" t="s">
        <v>3543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3542</v>
      </c>
      <c r="C145" t="s">
        <v>3541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3540</v>
      </c>
      <c r="C146" t="s">
        <v>3539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3298</v>
      </c>
      <c r="B147" t="s">
        <v>3538</v>
      </c>
      <c r="C147" t="s">
        <v>3537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3295</v>
      </c>
      <c r="B148" t="s">
        <v>3536</v>
      </c>
      <c r="C148" t="s">
        <v>3535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3292</v>
      </c>
      <c r="B149" t="s">
        <v>3534</v>
      </c>
      <c r="C149" t="s">
        <v>3533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3532</v>
      </c>
      <c r="C150" t="s">
        <v>3531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3530</v>
      </c>
      <c r="C151" t="s">
        <v>3529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3528</v>
      </c>
      <c r="C154" t="s">
        <v>3527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3526</v>
      </c>
      <c r="C155" t="s">
        <v>3525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3524</v>
      </c>
      <c r="C156" t="s">
        <v>3523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3522</v>
      </c>
      <c r="C157" t="s">
        <v>3521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3520</v>
      </c>
      <c r="C158" t="s">
        <v>3519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3518</v>
      </c>
      <c r="C159" t="s">
        <v>3517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3516</v>
      </c>
      <c r="C160" t="s">
        <v>3515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3514</v>
      </c>
      <c r="C161" t="s">
        <v>3513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3512</v>
      </c>
      <c r="C162" t="s">
        <v>3511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3298</v>
      </c>
      <c r="B163" t="s">
        <v>3510</v>
      </c>
      <c r="C163" t="s">
        <v>3509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3295</v>
      </c>
      <c r="B164" t="s">
        <v>3508</v>
      </c>
      <c r="C164" t="s">
        <v>3507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3292</v>
      </c>
      <c r="B165" t="s">
        <v>3506</v>
      </c>
      <c r="C165" t="s">
        <v>3505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3504</v>
      </c>
      <c r="C166" t="s">
        <v>3503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3502</v>
      </c>
      <c r="C168" t="s">
        <v>3501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3500</v>
      </c>
      <c r="C169" t="s">
        <v>3499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3498</v>
      </c>
      <c r="C170" t="s">
        <v>3497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3496</v>
      </c>
      <c r="C171" t="s">
        <v>3495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3494</v>
      </c>
      <c r="C172" t="s">
        <v>3493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3492</v>
      </c>
      <c r="C173" t="s">
        <v>3491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3490</v>
      </c>
      <c r="C174" t="s">
        <v>3489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3488</v>
      </c>
      <c r="C175" t="s">
        <v>3487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3486</v>
      </c>
      <c r="C176" t="s">
        <v>3485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3298</v>
      </c>
      <c r="B177" t="s">
        <v>3484</v>
      </c>
      <c r="C177" t="s">
        <v>3483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3295</v>
      </c>
      <c r="B178" t="s">
        <v>3482</v>
      </c>
      <c r="C178" t="s">
        <v>3481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3292</v>
      </c>
      <c r="B179" t="s">
        <v>3480</v>
      </c>
      <c r="C179" t="s">
        <v>3479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3478</v>
      </c>
      <c r="C180" t="s">
        <v>3477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3476</v>
      </c>
      <c r="C182" t="s">
        <v>3475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3474</v>
      </c>
      <c r="C183" t="s">
        <v>3473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3472</v>
      </c>
      <c r="C184" t="s">
        <v>3471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3470</v>
      </c>
      <c r="C185" t="s">
        <v>3469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3468</v>
      </c>
      <c r="C186" t="s">
        <v>3467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3466</v>
      </c>
      <c r="C187" t="s">
        <v>3465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3464</v>
      </c>
      <c r="C188" t="s">
        <v>3463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3462</v>
      </c>
      <c r="C189" t="s">
        <v>3461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3460</v>
      </c>
      <c r="C190" t="s">
        <v>3459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3298</v>
      </c>
      <c r="B191" t="s">
        <v>3458</v>
      </c>
      <c r="C191" t="s">
        <v>3457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3295</v>
      </c>
      <c r="B192" t="s">
        <v>3456</v>
      </c>
      <c r="C192" t="s">
        <v>3455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3292</v>
      </c>
      <c r="B193" t="s">
        <v>3454</v>
      </c>
      <c r="C193" t="s">
        <v>3453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3452</v>
      </c>
      <c r="C194" t="s">
        <v>3451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3450</v>
      </c>
      <c r="C195" t="s">
        <v>3449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3448</v>
      </c>
      <c r="C199" t="s">
        <v>3447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3446</v>
      </c>
      <c r="C200" t="s">
        <v>3445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3444</v>
      </c>
      <c r="C201" t="s">
        <v>3443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3442</v>
      </c>
      <c r="C202" t="s">
        <v>3441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3440</v>
      </c>
      <c r="C203" t="s">
        <v>3439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3438</v>
      </c>
      <c r="C204" t="s">
        <v>3437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3436</v>
      </c>
      <c r="C205" t="s">
        <v>3435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3434</v>
      </c>
      <c r="C206" t="s">
        <v>3433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3432</v>
      </c>
      <c r="C207" t="s">
        <v>3431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3298</v>
      </c>
      <c r="B208" t="s">
        <v>3430</v>
      </c>
      <c r="C208" t="s">
        <v>3429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3295</v>
      </c>
      <c r="B209" t="s">
        <v>3428</v>
      </c>
      <c r="C209" t="s">
        <v>3427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3292</v>
      </c>
      <c r="B210" t="s">
        <v>3426</v>
      </c>
      <c r="C210" t="s">
        <v>3425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3424</v>
      </c>
      <c r="C211" t="s">
        <v>3423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3422</v>
      </c>
      <c r="C213" t="s">
        <v>3421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3420</v>
      </c>
      <c r="C214" t="s">
        <v>3419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3418</v>
      </c>
      <c r="C215" t="s">
        <v>3417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3416</v>
      </c>
      <c r="C216" t="s">
        <v>3415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3414</v>
      </c>
      <c r="C217" t="s">
        <v>3413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3412</v>
      </c>
      <c r="C218" t="s">
        <v>3411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3410</v>
      </c>
      <c r="C219" t="s">
        <v>3409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3408</v>
      </c>
      <c r="C220" t="s">
        <v>3407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3406</v>
      </c>
      <c r="C221" t="s">
        <v>3405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3298</v>
      </c>
      <c r="B222" t="s">
        <v>3404</v>
      </c>
      <c r="C222" t="s">
        <v>3403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3295</v>
      </c>
      <c r="B223" t="s">
        <v>3402</v>
      </c>
      <c r="C223" t="s">
        <v>3401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3292</v>
      </c>
      <c r="B224" t="s">
        <v>3400</v>
      </c>
      <c r="C224" t="s">
        <v>3399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3398</v>
      </c>
      <c r="C225" t="s">
        <v>3397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3396</v>
      </c>
      <c r="C227" t="s">
        <v>3395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3394</v>
      </c>
      <c r="C228" t="s">
        <v>3393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3392</v>
      </c>
      <c r="C229" t="s">
        <v>3391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3390</v>
      </c>
      <c r="C230" t="s">
        <v>3389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3388</v>
      </c>
      <c r="C231" t="s">
        <v>3387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3386</v>
      </c>
      <c r="C232" t="s">
        <v>3385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3384</v>
      </c>
      <c r="C233" t="s">
        <v>3383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3382</v>
      </c>
      <c r="C234" t="s">
        <v>3381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3380</v>
      </c>
      <c r="C235" t="s">
        <v>3379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3298</v>
      </c>
      <c r="B236" t="s">
        <v>3378</v>
      </c>
      <c r="C236" t="s">
        <v>3377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3295</v>
      </c>
      <c r="B237" t="s">
        <v>3376</v>
      </c>
      <c r="C237" t="s">
        <v>3375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3292</v>
      </c>
      <c r="B238" t="s">
        <v>3374</v>
      </c>
      <c r="C238" t="s">
        <v>3373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3372</v>
      </c>
      <c r="C239" t="s">
        <v>3371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3370</v>
      </c>
      <c r="C240" t="s">
        <v>3369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3368</v>
      </c>
      <c r="C243" t="s">
        <v>3367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3366</v>
      </c>
      <c r="C244" t="s">
        <v>3365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3364</v>
      </c>
      <c r="C245" t="s">
        <v>3363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3362</v>
      </c>
      <c r="C246" t="s">
        <v>3361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3360</v>
      </c>
      <c r="C247" t="s">
        <v>3359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3358</v>
      </c>
      <c r="C248" t="s">
        <v>3357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3356</v>
      </c>
      <c r="C249" t="s">
        <v>3355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3354</v>
      </c>
      <c r="C250" t="s">
        <v>3353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3352</v>
      </c>
      <c r="C251" t="s">
        <v>3351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3298</v>
      </c>
      <c r="B252" t="s">
        <v>3350</v>
      </c>
      <c r="C252" t="s">
        <v>3349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3295</v>
      </c>
      <c r="B253" t="s">
        <v>3348</v>
      </c>
      <c r="C253" t="s">
        <v>3347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3292</v>
      </c>
      <c r="B254" t="s">
        <v>3346</v>
      </c>
      <c r="C254" t="s">
        <v>3345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3344</v>
      </c>
      <c r="C255" t="s">
        <v>3343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3342</v>
      </c>
      <c r="C257" t="s">
        <v>3341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3340</v>
      </c>
      <c r="C258" t="s">
        <v>3339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3338</v>
      </c>
      <c r="C259" t="s">
        <v>3337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3336</v>
      </c>
      <c r="C260" t="s">
        <v>3335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3334</v>
      </c>
      <c r="C261" t="s">
        <v>3333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3332</v>
      </c>
      <c r="C262" t="s">
        <v>3331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3330</v>
      </c>
      <c r="C263" t="s">
        <v>3329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3328</v>
      </c>
      <c r="C264" t="s">
        <v>3327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3326</v>
      </c>
      <c r="C265" t="s">
        <v>3325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3298</v>
      </c>
      <c r="B266" t="s">
        <v>3324</v>
      </c>
      <c r="C266" t="s">
        <v>3323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3295</v>
      </c>
      <c r="B267" t="s">
        <v>3322</v>
      </c>
      <c r="C267" t="s">
        <v>3321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3292</v>
      </c>
      <c r="B268" t="s">
        <v>3320</v>
      </c>
      <c r="C268" t="s">
        <v>3319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3318</v>
      </c>
      <c r="C269" t="s">
        <v>3317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3316</v>
      </c>
      <c r="C271" t="s">
        <v>3315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3314</v>
      </c>
      <c r="C272" t="s">
        <v>3313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3312</v>
      </c>
      <c r="C273" t="s">
        <v>3311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3310</v>
      </c>
      <c r="C274" t="s">
        <v>3309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3308</v>
      </c>
      <c r="C275" t="s">
        <v>3307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3306</v>
      </c>
      <c r="C276" t="s">
        <v>3305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3304</v>
      </c>
      <c r="C277" t="s">
        <v>3303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3302</v>
      </c>
      <c r="C278" t="s">
        <v>3301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3300</v>
      </c>
      <c r="C279" t="s">
        <v>3299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3298</v>
      </c>
      <c r="B280" t="s">
        <v>3297</v>
      </c>
      <c r="C280" t="s">
        <v>3296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3295</v>
      </c>
      <c r="B281" t="s">
        <v>3294</v>
      </c>
      <c r="C281" t="s">
        <v>3293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3292</v>
      </c>
      <c r="B282" t="s">
        <v>3291</v>
      </c>
      <c r="C282" t="s">
        <v>3290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3289</v>
      </c>
      <c r="C283" t="s">
        <v>3288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3287</v>
      </c>
      <c r="C284" t="s">
        <v>3286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3285</v>
      </c>
      <c r="C286" t="s">
        <v>3284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3283</v>
      </c>
      <c r="C287" t="s">
        <v>3282</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3281</v>
      </c>
      <c r="C289" t="s">
        <v>3280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3279</v>
      </c>
      <c r="C290" t="s">
        <v>3278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3277</v>
      </c>
      <c r="C291" t="s">
        <v>3276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3275</v>
      </c>
      <c r="C292" t="s">
        <v>3274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3273</v>
      </c>
      <c r="C294" t="s">
        <v>3272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3271</v>
      </c>
      <c r="C295" t="s">
        <v>3270</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3269</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3268</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3267</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3266</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3265</v>
      </c>
      <c r="C302" t="s">
        <v>3264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3263</v>
      </c>
      <c r="C303" t="s">
        <v>3262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3261</v>
      </c>
      <c r="C304" t="s">
        <v>3260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3259</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3258</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3257</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3256</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topLeftCell="A49" workbookViewId="0">
      <selection activeCell="A51" sqref="A51:XFD63"/>
    </sheetView>
  </sheetViews>
  <sheetFormatPr defaultRowHeight="15"/>
  <cols>
    <col min="2" max="2" width="59" customWidth="1"/>
  </cols>
  <sheetData>
    <row r="1" spans="1:33">
      <c r="A1" t="s">
        <v>355</v>
      </c>
    </row>
    <row r="2" spans="1:33">
      <c r="A2" t="s">
        <v>3900</v>
      </c>
    </row>
    <row r="3" spans="1:33">
      <c r="A3" t="s">
        <v>3899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3898</v>
      </c>
      <c r="C8" t="s">
        <v>3897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3896</v>
      </c>
      <c r="C9" t="s">
        <v>3895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3894</v>
      </c>
      <c r="C10" t="s">
        <v>3893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3892</v>
      </c>
      <c r="C12" t="s">
        <v>3891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3890</v>
      </c>
      <c r="C13" t="s">
        <v>3889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3888</v>
      </c>
      <c r="C14" t="s">
        <v>3887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3886</v>
      </c>
      <c r="C15" t="s">
        <v>3885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3884</v>
      </c>
      <c r="C16" t="s">
        <v>3883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3882</v>
      </c>
      <c r="C17" t="s">
        <v>3881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3880</v>
      </c>
      <c r="C18" t="s">
        <v>3879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3878</v>
      </c>
      <c r="C19" t="s">
        <v>3877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3876</v>
      </c>
      <c r="C20" t="s">
        <v>3875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3874</v>
      </c>
      <c r="C21" t="s">
        <v>3873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3872</v>
      </c>
      <c r="C22" t="s">
        <v>3871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3870</v>
      </c>
      <c r="C23" t="s">
        <v>3869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3868</v>
      </c>
      <c r="C24" t="s">
        <v>3867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3866</v>
      </c>
      <c r="C25" t="s">
        <v>3865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3864</v>
      </c>
      <c r="C26" t="s">
        <v>3863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3862</v>
      </c>
      <c r="C27" t="s">
        <v>3861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3860</v>
      </c>
      <c r="C30" t="s">
        <v>3859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3858</v>
      </c>
      <c r="C31" t="s">
        <v>3857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3856</v>
      </c>
      <c r="C32" t="s">
        <v>3855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3854</v>
      </c>
      <c r="C34" t="s">
        <v>3853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3852</v>
      </c>
      <c r="C35" t="s">
        <v>3851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3850</v>
      </c>
      <c r="C36" t="s">
        <v>3849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3848</v>
      </c>
      <c r="C37" t="s">
        <v>3847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3846</v>
      </c>
      <c r="C38" t="s">
        <v>3845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3844</v>
      </c>
      <c r="C39" t="s">
        <v>3843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3842</v>
      </c>
      <c r="C40" t="s">
        <v>3841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3840</v>
      </c>
      <c r="C41" t="s">
        <v>3839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3838</v>
      </c>
      <c r="C42" t="s">
        <v>3837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3836</v>
      </c>
      <c r="C43" t="s">
        <v>3835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3834</v>
      </c>
      <c r="C44" t="s">
        <v>3833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3832</v>
      </c>
      <c r="C45" t="s">
        <v>3831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3830</v>
      </c>
      <c r="C46" t="s">
        <v>3829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3828</v>
      </c>
      <c r="C47" t="s">
        <v>3827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3826</v>
      </c>
      <c r="C48" t="s">
        <v>3825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3824</v>
      </c>
      <c r="C49" t="s">
        <v>3823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3822</v>
      </c>
      <c r="C50" t="s">
        <v>3821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3820</v>
      </c>
      <c r="C51" s="29" t="s">
        <v>3819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3818</v>
      </c>
      <c r="C52" t="s">
        <v>3817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3816</v>
      </c>
      <c r="C53" t="s">
        <v>3815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3814</v>
      </c>
      <c r="C54" t="s">
        <v>3813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3812</v>
      </c>
      <c r="C55" s="29" t="s">
        <v>3811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3810</v>
      </c>
      <c r="C56" t="s">
        <v>3809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3808</v>
      </c>
      <c r="C57" t="s">
        <v>3807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3806</v>
      </c>
      <c r="C58" t="s">
        <v>3805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3804</v>
      </c>
      <c r="C59" t="s">
        <v>3803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3298</v>
      </c>
      <c r="B60" t="s">
        <v>3802</v>
      </c>
      <c r="C60" t="s">
        <v>3801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3295</v>
      </c>
      <c r="B61" t="s">
        <v>3800</v>
      </c>
      <c r="C61" t="s">
        <v>3799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3292</v>
      </c>
      <c r="B62" t="s">
        <v>3798</v>
      </c>
      <c r="C62" t="s">
        <v>3797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3796</v>
      </c>
      <c r="C63" t="s">
        <v>3795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activeCell="E1" sqref="E1"/>
    </sheetView>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11068</v>
      </c>
      <c r="C2" s="64">
        <v>11354</v>
      </c>
      <c r="D2" s="64">
        <v>11470</v>
      </c>
      <c r="E2" s="64">
        <v>11489</v>
      </c>
      <c r="F2" s="64">
        <v>11477</v>
      </c>
      <c r="G2" s="64">
        <v>11476</v>
      </c>
      <c r="H2" s="64">
        <v>11492</v>
      </c>
      <c r="I2" s="64">
        <v>11524</v>
      </c>
      <c r="J2" s="64">
        <v>11571</v>
      </c>
      <c r="K2" s="64">
        <v>11603</v>
      </c>
      <c r="L2" s="64">
        <v>11629</v>
      </c>
      <c r="M2" s="64">
        <v>11653</v>
      </c>
      <c r="N2" s="64">
        <v>11671</v>
      </c>
      <c r="O2" s="64">
        <v>11699</v>
      </c>
      <c r="P2" s="64">
        <v>11743</v>
      </c>
      <c r="Q2" s="64">
        <v>11795</v>
      </c>
      <c r="R2" s="64">
        <v>11840</v>
      </c>
      <c r="S2" s="64">
        <v>11885</v>
      </c>
      <c r="T2" s="64">
        <v>11928</v>
      </c>
      <c r="U2" s="64">
        <v>11969</v>
      </c>
      <c r="V2" s="64">
        <v>12006</v>
      </c>
      <c r="W2" s="64">
        <v>12040</v>
      </c>
      <c r="X2" s="64">
        <v>12072</v>
      </c>
      <c r="Y2" s="64">
        <v>12108</v>
      </c>
      <c r="Z2" s="64">
        <v>12155</v>
      </c>
      <c r="AA2" s="64">
        <v>12215</v>
      </c>
      <c r="AB2" s="64">
        <v>12283</v>
      </c>
      <c r="AC2" s="64">
        <v>12356</v>
      </c>
      <c r="AD2" s="64"/>
      <c r="AE2" s="64"/>
      <c r="AF2" s="64"/>
    </row>
    <row r="3" spans="1:32">
      <c r="A3" t="s">
        <v>134</v>
      </c>
      <c r="B3" s="64">
        <v>18252</v>
      </c>
      <c r="C3" s="64">
        <v>18252</v>
      </c>
      <c r="D3" s="64">
        <v>18252</v>
      </c>
      <c r="E3" s="64">
        <v>18252</v>
      </c>
      <c r="F3" s="64">
        <v>18252</v>
      </c>
      <c r="G3" s="64">
        <v>18252</v>
      </c>
      <c r="H3" s="64">
        <v>18252</v>
      </c>
      <c r="I3" s="64">
        <v>18252</v>
      </c>
      <c r="J3" s="64">
        <v>18252</v>
      </c>
      <c r="K3" s="64">
        <v>18252</v>
      </c>
      <c r="L3" s="64">
        <v>18252</v>
      </c>
      <c r="M3" s="64">
        <v>18252</v>
      </c>
      <c r="N3" s="64">
        <v>18252</v>
      </c>
      <c r="O3" s="64">
        <v>18252</v>
      </c>
      <c r="P3" s="64">
        <v>18252</v>
      </c>
      <c r="Q3" s="64">
        <v>18252</v>
      </c>
      <c r="R3" s="64">
        <v>18252</v>
      </c>
      <c r="S3" s="64">
        <v>18252</v>
      </c>
      <c r="T3" s="64">
        <v>18252</v>
      </c>
      <c r="U3" s="64">
        <v>18252</v>
      </c>
      <c r="V3" s="64">
        <v>18252</v>
      </c>
      <c r="W3" s="64">
        <v>18252</v>
      </c>
      <c r="X3" s="64">
        <v>18252</v>
      </c>
      <c r="Y3" s="64">
        <v>18252</v>
      </c>
      <c r="Z3" s="64">
        <v>18252</v>
      </c>
      <c r="AA3" s="64">
        <v>18252</v>
      </c>
      <c r="AB3" s="64">
        <v>18252</v>
      </c>
      <c r="AC3" s="64">
        <v>18252</v>
      </c>
      <c r="AD3" s="64"/>
      <c r="AE3" s="64"/>
      <c r="AF3" s="64"/>
    </row>
    <row r="4" spans="1:32">
      <c r="A4" t="s">
        <v>131</v>
      </c>
      <c r="B4" s="64">
        <v>1006949</v>
      </c>
      <c r="C4" s="64">
        <v>1006949</v>
      </c>
      <c r="D4" s="64">
        <v>1006949</v>
      </c>
      <c r="E4" s="64">
        <v>1006949</v>
      </c>
      <c r="F4" s="64">
        <v>1006949</v>
      </c>
      <c r="G4" s="64">
        <v>1006949</v>
      </c>
      <c r="H4" s="64">
        <v>1006949</v>
      </c>
      <c r="I4" s="64">
        <v>1006949</v>
      </c>
      <c r="J4" s="64">
        <v>1006949</v>
      </c>
      <c r="K4" s="64">
        <v>1006949</v>
      </c>
      <c r="L4" s="64">
        <v>1006949</v>
      </c>
      <c r="M4" s="64">
        <v>1006949</v>
      </c>
      <c r="N4" s="64">
        <v>1006949</v>
      </c>
      <c r="O4" s="64">
        <v>1006949</v>
      </c>
      <c r="P4" s="64">
        <v>1006949</v>
      </c>
      <c r="Q4" s="64">
        <v>1006949</v>
      </c>
      <c r="R4" s="64">
        <v>1006949</v>
      </c>
      <c r="S4" s="64">
        <v>1006949</v>
      </c>
      <c r="T4" s="64">
        <v>1006949</v>
      </c>
      <c r="U4" s="64">
        <v>1006949</v>
      </c>
      <c r="V4" s="64">
        <v>1006949</v>
      </c>
      <c r="W4" s="64">
        <v>1006949</v>
      </c>
      <c r="X4" s="64">
        <v>1006949</v>
      </c>
      <c r="Y4" s="64">
        <v>1006949</v>
      </c>
      <c r="Z4" s="64">
        <v>1006949</v>
      </c>
      <c r="AA4" s="64">
        <v>1006949</v>
      </c>
      <c r="AB4" s="64">
        <v>1006949</v>
      </c>
      <c r="AC4" s="64">
        <v>1006949</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8561</v>
      </c>
      <c r="C7" s="64">
        <v>8561</v>
      </c>
      <c r="D7" s="64">
        <v>8561</v>
      </c>
      <c r="E7" s="64">
        <v>8561</v>
      </c>
      <c r="F7" s="64">
        <v>8561</v>
      </c>
      <c r="G7" s="64">
        <v>8561</v>
      </c>
      <c r="H7" s="64">
        <v>8561</v>
      </c>
      <c r="I7" s="64">
        <v>8561</v>
      </c>
      <c r="J7" s="64">
        <v>8561</v>
      </c>
      <c r="K7" s="64">
        <v>8561</v>
      </c>
      <c r="L7" s="64">
        <v>8561</v>
      </c>
      <c r="M7" s="64">
        <v>8561</v>
      </c>
      <c r="N7" s="64">
        <v>8561</v>
      </c>
      <c r="O7" s="64">
        <v>8561</v>
      </c>
      <c r="P7" s="64">
        <v>8561</v>
      </c>
      <c r="Q7" s="64">
        <v>8561</v>
      </c>
      <c r="R7" s="64">
        <v>8561</v>
      </c>
      <c r="S7" s="64">
        <v>8561</v>
      </c>
      <c r="T7" s="64">
        <v>8561</v>
      </c>
      <c r="U7" s="64">
        <v>8561</v>
      </c>
      <c r="V7" s="64">
        <v>8561</v>
      </c>
      <c r="W7" s="64">
        <v>8561</v>
      </c>
      <c r="X7" s="64">
        <v>8561</v>
      </c>
      <c r="Y7" s="64">
        <v>8561</v>
      </c>
      <c r="Z7" s="64">
        <v>8561</v>
      </c>
      <c r="AA7" s="64">
        <v>8561</v>
      </c>
      <c r="AB7" s="64">
        <v>8561</v>
      </c>
      <c r="AC7" s="64">
        <v>8561</v>
      </c>
      <c r="AD7" s="64"/>
      <c r="AE7" s="64"/>
      <c r="AF7" s="6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activeCell="J20" sqref="J20"/>
    </sheetView>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10156</v>
      </c>
      <c r="D2">
        <v>10156</v>
      </c>
      <c r="E2">
        <v>10156</v>
      </c>
      <c r="F2">
        <v>10156</v>
      </c>
      <c r="G2">
        <v>10156</v>
      </c>
      <c r="H2">
        <v>10156</v>
      </c>
      <c r="I2">
        <v>10156</v>
      </c>
      <c r="J2">
        <v>10156</v>
      </c>
      <c r="K2">
        <v>10156</v>
      </c>
      <c r="L2">
        <v>10156</v>
      </c>
      <c r="M2">
        <v>10156</v>
      </c>
      <c r="N2">
        <v>10156</v>
      </c>
      <c r="O2">
        <v>10156</v>
      </c>
      <c r="P2">
        <v>10156</v>
      </c>
      <c r="Q2">
        <v>10156</v>
      </c>
      <c r="R2">
        <v>10156</v>
      </c>
      <c r="S2">
        <v>10156</v>
      </c>
      <c r="T2">
        <v>10156</v>
      </c>
      <c r="U2">
        <v>10156</v>
      </c>
      <c r="V2">
        <v>10156</v>
      </c>
      <c r="W2">
        <v>10156</v>
      </c>
      <c r="X2">
        <v>10156</v>
      </c>
      <c r="Y2">
        <v>10156</v>
      </c>
      <c r="Z2">
        <v>10156</v>
      </c>
      <c r="AA2">
        <v>10156</v>
      </c>
      <c r="AB2">
        <v>10156</v>
      </c>
      <c r="AC2">
        <v>10156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1066931</v>
      </c>
      <c r="C4">
        <v>1066931</v>
      </c>
      <c r="D4">
        <v>1066931</v>
      </c>
      <c r="E4">
        <v>1066931</v>
      </c>
      <c r="F4">
        <v>1066931</v>
      </c>
      <c r="G4">
        <v>1066931</v>
      </c>
      <c r="H4">
        <v>1066931</v>
      </c>
      <c r="I4">
        <v>1066931</v>
      </c>
      <c r="J4">
        <v>1066931</v>
      </c>
      <c r="K4">
        <v>1066931</v>
      </c>
      <c r="L4">
        <v>1066931</v>
      </c>
      <c r="M4">
        <v>1066931</v>
      </c>
      <c r="N4">
        <v>1066931</v>
      </c>
      <c r="O4">
        <v>1066931</v>
      </c>
      <c r="P4">
        <v>1066931</v>
      </c>
      <c r="Q4">
        <v>1066931</v>
      </c>
      <c r="R4">
        <v>1066931</v>
      </c>
      <c r="S4">
        <v>1066931</v>
      </c>
      <c r="T4">
        <v>1066931</v>
      </c>
      <c r="U4">
        <v>1066931</v>
      </c>
      <c r="V4">
        <v>1066931</v>
      </c>
      <c r="W4">
        <v>1066931</v>
      </c>
      <c r="X4">
        <v>1066931</v>
      </c>
      <c r="Y4">
        <v>1066931</v>
      </c>
      <c r="Z4">
        <v>1066931</v>
      </c>
      <c r="AA4">
        <v>1066931</v>
      </c>
      <c r="AB4">
        <v>1066931</v>
      </c>
      <c r="AC4">
        <v>1066931</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139216</v>
      </c>
      <c r="C6">
        <v>139216</v>
      </c>
      <c r="D6">
        <v>139216</v>
      </c>
      <c r="E6">
        <v>139216</v>
      </c>
      <c r="F6">
        <v>139216</v>
      </c>
      <c r="G6">
        <v>139216</v>
      </c>
      <c r="H6">
        <v>139216</v>
      </c>
      <c r="I6">
        <v>139216</v>
      </c>
      <c r="J6">
        <v>139216</v>
      </c>
      <c r="K6">
        <v>139216</v>
      </c>
      <c r="L6">
        <v>139216</v>
      </c>
      <c r="M6">
        <v>139216</v>
      </c>
      <c r="N6">
        <v>139216</v>
      </c>
      <c r="O6">
        <v>139216</v>
      </c>
      <c r="P6">
        <v>139216</v>
      </c>
      <c r="Q6">
        <v>139216</v>
      </c>
      <c r="R6">
        <v>139216</v>
      </c>
      <c r="S6">
        <v>139216</v>
      </c>
      <c r="T6">
        <v>139216</v>
      </c>
      <c r="U6">
        <v>139216</v>
      </c>
      <c r="V6">
        <v>139216</v>
      </c>
      <c r="W6">
        <v>139216</v>
      </c>
      <c r="X6">
        <v>139216</v>
      </c>
      <c r="Y6">
        <v>139216</v>
      </c>
      <c r="Z6">
        <v>139216</v>
      </c>
      <c r="AA6">
        <v>139216</v>
      </c>
      <c r="AB6">
        <v>139216</v>
      </c>
      <c r="AC6">
        <v>139216</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00" t="s">
        <v>186</v>
      </c>
      <c r="B1" s="200"/>
      <c r="C1" s="200"/>
      <c r="D1" s="200"/>
      <c r="E1" s="200"/>
      <c r="F1" s="200"/>
      <c r="G1" s="200"/>
      <c r="H1" s="200"/>
      <c r="I1" s="200"/>
      <c r="J1" s="200"/>
      <c r="K1" s="200"/>
      <c r="L1" s="200"/>
      <c r="M1" s="200"/>
      <c r="N1" s="200"/>
      <c r="O1" s="200"/>
      <c r="P1" s="200"/>
      <c r="Q1" s="200"/>
      <c r="R1" s="200"/>
      <c r="S1" s="200"/>
      <c r="T1" s="200"/>
      <c r="U1" s="200"/>
      <c r="V1" s="200"/>
      <c r="W1" s="200"/>
      <c r="X1" s="200"/>
      <c r="Y1" s="200"/>
      <c r="Z1" s="200"/>
      <c r="AA1" s="200"/>
      <c r="AB1" s="200"/>
      <c r="AC1" s="200"/>
      <c r="AD1" s="200"/>
      <c r="AE1" s="200"/>
      <c r="AF1" s="200"/>
      <c r="AG1" s="200"/>
      <c r="AH1" s="200"/>
      <c r="AI1" s="200"/>
      <c r="AJ1" s="200"/>
      <c r="AK1" s="200"/>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01" t="s">
        <v>475</v>
      </c>
      <c r="B26" s="201"/>
      <c r="C26" s="201"/>
      <c r="D26" s="201"/>
      <c r="E26" s="201"/>
      <c r="F26" s="201"/>
      <c r="G26" s="201"/>
      <c r="H26" s="201"/>
      <c r="I26" s="201"/>
      <c r="J26" s="201"/>
      <c r="K26" s="201"/>
      <c r="L26" s="201"/>
      <c r="M26" s="201"/>
      <c r="N26" s="201"/>
      <c r="O26" s="201"/>
      <c r="P26" s="201"/>
      <c r="Q26" s="201"/>
      <c r="R26" s="201"/>
      <c r="S26" s="201"/>
      <c r="T26" s="201"/>
      <c r="U26" s="201"/>
      <c r="V26" s="201"/>
      <c r="W26" s="201"/>
      <c r="X26" s="201"/>
      <c r="Y26" s="201"/>
      <c r="Z26" s="201"/>
    </row>
    <row r="27" spans="1:38" s="56" customFormat="1" ht="12.75" customHeight="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38" s="44" customFormat="1" ht="38.25" customHeight="1">
      <c r="A28" s="211" t="s">
        <v>476</v>
      </c>
      <c r="B28" s="211"/>
      <c r="C28" s="211"/>
      <c r="D28" s="211"/>
      <c r="E28" s="211"/>
      <c r="F28" s="211"/>
      <c r="G28" s="211"/>
      <c r="H28" s="211"/>
      <c r="I28" s="211"/>
      <c r="J28" s="211"/>
      <c r="K28" s="211"/>
      <c r="L28" s="211"/>
      <c r="M28" s="211"/>
      <c r="N28" s="211"/>
      <c r="O28" s="211"/>
      <c r="P28" s="211"/>
      <c r="Q28" s="211"/>
      <c r="R28" s="211"/>
      <c r="S28" s="211"/>
      <c r="T28" s="211"/>
      <c r="U28" s="211"/>
      <c r="V28" s="211"/>
      <c r="W28" s="211"/>
      <c r="X28" s="211"/>
      <c r="Y28" s="211"/>
      <c r="Z28" s="211"/>
    </row>
    <row r="29" spans="1:38" s="44" customFormat="1" ht="12.75" customHeight="1">
      <c r="A29" s="211" t="s">
        <v>477</v>
      </c>
      <c r="B29" s="211"/>
      <c r="C29" s="211"/>
      <c r="D29" s="211"/>
      <c r="E29" s="211"/>
      <c r="F29" s="211"/>
      <c r="G29" s="211"/>
      <c r="H29" s="211"/>
      <c r="I29" s="211"/>
      <c r="J29" s="211"/>
      <c r="K29" s="211"/>
      <c r="L29" s="211"/>
      <c r="M29" s="211"/>
      <c r="N29" s="211"/>
      <c r="O29" s="211"/>
      <c r="P29" s="211"/>
      <c r="Q29" s="211"/>
      <c r="R29" s="211"/>
      <c r="S29" s="211"/>
      <c r="T29" s="211"/>
      <c r="U29" s="211"/>
      <c r="V29" s="211"/>
      <c r="W29" s="211"/>
      <c r="X29" s="211"/>
      <c r="Y29" s="211"/>
      <c r="Z29" s="211"/>
    </row>
    <row r="30" spans="1:38" s="44" customFormat="1" ht="12.75" customHeight="1">
      <c r="A30" s="211" t="s">
        <v>478</v>
      </c>
      <c r="B30" s="211"/>
      <c r="C30" s="211"/>
      <c r="D30" s="211"/>
      <c r="E30" s="211"/>
      <c r="F30" s="211"/>
      <c r="G30" s="211"/>
      <c r="H30" s="211"/>
      <c r="I30" s="211"/>
      <c r="J30" s="211"/>
      <c r="K30" s="211"/>
      <c r="L30" s="211"/>
      <c r="M30" s="211"/>
      <c r="N30" s="211"/>
      <c r="O30" s="211"/>
      <c r="P30" s="211"/>
      <c r="Q30" s="211"/>
      <c r="R30" s="211"/>
      <c r="S30" s="211"/>
      <c r="T30" s="211"/>
      <c r="U30" s="211"/>
      <c r="V30" s="211"/>
      <c r="W30" s="211"/>
      <c r="X30" s="211"/>
      <c r="Y30" s="211"/>
      <c r="Z30" s="211"/>
    </row>
    <row r="31" spans="1:38" s="44" customFormat="1" ht="25.5" customHeight="1">
      <c r="A31" s="211" t="s">
        <v>479</v>
      </c>
      <c r="B31" s="211"/>
      <c r="C31" s="211"/>
      <c r="D31" s="211"/>
      <c r="E31" s="211"/>
      <c r="F31" s="211"/>
      <c r="G31" s="211"/>
      <c r="H31" s="211"/>
      <c r="I31" s="211"/>
      <c r="J31" s="211"/>
      <c r="K31" s="211"/>
      <c r="L31" s="211"/>
      <c r="M31" s="211"/>
      <c r="N31" s="211"/>
      <c r="O31" s="211"/>
      <c r="P31" s="211"/>
      <c r="Q31" s="211"/>
      <c r="R31" s="211"/>
      <c r="S31" s="211"/>
      <c r="T31" s="211"/>
      <c r="U31" s="211"/>
      <c r="V31" s="211"/>
      <c r="W31" s="211"/>
      <c r="X31" s="211"/>
      <c r="Y31" s="211"/>
      <c r="Z31" s="211"/>
    </row>
    <row r="32" spans="1:38" s="44" customFormat="1" ht="12.75" customHeight="1">
      <c r="A32" s="211" t="s">
        <v>480</v>
      </c>
      <c r="B32" s="211"/>
      <c r="C32" s="211"/>
      <c r="D32" s="211"/>
      <c r="E32" s="211"/>
      <c r="F32" s="211"/>
      <c r="G32" s="211"/>
      <c r="H32" s="211"/>
      <c r="I32" s="211"/>
      <c r="J32" s="211"/>
      <c r="K32" s="211"/>
      <c r="L32" s="211"/>
      <c r="M32" s="211"/>
      <c r="N32" s="211"/>
      <c r="O32" s="211"/>
      <c r="P32" s="211"/>
      <c r="Q32" s="211"/>
      <c r="R32" s="211"/>
      <c r="S32" s="211"/>
      <c r="T32" s="211"/>
      <c r="U32" s="211"/>
      <c r="V32" s="211"/>
      <c r="W32" s="211"/>
      <c r="X32" s="211"/>
      <c r="Y32" s="211"/>
      <c r="Z32" s="211"/>
    </row>
    <row r="33" spans="1:26" s="44" customFormat="1" ht="12.75" customHeight="1">
      <c r="A33" s="211" t="s">
        <v>481</v>
      </c>
      <c r="B33" s="211"/>
      <c r="C33" s="211"/>
      <c r="D33" s="211"/>
      <c r="E33" s="211"/>
      <c r="F33" s="211"/>
      <c r="G33" s="211"/>
      <c r="H33" s="211"/>
      <c r="I33" s="211"/>
      <c r="J33" s="211"/>
      <c r="K33" s="211"/>
      <c r="L33" s="211"/>
      <c r="M33" s="211"/>
      <c r="N33" s="211"/>
      <c r="O33" s="211"/>
      <c r="P33" s="211"/>
      <c r="Q33" s="211"/>
      <c r="R33" s="211"/>
      <c r="S33" s="211"/>
      <c r="T33" s="211"/>
      <c r="U33" s="211"/>
      <c r="V33" s="211"/>
      <c r="W33" s="211"/>
      <c r="X33" s="211"/>
      <c r="Y33" s="211"/>
      <c r="Z33" s="211"/>
    </row>
    <row r="34" spans="1:26" s="44" customFormat="1" ht="12.75" customHeight="1">
      <c r="A34" s="211" t="s">
        <v>482</v>
      </c>
      <c r="B34" s="211"/>
      <c r="C34" s="211"/>
      <c r="D34" s="211"/>
      <c r="E34" s="211"/>
      <c r="F34" s="211"/>
      <c r="G34" s="211"/>
      <c r="H34" s="211"/>
      <c r="I34" s="211"/>
      <c r="J34" s="211"/>
      <c r="K34" s="211"/>
      <c r="L34" s="211"/>
      <c r="M34" s="211"/>
      <c r="N34" s="211"/>
      <c r="O34" s="211"/>
      <c r="P34" s="211"/>
      <c r="Q34" s="211"/>
      <c r="R34" s="211"/>
      <c r="S34" s="211"/>
      <c r="T34" s="211"/>
      <c r="U34" s="211"/>
      <c r="V34" s="211"/>
      <c r="W34" s="211"/>
      <c r="X34" s="211"/>
      <c r="Y34" s="211"/>
      <c r="Z34" s="211"/>
    </row>
    <row r="35" spans="1:26" s="44" customFormat="1" ht="12.75" customHeight="1">
      <c r="A35" s="212" t="s">
        <v>483</v>
      </c>
      <c r="B35" s="212"/>
      <c r="C35" s="212"/>
      <c r="D35" s="212"/>
      <c r="E35" s="212"/>
      <c r="F35" s="212"/>
      <c r="G35" s="212"/>
      <c r="H35" s="212"/>
      <c r="I35" s="212"/>
      <c r="J35" s="212"/>
      <c r="K35" s="212"/>
      <c r="L35" s="212"/>
      <c r="M35" s="212"/>
      <c r="N35" s="212"/>
      <c r="O35" s="212"/>
      <c r="P35" s="212"/>
      <c r="Q35" s="212"/>
      <c r="R35" s="212"/>
      <c r="S35" s="212"/>
      <c r="T35" s="212"/>
      <c r="U35" s="212"/>
      <c r="V35" s="212"/>
      <c r="W35" s="212"/>
      <c r="X35" s="212"/>
      <c r="Y35" s="212"/>
      <c r="Z35" s="212"/>
    </row>
    <row r="36" spans="1:26" s="44" customFormat="1" ht="12.75" customHeight="1">
      <c r="A36" s="211" t="s">
        <v>484</v>
      </c>
      <c r="B36" s="211"/>
      <c r="C36" s="211"/>
      <c r="D36" s="211"/>
      <c r="E36" s="211"/>
      <c r="F36" s="211"/>
      <c r="G36" s="211"/>
      <c r="H36" s="211"/>
      <c r="I36" s="211"/>
      <c r="J36" s="211"/>
      <c r="K36" s="211"/>
      <c r="L36" s="211"/>
      <c r="M36" s="211"/>
      <c r="N36" s="211"/>
      <c r="O36" s="211"/>
      <c r="P36" s="211"/>
      <c r="Q36" s="211"/>
      <c r="R36" s="211"/>
      <c r="S36" s="211"/>
      <c r="T36" s="211"/>
      <c r="U36" s="211"/>
      <c r="V36" s="211"/>
      <c r="W36" s="211"/>
      <c r="X36" s="211"/>
      <c r="Y36" s="211"/>
      <c r="Z36" s="211"/>
    </row>
    <row r="37" spans="1:26" s="44" customFormat="1" ht="25.5" customHeight="1">
      <c r="A37" s="211" t="s">
        <v>485</v>
      </c>
      <c r="B37" s="211"/>
      <c r="C37" s="211"/>
      <c r="D37" s="211"/>
      <c r="E37" s="211"/>
      <c r="F37" s="211"/>
      <c r="G37" s="211"/>
      <c r="H37" s="211"/>
      <c r="I37" s="211"/>
      <c r="J37" s="211"/>
      <c r="K37" s="211"/>
      <c r="L37" s="211"/>
      <c r="M37" s="211"/>
      <c r="N37" s="211"/>
      <c r="O37" s="211"/>
      <c r="P37" s="211"/>
      <c r="Q37" s="211"/>
      <c r="R37" s="211"/>
      <c r="S37" s="211"/>
      <c r="T37" s="211"/>
      <c r="U37" s="211"/>
      <c r="V37" s="211"/>
      <c r="W37" s="211"/>
      <c r="X37" s="211"/>
      <c r="Y37" s="211"/>
      <c r="Z37" s="211"/>
    </row>
    <row r="38" spans="1:26" s="44" customFormat="1" ht="12.75" customHeight="1">
      <c r="A38" s="213"/>
      <c r="B38" s="213"/>
      <c r="C38" s="213"/>
      <c r="D38" s="213"/>
      <c r="E38" s="213"/>
      <c r="F38" s="213"/>
      <c r="G38" s="213"/>
      <c r="H38" s="213"/>
      <c r="I38" s="213"/>
      <c r="J38" s="213"/>
      <c r="K38" s="213"/>
      <c r="L38" s="213"/>
      <c r="M38" s="213"/>
      <c r="N38" s="213"/>
      <c r="O38" s="213"/>
      <c r="P38" s="213"/>
      <c r="Q38" s="213"/>
      <c r="R38" s="213"/>
      <c r="S38" s="213"/>
      <c r="T38" s="213"/>
      <c r="U38" s="213"/>
      <c r="V38" s="213"/>
      <c r="W38" s="213"/>
      <c r="X38" s="213"/>
      <c r="Y38" s="213"/>
      <c r="Z38" s="213"/>
    </row>
    <row r="39" spans="1:26" s="44" customFormat="1" ht="12.75" customHeight="1">
      <c r="A39" s="214" t="s">
        <v>177</v>
      </c>
      <c r="B39" s="214"/>
      <c r="C39" s="214"/>
      <c r="D39" s="214"/>
      <c r="E39" s="214"/>
      <c r="F39" s="214"/>
      <c r="G39" s="214"/>
      <c r="H39" s="214"/>
      <c r="I39" s="214"/>
      <c r="J39" s="214"/>
      <c r="K39" s="214"/>
      <c r="L39" s="214"/>
      <c r="M39" s="214"/>
      <c r="N39" s="214"/>
      <c r="O39" s="214"/>
      <c r="P39" s="214"/>
      <c r="Q39" s="214"/>
      <c r="R39" s="214"/>
      <c r="S39" s="214"/>
      <c r="T39" s="214"/>
      <c r="U39" s="214"/>
      <c r="V39" s="214"/>
      <c r="W39" s="214"/>
      <c r="X39" s="214"/>
      <c r="Y39" s="214"/>
      <c r="Z39" s="214"/>
    </row>
    <row r="40" spans="1:26" s="44" customFormat="1" ht="12.75" customHeight="1">
      <c r="A40" s="207" t="s">
        <v>486</v>
      </c>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row>
    <row r="41" spans="1:26" s="44" customFormat="1" ht="38.25" customHeight="1">
      <c r="A41" s="207" t="s">
        <v>176</v>
      </c>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row>
    <row r="42" spans="1:26" s="44" customFormat="1" ht="25.5" customHeight="1">
      <c r="A42" s="207" t="s">
        <v>487</v>
      </c>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row>
    <row r="43" spans="1:26" s="44" customFormat="1" ht="25.5" customHeight="1">
      <c r="A43" s="207" t="s">
        <v>488</v>
      </c>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row>
    <row r="44" spans="1:26" s="44" customFormat="1" ht="12.75" customHeight="1">
      <c r="A44" s="209" t="s">
        <v>175</v>
      </c>
      <c r="B44" s="209"/>
      <c r="C44" s="209"/>
      <c r="D44" s="209"/>
      <c r="E44" s="209"/>
      <c r="F44" s="209"/>
      <c r="G44" s="209"/>
      <c r="H44" s="209"/>
      <c r="I44" s="209"/>
      <c r="J44" s="209"/>
      <c r="K44" s="209"/>
      <c r="L44" s="209"/>
      <c r="M44" s="209"/>
      <c r="N44" s="209"/>
      <c r="O44" s="209"/>
      <c r="P44" s="209"/>
      <c r="Q44" s="209"/>
      <c r="R44" s="209"/>
      <c r="S44" s="209"/>
      <c r="T44" s="209"/>
      <c r="U44" s="209"/>
      <c r="V44" s="209"/>
      <c r="W44" s="209"/>
      <c r="X44" s="209"/>
      <c r="Y44" s="209"/>
      <c r="Z44" s="209"/>
    </row>
    <row r="45" spans="1:26" s="44" customFormat="1" ht="24.75" customHeight="1">
      <c r="A45" s="209" t="s">
        <v>489</v>
      </c>
      <c r="B45" s="209"/>
      <c r="C45" s="209"/>
      <c r="D45" s="209"/>
      <c r="E45" s="209"/>
      <c r="F45" s="209"/>
      <c r="G45" s="209"/>
      <c r="H45" s="209"/>
      <c r="I45" s="209"/>
      <c r="J45" s="209"/>
      <c r="K45" s="209"/>
      <c r="L45" s="209"/>
      <c r="M45" s="209"/>
      <c r="N45" s="209"/>
      <c r="O45" s="209"/>
      <c r="P45" s="209"/>
      <c r="Q45" s="209"/>
      <c r="R45" s="209"/>
      <c r="S45" s="209"/>
      <c r="T45" s="209"/>
      <c r="U45" s="209"/>
      <c r="V45" s="209"/>
      <c r="W45" s="209"/>
      <c r="X45" s="209"/>
      <c r="Y45" s="209"/>
      <c r="Z45" s="209"/>
    </row>
    <row r="46" spans="1:26" s="44" customFormat="1" ht="12.75" customHeight="1">
      <c r="A46" s="205" t="s">
        <v>490</v>
      </c>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5"/>
      <c r="Z46" s="205"/>
    </row>
    <row r="47" spans="1:26" s="44" customFormat="1" ht="12.75" customHeight="1">
      <c r="A47" s="210" t="s">
        <v>174</v>
      </c>
      <c r="B47" s="210"/>
      <c r="C47" s="210"/>
      <c r="D47" s="210"/>
      <c r="E47" s="210"/>
      <c r="F47" s="210"/>
      <c r="G47" s="210"/>
      <c r="H47" s="210"/>
      <c r="I47" s="210"/>
      <c r="J47" s="210"/>
      <c r="K47" s="210"/>
      <c r="L47" s="210"/>
      <c r="M47" s="210"/>
      <c r="N47" s="210"/>
      <c r="O47" s="210"/>
      <c r="P47" s="210"/>
      <c r="Q47" s="210"/>
      <c r="R47" s="210"/>
      <c r="S47" s="210"/>
      <c r="T47" s="210"/>
      <c r="U47" s="210"/>
      <c r="V47" s="210"/>
      <c r="W47" s="210"/>
      <c r="X47" s="210"/>
      <c r="Y47" s="210"/>
      <c r="Z47" s="210"/>
    </row>
    <row r="48" spans="1:26" s="44" customFormat="1" ht="12.75" customHeight="1">
      <c r="A48" s="207" t="s">
        <v>173</v>
      </c>
      <c r="B48" s="207"/>
      <c r="C48" s="207"/>
      <c r="D48" s="207"/>
      <c r="E48" s="207"/>
      <c r="F48" s="207"/>
      <c r="G48" s="207"/>
      <c r="H48" s="207"/>
      <c r="I48" s="207"/>
      <c r="J48" s="207"/>
      <c r="K48" s="207"/>
      <c r="L48" s="207"/>
      <c r="M48" s="207"/>
      <c r="N48" s="207"/>
      <c r="O48" s="207"/>
      <c r="P48" s="207"/>
      <c r="Q48" s="207"/>
      <c r="R48" s="207"/>
      <c r="S48" s="207"/>
      <c r="T48" s="207"/>
      <c r="U48" s="207"/>
      <c r="V48" s="207"/>
      <c r="W48" s="207"/>
      <c r="X48" s="207"/>
      <c r="Y48" s="207"/>
      <c r="Z48" s="207"/>
    </row>
    <row r="49" spans="1:26" s="44" customFormat="1" ht="12.75" customHeight="1">
      <c r="A49" s="207" t="s">
        <v>491</v>
      </c>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row>
    <row r="50" spans="1:26" s="44" customFormat="1" ht="12.75" customHeight="1">
      <c r="A50" s="205"/>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row>
    <row r="51" spans="1:26" s="44" customFormat="1" ht="12.75" customHeight="1">
      <c r="A51" s="208" t="s">
        <v>172</v>
      </c>
      <c r="B51" s="208"/>
      <c r="C51" s="208"/>
      <c r="D51" s="208"/>
      <c r="E51" s="208"/>
      <c r="F51" s="208"/>
      <c r="G51" s="208"/>
      <c r="H51" s="208"/>
      <c r="I51" s="208"/>
      <c r="J51" s="208"/>
      <c r="K51" s="208"/>
      <c r="L51" s="208"/>
      <c r="M51" s="208"/>
      <c r="N51" s="208"/>
      <c r="O51" s="208"/>
      <c r="P51" s="208"/>
      <c r="Q51" s="208"/>
      <c r="R51" s="208"/>
      <c r="S51" s="208"/>
      <c r="T51" s="208"/>
      <c r="U51" s="208"/>
      <c r="V51" s="208"/>
      <c r="W51" s="208"/>
      <c r="X51" s="208"/>
      <c r="Y51" s="208"/>
      <c r="Z51" s="208"/>
    </row>
    <row r="52" spans="1:26" s="44" customFormat="1" ht="12.75" customHeight="1">
      <c r="A52" s="208" t="s">
        <v>171</v>
      </c>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row>
    <row r="53" spans="1:26" s="44" customFormat="1" ht="12.75" customHeight="1">
      <c r="A53" s="206" t="s">
        <v>492</v>
      </c>
      <c r="B53" s="206"/>
      <c r="C53" s="206"/>
      <c r="D53" s="206"/>
      <c r="E53" s="206"/>
      <c r="F53" s="206"/>
      <c r="G53" s="206"/>
      <c r="H53" s="206"/>
      <c r="I53" s="206"/>
      <c r="J53" s="206"/>
      <c r="K53" s="206"/>
      <c r="L53" s="206"/>
      <c r="M53" s="206"/>
      <c r="N53" s="206"/>
      <c r="O53" s="206"/>
      <c r="P53" s="206"/>
      <c r="Q53" s="206"/>
      <c r="R53" s="206"/>
      <c r="S53" s="206"/>
      <c r="T53" s="206"/>
      <c r="U53" s="206"/>
      <c r="V53" s="206"/>
      <c r="W53" s="206"/>
      <c r="X53" s="206"/>
      <c r="Y53" s="206"/>
      <c r="Z53" s="206"/>
    </row>
    <row r="54" spans="1:26" s="44" customFormat="1" ht="12.75" customHeight="1">
      <c r="A54" s="199" t="s">
        <v>170</v>
      </c>
      <c r="B54" s="199"/>
      <c r="C54" s="199"/>
      <c r="D54" s="199"/>
      <c r="E54" s="199"/>
      <c r="F54" s="199"/>
      <c r="G54" s="199"/>
      <c r="H54" s="199"/>
      <c r="I54" s="199"/>
      <c r="J54" s="199"/>
      <c r="K54" s="199"/>
      <c r="L54" s="199"/>
      <c r="M54" s="199"/>
      <c r="N54" s="199"/>
      <c r="O54" s="199"/>
      <c r="P54" s="199"/>
      <c r="Q54" s="199"/>
      <c r="R54" s="199"/>
      <c r="S54" s="199"/>
      <c r="T54" s="199"/>
      <c r="U54" s="199"/>
      <c r="V54" s="199"/>
      <c r="W54" s="199"/>
      <c r="X54" s="199"/>
      <c r="Y54" s="199"/>
      <c r="Z54" s="199"/>
    </row>
    <row r="55" spans="1:26" s="44" customFormat="1" ht="12.75" customHeight="1">
      <c r="A55" s="199" t="s">
        <v>493</v>
      </c>
      <c r="B55" s="199"/>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row>
    <row r="56" spans="1:26" s="44" customFormat="1" ht="12.75" customHeight="1">
      <c r="A56" s="205" t="s">
        <v>494</v>
      </c>
      <c r="B56" s="205"/>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row>
    <row r="57" spans="1:26" s="44" customFormat="1" ht="12.75" customHeight="1">
      <c r="A57" s="205" t="s">
        <v>495</v>
      </c>
      <c r="B57" s="205"/>
      <c r="C57" s="205"/>
      <c r="D57" s="205"/>
      <c r="E57" s="205"/>
      <c r="F57" s="205"/>
      <c r="G57" s="205"/>
      <c r="H57" s="205"/>
      <c r="I57" s="205"/>
      <c r="J57" s="205"/>
      <c r="K57" s="205"/>
      <c r="L57" s="205"/>
      <c r="M57" s="205"/>
      <c r="N57" s="205"/>
      <c r="O57" s="205"/>
      <c r="P57" s="205"/>
      <c r="Q57" s="205"/>
      <c r="R57" s="205"/>
      <c r="S57" s="205"/>
      <c r="T57" s="205"/>
      <c r="U57" s="205"/>
      <c r="V57" s="205"/>
      <c r="W57" s="205"/>
      <c r="X57" s="205"/>
      <c r="Y57" s="205"/>
      <c r="Z57" s="205"/>
    </row>
    <row r="58" spans="1:26" s="44" customFormat="1" ht="12.95" customHeight="1">
      <c r="A58" s="206" t="s">
        <v>496</v>
      </c>
      <c r="B58" s="206"/>
      <c r="C58" s="206"/>
      <c r="D58" s="206"/>
      <c r="E58" s="206"/>
      <c r="F58" s="206"/>
      <c r="G58" s="206"/>
      <c r="H58" s="206"/>
      <c r="I58" s="206"/>
      <c r="J58" s="206"/>
      <c r="K58" s="206"/>
      <c r="L58" s="206"/>
      <c r="M58" s="206"/>
      <c r="N58" s="206"/>
      <c r="O58" s="206"/>
      <c r="P58" s="206"/>
      <c r="Q58" s="206"/>
      <c r="R58" s="206"/>
      <c r="S58" s="206"/>
      <c r="T58" s="206"/>
      <c r="U58" s="206"/>
      <c r="V58" s="206"/>
      <c r="W58" s="206"/>
      <c r="X58" s="206"/>
      <c r="Y58" s="206"/>
      <c r="Z58" s="206"/>
    </row>
    <row r="59" spans="1:26" s="44" customFormat="1" ht="12.95" customHeight="1">
      <c r="A59" s="205" t="s">
        <v>497</v>
      </c>
      <c r="B59" s="205"/>
      <c r="C59" s="205"/>
      <c r="D59" s="205"/>
      <c r="E59" s="205"/>
      <c r="F59" s="205"/>
      <c r="G59" s="205"/>
      <c r="H59" s="205"/>
      <c r="I59" s="205"/>
      <c r="J59" s="205"/>
      <c r="K59" s="205"/>
      <c r="L59" s="205"/>
      <c r="M59" s="205"/>
      <c r="N59" s="205"/>
      <c r="O59" s="205"/>
      <c r="P59" s="205"/>
      <c r="Q59" s="205"/>
      <c r="R59" s="205"/>
      <c r="S59" s="205"/>
      <c r="T59" s="205"/>
      <c r="U59" s="205"/>
      <c r="V59" s="205"/>
      <c r="W59" s="205"/>
      <c r="X59" s="205"/>
      <c r="Y59" s="205"/>
      <c r="Z59" s="205"/>
    </row>
    <row r="60" spans="1:26" s="44" customFormat="1" ht="12.75" customHeight="1">
      <c r="A60" s="203" t="s">
        <v>169</v>
      </c>
      <c r="B60" s="203"/>
      <c r="C60" s="203"/>
      <c r="D60" s="203"/>
      <c r="E60" s="203"/>
      <c r="F60" s="203"/>
      <c r="G60" s="203"/>
      <c r="H60" s="203"/>
      <c r="I60" s="203"/>
      <c r="J60" s="203"/>
      <c r="K60" s="203"/>
      <c r="L60" s="203"/>
      <c r="M60" s="203"/>
      <c r="N60" s="203"/>
      <c r="O60" s="203"/>
      <c r="P60" s="203"/>
      <c r="Q60" s="203"/>
      <c r="R60" s="203"/>
      <c r="S60" s="203"/>
      <c r="T60" s="203"/>
      <c r="U60" s="203"/>
      <c r="V60" s="203"/>
      <c r="W60" s="203"/>
      <c r="X60" s="203"/>
      <c r="Y60" s="203"/>
      <c r="Z60" s="203"/>
    </row>
    <row r="61" spans="1:26" s="44" customFormat="1" ht="12.75" customHeight="1">
      <c r="A61" s="204" t="s">
        <v>498</v>
      </c>
      <c r="B61" s="204"/>
      <c r="C61" s="204"/>
      <c r="D61" s="204"/>
      <c r="E61" s="204"/>
      <c r="F61" s="204"/>
      <c r="G61" s="204"/>
      <c r="H61" s="204"/>
      <c r="I61" s="204"/>
      <c r="J61" s="204"/>
      <c r="K61" s="204"/>
      <c r="L61" s="204"/>
      <c r="M61" s="204"/>
      <c r="N61" s="204"/>
      <c r="O61" s="204"/>
      <c r="P61" s="204"/>
      <c r="Q61" s="204"/>
      <c r="R61" s="204"/>
      <c r="S61" s="204"/>
      <c r="T61" s="204"/>
      <c r="U61" s="204"/>
      <c r="V61" s="204"/>
      <c r="W61" s="204"/>
      <c r="X61" s="204"/>
      <c r="Y61" s="204"/>
      <c r="Z61" s="204"/>
    </row>
    <row r="62" spans="1:26" s="44" customFormat="1" ht="12.75" customHeight="1">
      <c r="A62" s="205" t="s">
        <v>499</v>
      </c>
      <c r="B62" s="205"/>
      <c r="C62" s="205"/>
      <c r="D62" s="205"/>
      <c r="E62" s="205"/>
      <c r="F62" s="205"/>
      <c r="G62" s="205"/>
      <c r="H62" s="205"/>
      <c r="I62" s="205"/>
      <c r="J62" s="205"/>
      <c r="K62" s="205"/>
      <c r="L62" s="205"/>
      <c r="M62" s="205"/>
      <c r="N62" s="205"/>
      <c r="O62" s="205"/>
      <c r="P62" s="205"/>
      <c r="Q62" s="205"/>
      <c r="R62" s="205"/>
      <c r="S62" s="205"/>
      <c r="T62" s="205"/>
      <c r="U62" s="205"/>
      <c r="V62" s="205"/>
      <c r="W62" s="205"/>
      <c r="X62" s="205"/>
      <c r="Y62" s="205"/>
      <c r="Z62" s="205"/>
    </row>
    <row r="63" spans="1:26" s="45" customFormat="1" ht="12.75" customHeight="1">
      <c r="A63" s="199" t="s">
        <v>500</v>
      </c>
      <c r="B63" s="199"/>
      <c r="C63" s="199"/>
      <c r="D63" s="199"/>
      <c r="E63" s="199"/>
      <c r="F63" s="199"/>
      <c r="G63" s="199"/>
      <c r="H63" s="199"/>
      <c r="I63" s="199"/>
      <c r="J63" s="199"/>
      <c r="K63" s="199"/>
      <c r="L63" s="199"/>
      <c r="M63" s="199"/>
      <c r="N63" s="199"/>
      <c r="O63" s="199"/>
      <c r="P63" s="199"/>
      <c r="Q63" s="199"/>
      <c r="R63" s="199"/>
      <c r="S63" s="199"/>
      <c r="T63" s="199"/>
      <c r="U63" s="199"/>
      <c r="V63" s="199"/>
      <c r="W63" s="199"/>
      <c r="X63" s="199"/>
      <c r="Y63" s="199"/>
      <c r="Z63" s="199"/>
    </row>
    <row r="64" spans="1:26" s="45" customFormat="1" ht="12.75" customHeight="1">
      <c r="A64" s="204" t="s">
        <v>164</v>
      </c>
      <c r="B64" s="204"/>
      <c r="C64" s="204"/>
      <c r="D64" s="204"/>
      <c r="E64" s="204"/>
      <c r="F64" s="204"/>
      <c r="G64" s="204"/>
      <c r="H64" s="204"/>
      <c r="I64" s="204"/>
      <c r="J64" s="204"/>
      <c r="K64" s="204"/>
      <c r="L64" s="204"/>
      <c r="M64" s="204"/>
      <c r="N64" s="204"/>
      <c r="O64" s="204"/>
      <c r="P64" s="204"/>
      <c r="Q64" s="204"/>
      <c r="R64" s="204"/>
      <c r="S64" s="204"/>
      <c r="T64" s="204"/>
      <c r="U64" s="204"/>
      <c r="V64" s="204"/>
      <c r="W64" s="204"/>
      <c r="X64" s="204"/>
      <c r="Y64" s="204"/>
      <c r="Z64" s="204"/>
    </row>
    <row r="65" spans="1:26" s="44" customFormat="1" ht="12.75" customHeight="1">
      <c r="A65" s="205" t="s">
        <v>501</v>
      </c>
      <c r="B65" s="205"/>
      <c r="C65" s="205"/>
      <c r="D65" s="205"/>
      <c r="E65" s="205"/>
      <c r="F65" s="205"/>
      <c r="G65" s="205"/>
      <c r="H65" s="205"/>
      <c r="I65" s="205"/>
      <c r="J65" s="205"/>
      <c r="K65" s="205"/>
      <c r="L65" s="205"/>
      <c r="M65" s="205"/>
      <c r="N65" s="205"/>
      <c r="O65" s="205"/>
      <c r="P65" s="205"/>
      <c r="Q65" s="205"/>
      <c r="R65" s="205"/>
      <c r="S65" s="205"/>
      <c r="T65" s="205"/>
      <c r="U65" s="205"/>
      <c r="V65" s="205"/>
      <c r="W65" s="205"/>
      <c r="X65" s="205"/>
      <c r="Y65" s="205"/>
      <c r="Z65" s="205"/>
    </row>
    <row r="66" spans="1:26" s="45" customFormat="1" ht="12.75" customHeight="1">
      <c r="A66" s="199" t="s">
        <v>502</v>
      </c>
      <c r="B66" s="199"/>
      <c r="C66" s="199"/>
      <c r="D66" s="199"/>
      <c r="E66" s="199"/>
      <c r="F66" s="199"/>
      <c r="G66" s="199"/>
      <c r="H66" s="199"/>
      <c r="I66" s="199"/>
      <c r="J66" s="199"/>
      <c r="K66" s="199"/>
      <c r="L66" s="199"/>
      <c r="M66" s="199"/>
      <c r="N66" s="199"/>
      <c r="O66" s="199"/>
      <c r="P66" s="199"/>
      <c r="Q66" s="199"/>
      <c r="R66" s="199"/>
      <c r="S66" s="199"/>
      <c r="T66" s="199"/>
      <c r="U66" s="199"/>
      <c r="V66" s="199"/>
      <c r="W66" s="199"/>
      <c r="X66" s="199"/>
      <c r="Y66" s="199"/>
      <c r="Z66" s="199"/>
    </row>
    <row r="67" spans="1:26" s="45" customFormat="1" ht="12.75" customHeight="1">
      <c r="A67" s="203" t="s">
        <v>168</v>
      </c>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row>
    <row r="68" spans="1:26" s="45" customFormat="1" ht="12.75" customHeight="1">
      <c r="A68" s="204" t="s">
        <v>167</v>
      </c>
      <c r="B68" s="204"/>
      <c r="C68" s="204"/>
      <c r="D68" s="204"/>
      <c r="E68" s="204"/>
      <c r="F68" s="204"/>
      <c r="G68" s="204"/>
      <c r="H68" s="204"/>
      <c r="I68" s="204"/>
      <c r="J68" s="204"/>
      <c r="K68" s="204"/>
      <c r="L68" s="204"/>
      <c r="M68" s="204"/>
      <c r="N68" s="204"/>
      <c r="O68" s="204"/>
      <c r="P68" s="204"/>
      <c r="Q68" s="204"/>
      <c r="R68" s="204"/>
      <c r="S68" s="204"/>
      <c r="T68" s="204"/>
      <c r="U68" s="204"/>
      <c r="V68" s="204"/>
      <c r="W68" s="204"/>
      <c r="X68" s="204"/>
      <c r="Y68" s="204"/>
      <c r="Z68" s="204"/>
    </row>
    <row r="69" spans="1:26" s="45" customFormat="1" ht="12.75" customHeight="1">
      <c r="A69" s="199" t="s">
        <v>166</v>
      </c>
      <c r="B69" s="199"/>
      <c r="C69" s="199"/>
      <c r="D69" s="199"/>
      <c r="E69" s="199"/>
      <c r="F69" s="199"/>
      <c r="G69" s="199"/>
      <c r="H69" s="199"/>
      <c r="I69" s="199"/>
      <c r="J69" s="199"/>
      <c r="K69" s="199"/>
      <c r="L69" s="199"/>
      <c r="M69" s="199"/>
      <c r="N69" s="199"/>
      <c r="O69" s="199"/>
      <c r="P69" s="199"/>
      <c r="Q69" s="199"/>
      <c r="R69" s="199"/>
      <c r="S69" s="199"/>
      <c r="T69" s="199"/>
      <c r="U69" s="199"/>
      <c r="V69" s="199"/>
      <c r="W69" s="199"/>
      <c r="X69" s="199"/>
      <c r="Y69" s="199"/>
      <c r="Z69" s="199"/>
    </row>
    <row r="70" spans="1:26" s="44" customFormat="1" ht="12.75" customHeight="1">
      <c r="A70" s="199" t="s">
        <v>165</v>
      </c>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row>
    <row r="71" spans="1:26" s="44" customFormat="1" ht="12.75" customHeight="1">
      <c r="A71" s="199" t="s">
        <v>503</v>
      </c>
      <c r="B71" s="199"/>
      <c r="C71" s="199"/>
      <c r="D71" s="199"/>
      <c r="E71" s="199"/>
      <c r="F71" s="199"/>
      <c r="G71" s="199"/>
      <c r="H71" s="199"/>
      <c r="I71" s="199"/>
      <c r="J71" s="199"/>
      <c r="K71" s="199"/>
      <c r="L71" s="199"/>
      <c r="M71" s="199"/>
      <c r="N71" s="199"/>
      <c r="O71" s="199"/>
      <c r="P71" s="199"/>
      <c r="Q71" s="199"/>
      <c r="R71" s="199"/>
      <c r="S71" s="199"/>
      <c r="T71" s="199"/>
      <c r="U71" s="199"/>
      <c r="V71" s="199"/>
      <c r="W71" s="199"/>
      <c r="X71" s="199"/>
      <c r="Y71" s="199"/>
      <c r="Z71" s="199"/>
    </row>
    <row r="72" spans="1:26" s="44" customFormat="1" ht="12.75" customHeight="1">
      <c r="A72" s="199" t="s">
        <v>504</v>
      </c>
      <c r="B72" s="199"/>
      <c r="C72" s="199"/>
      <c r="D72" s="199"/>
      <c r="E72" s="199"/>
      <c r="F72" s="199"/>
      <c r="G72" s="199"/>
      <c r="H72" s="199"/>
      <c r="I72" s="199"/>
      <c r="J72" s="199"/>
      <c r="K72" s="199"/>
      <c r="L72" s="199"/>
      <c r="M72" s="199"/>
      <c r="N72" s="199"/>
      <c r="O72" s="199"/>
      <c r="P72" s="199"/>
      <c r="Q72" s="199"/>
      <c r="R72" s="199"/>
      <c r="S72" s="199"/>
      <c r="T72" s="199"/>
      <c r="U72" s="199"/>
      <c r="V72" s="199"/>
      <c r="W72" s="199"/>
      <c r="X72" s="199"/>
      <c r="Y72" s="199"/>
      <c r="Z72" s="199"/>
    </row>
    <row r="73" spans="1:26" s="44" customFormat="1" ht="12.75" customHeight="1">
      <c r="A73" s="204" t="s">
        <v>164</v>
      </c>
      <c r="B73" s="204"/>
      <c r="C73" s="204"/>
      <c r="D73" s="204"/>
      <c r="E73" s="204"/>
      <c r="F73" s="204"/>
      <c r="G73" s="204"/>
      <c r="H73" s="204"/>
      <c r="I73" s="204"/>
      <c r="J73" s="204"/>
      <c r="K73" s="204"/>
      <c r="L73" s="204"/>
      <c r="M73" s="204"/>
      <c r="N73" s="204"/>
      <c r="O73" s="204"/>
      <c r="P73" s="204"/>
      <c r="Q73" s="204"/>
      <c r="R73" s="204"/>
      <c r="S73" s="204"/>
      <c r="T73" s="204"/>
      <c r="U73" s="204"/>
      <c r="V73" s="204"/>
      <c r="W73" s="204"/>
      <c r="X73" s="204"/>
      <c r="Y73" s="204"/>
      <c r="Z73" s="204"/>
    </row>
    <row r="74" spans="1:26" s="45" customFormat="1" ht="12.75" customHeight="1">
      <c r="A74" s="199" t="s">
        <v>163</v>
      </c>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row>
    <row r="75" spans="1:26" s="44" customFormat="1" ht="12.75" customHeight="1">
      <c r="A75" s="199" t="s">
        <v>505</v>
      </c>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row>
    <row r="76" spans="1:26" s="44" customFormat="1" ht="12.75" customHeight="1">
      <c r="A76" s="199" t="s">
        <v>506</v>
      </c>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row>
    <row r="77" spans="1:26" s="44" customFormat="1" ht="12.75" customHeight="1">
      <c r="A77" s="203" t="s">
        <v>507</v>
      </c>
      <c r="B77" s="203"/>
      <c r="C77" s="203"/>
      <c r="D77" s="203"/>
      <c r="E77" s="203"/>
      <c r="F77" s="203"/>
      <c r="G77" s="203"/>
      <c r="H77" s="203"/>
      <c r="I77" s="203"/>
      <c r="J77" s="203"/>
      <c r="K77" s="203"/>
      <c r="L77" s="203"/>
      <c r="M77" s="203"/>
      <c r="N77" s="203"/>
      <c r="O77" s="203"/>
      <c r="P77" s="203"/>
      <c r="Q77" s="203"/>
      <c r="R77" s="203"/>
      <c r="S77" s="203"/>
      <c r="T77" s="203"/>
      <c r="U77" s="203"/>
      <c r="V77" s="203"/>
      <c r="W77" s="203"/>
      <c r="X77" s="203"/>
      <c r="Y77" s="203"/>
      <c r="Z77" s="203"/>
    </row>
    <row r="78" spans="1:26" s="44" customFormat="1" ht="12.75" customHeight="1">
      <c r="A78" s="199" t="s">
        <v>162</v>
      </c>
      <c r="B78" s="199"/>
      <c r="C78" s="199"/>
      <c r="D78" s="199"/>
      <c r="E78" s="199"/>
      <c r="F78" s="199"/>
      <c r="G78" s="199"/>
      <c r="H78" s="199"/>
      <c r="I78" s="199"/>
      <c r="J78" s="199"/>
      <c r="K78" s="199"/>
      <c r="L78" s="199"/>
      <c r="M78" s="199"/>
      <c r="N78" s="199"/>
      <c r="O78" s="199"/>
      <c r="P78" s="199"/>
      <c r="Q78" s="199"/>
      <c r="R78" s="199"/>
      <c r="S78" s="199"/>
      <c r="T78" s="199"/>
      <c r="U78" s="199"/>
      <c r="V78" s="199"/>
      <c r="W78" s="199"/>
      <c r="X78" s="199"/>
      <c r="Y78" s="199"/>
      <c r="Z78" s="199"/>
    </row>
    <row r="79" spans="1:26" s="44" customFormat="1" ht="12.75" customHeight="1">
      <c r="A79" s="199" t="s">
        <v>161</v>
      </c>
      <c r="B79" s="199"/>
      <c r="C79" s="199"/>
      <c r="D79" s="199"/>
      <c r="E79" s="199"/>
      <c r="F79" s="199"/>
      <c r="G79" s="199"/>
      <c r="H79" s="199"/>
      <c r="I79" s="199"/>
      <c r="J79" s="199"/>
      <c r="K79" s="199"/>
      <c r="L79" s="199"/>
      <c r="M79" s="199"/>
      <c r="N79" s="199"/>
      <c r="O79" s="199"/>
      <c r="P79" s="199"/>
      <c r="Q79" s="199"/>
      <c r="R79" s="199"/>
      <c r="S79" s="199"/>
      <c r="T79" s="199"/>
      <c r="U79" s="199"/>
      <c r="V79" s="199"/>
      <c r="W79" s="199"/>
      <c r="X79" s="199"/>
      <c r="Y79" s="199"/>
      <c r="Z79" s="199"/>
    </row>
    <row r="80" spans="1:26" s="44" customFormat="1" ht="12.75" customHeight="1">
      <c r="A80" s="199" t="s">
        <v>508</v>
      </c>
      <c r="B80" s="199"/>
      <c r="C80" s="199"/>
      <c r="D80" s="199"/>
      <c r="E80" s="199"/>
      <c r="F80" s="199"/>
      <c r="G80" s="199"/>
      <c r="H80" s="199"/>
      <c r="I80" s="199"/>
      <c r="J80" s="199"/>
      <c r="K80" s="199"/>
      <c r="L80" s="199"/>
      <c r="M80" s="199"/>
      <c r="N80" s="199"/>
      <c r="O80" s="199"/>
      <c r="P80" s="199"/>
      <c r="Q80" s="199"/>
      <c r="R80" s="199"/>
      <c r="S80" s="199"/>
      <c r="T80" s="199"/>
      <c r="U80" s="199"/>
      <c r="V80" s="199"/>
      <c r="W80" s="199"/>
      <c r="X80" s="199"/>
      <c r="Y80" s="199"/>
      <c r="Z80" s="199"/>
    </row>
    <row r="81" spans="1:26" ht="12.75" customHeight="1">
      <c r="A81" s="199" t="s">
        <v>509</v>
      </c>
      <c r="B81" s="199"/>
      <c r="C81" s="199"/>
      <c r="D81" s="199"/>
      <c r="E81" s="199"/>
      <c r="F81" s="199"/>
      <c r="G81" s="199"/>
      <c r="H81" s="199"/>
      <c r="I81" s="199"/>
      <c r="J81" s="199"/>
      <c r="K81" s="199"/>
      <c r="L81" s="199"/>
      <c r="M81" s="199"/>
      <c r="N81" s="199"/>
      <c r="O81" s="199"/>
      <c r="P81" s="199"/>
      <c r="Q81" s="199"/>
      <c r="R81" s="199"/>
      <c r="S81" s="199"/>
      <c r="T81" s="199"/>
      <c r="U81" s="199"/>
      <c r="V81" s="199"/>
      <c r="W81" s="199"/>
      <c r="X81" s="199"/>
      <c r="Y81" s="199"/>
      <c r="Z81" s="199"/>
    </row>
    <row r="82" spans="1:26" ht="12.75" customHeight="1">
      <c r="A82" s="203" t="s">
        <v>510</v>
      </c>
      <c r="B82" s="203"/>
      <c r="C82" s="203"/>
      <c r="D82" s="203"/>
      <c r="E82" s="203"/>
      <c r="F82" s="203"/>
      <c r="G82" s="203"/>
      <c r="H82" s="203"/>
      <c r="I82" s="203"/>
      <c r="J82" s="203"/>
      <c r="K82" s="203"/>
      <c r="L82" s="203"/>
      <c r="M82" s="203"/>
      <c r="N82" s="203"/>
      <c r="O82" s="203"/>
      <c r="P82" s="203"/>
      <c r="Q82" s="203"/>
      <c r="R82" s="203"/>
      <c r="S82" s="203"/>
      <c r="T82" s="203"/>
      <c r="U82" s="203"/>
      <c r="V82" s="203"/>
      <c r="W82" s="203"/>
      <c r="X82" s="203"/>
      <c r="Y82" s="203"/>
      <c r="Z82" s="203"/>
    </row>
    <row r="83" spans="1:26" ht="12.75" customHeight="1">
      <c r="A83" s="199" t="s">
        <v>511</v>
      </c>
      <c r="B83" s="199"/>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T'!$F$77:$F$89,'AEO 2025 Table 36 Alt T'!$A$77:$A$89,B7)*10^12</f>
        <v>23082237999999.996</v>
      </c>
      <c r="D7" s="1"/>
      <c r="E7" s="1"/>
      <c r="F7" s="1"/>
    </row>
    <row r="8" spans="2:22">
      <c r="B8" t="s">
        <v>207</v>
      </c>
      <c r="C8" s="188">
        <f>SUMIFS('AEO 2025 Table 36 Alt T'!$F$77:$F$89,'AEO 2025 Table 36 Alt T'!$A$77:$A$89,B8)*10^12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104"/>
  <sheetViews>
    <sheetView tabSelected="1" topLeftCell="A55" workbookViewId="0">
      <selection activeCell="F78" sqref="F78"/>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4" s="197" customFormat="1">
      <c r="A1" s="197" t="s">
        <v>3902</v>
      </c>
    </row>
    <row r="2" spans="1:4">
      <c r="C2">
        <v>2023</v>
      </c>
      <c r="D2">
        <v>2024</v>
      </c>
    </row>
    <row r="3" spans="1:4">
      <c r="B3" s="1" t="s">
        <v>2806</v>
      </c>
      <c r="C3" s="1">
        <f>'AEO 2023 7'!D65*10^15</f>
        <v>3008168000000000</v>
      </c>
      <c r="D3" s="1">
        <f>'AEO 2025 Table 7 Alt T'!F54*10^15</f>
        <v>3268324000000000</v>
      </c>
    </row>
    <row r="4" spans="1:4">
      <c r="B4" s="1" t="s">
        <v>3065</v>
      </c>
      <c r="C4" s="21">
        <f>'EPA-Annex3-Table A94'!E100/SUM('EPA-Annex3-Table A94'!$E$100:$E$101)</f>
        <v>0.67140255009107463</v>
      </c>
      <c r="D4" s="16">
        <f>C4</f>
        <v>0.67140255009107463</v>
      </c>
    </row>
    <row r="5" spans="1:4">
      <c r="B5" s="184" t="s">
        <v>3066</v>
      </c>
      <c r="C5" s="185">
        <f>C3*C4</f>
        <v>2019691666302367.8</v>
      </c>
      <c r="D5" s="185">
        <f>D3*D4</f>
        <v>2194361068123861.5</v>
      </c>
    </row>
    <row r="6" spans="1:4">
      <c r="B6" t="s">
        <v>3025</v>
      </c>
      <c r="C6" s="121">
        <f>'SYVbT-passenger'!E4</f>
        <v>6646</v>
      </c>
      <c r="D6" s="186">
        <v>6646.0996089999999</v>
      </c>
    </row>
    <row r="7" spans="1:4">
      <c r="B7" t="s">
        <v>3026</v>
      </c>
      <c r="C7" s="121">
        <f>'SYVbT-freight'!E4</f>
        <v>1069</v>
      </c>
      <c r="D7" s="186">
        <v>1068.7120359999999</v>
      </c>
    </row>
    <row r="8" spans="1:4">
      <c r="B8" t="s">
        <v>3027</v>
      </c>
      <c r="C8">
        <f>'AVLo-passengers'!B4</f>
        <v>111.39416306433705</v>
      </c>
      <c r="D8">
        <f>'AVLo-passengers'!C4</f>
        <v>111.39416306433705</v>
      </c>
    </row>
    <row r="9" spans="1:4">
      <c r="B9" t="s">
        <v>3028</v>
      </c>
      <c r="C9">
        <f>'AVLo-freight'!B4</f>
        <v>41.989116133258747</v>
      </c>
      <c r="D9">
        <f>'AVLo-freight'!C4</f>
        <v>41.989116133258747</v>
      </c>
    </row>
    <row r="10" spans="1:4">
      <c r="B10" t="s">
        <v>3029</v>
      </c>
      <c r="C10" s="64">
        <f>'BAADTbVT-passenger'!B4</f>
        <v>1006949</v>
      </c>
      <c r="D10" s="64">
        <f>'BAADTbVT-passenger'!C4</f>
        <v>1006949</v>
      </c>
    </row>
    <row r="11" spans="1:4">
      <c r="B11" t="s">
        <v>3030</v>
      </c>
      <c r="C11">
        <f>'BAADTbVT-frgt'!B4</f>
        <v>1066931</v>
      </c>
      <c r="D11">
        <f>'BAADTbVT-frgt'!C4</f>
        <v>1066931</v>
      </c>
    </row>
    <row r="12" spans="1:4">
      <c r="B12" t="s">
        <v>3031</v>
      </c>
      <c r="C12" s="21">
        <f>C6/SUM(C$6:C$7)</f>
        <v>0.86143875567077122</v>
      </c>
      <c r="D12" s="21">
        <f>D6/SUM(D$6:D$7)</f>
        <v>0.86147269885809374</v>
      </c>
    </row>
    <row r="13" spans="1:4">
      <c r="B13" t="s">
        <v>3032</v>
      </c>
      <c r="C13" s="21">
        <f>C7/SUM(C$6:C$7)</f>
        <v>0.13856124432922878</v>
      </c>
      <c r="D13" s="21">
        <f>D7/SUM(D$6:D$7)</f>
        <v>0.13852730114190623</v>
      </c>
    </row>
    <row r="14" spans="1:4">
      <c r="B14" t="s">
        <v>3033</v>
      </c>
      <c r="C14" s="30">
        <f>C12*C$5</f>
        <v>1739840675858138.3</v>
      </c>
      <c r="D14" s="30">
        <f>D12*D$5</f>
        <v>1890382151625792.3</v>
      </c>
    </row>
    <row r="15" spans="1:4">
      <c r="B15" t="s">
        <v>3034</v>
      </c>
      <c r="C15" s="30">
        <f>C13*C$5</f>
        <v>279850990444229.59</v>
      </c>
      <c r="D15" s="30">
        <f>D13*D$5</f>
        <v>303978916498069.19</v>
      </c>
    </row>
    <row r="16" spans="1:4">
      <c r="B16" s="181" t="s">
        <v>3035</v>
      </c>
      <c r="C16" s="182">
        <f>C6*C8*C10/C14</f>
        <v>4.2847034255362628E-4</v>
      </c>
      <c r="D16" s="182">
        <f>D6*D8*D10/D14</f>
        <v>3.9435481481818805E-4</v>
      </c>
    </row>
    <row r="17" spans="1:9">
      <c r="B17" s="181" t="s">
        <v>3036</v>
      </c>
      <c r="C17" s="182">
        <f>C7*C9*C11/C15</f>
        <v>1.7112912259502911E-4</v>
      </c>
      <c r="D17" s="182">
        <f>D7*D9*D11/D15</f>
        <v>1.5750353466416494E-4</v>
      </c>
    </row>
    <row r="19" spans="1:9">
      <c r="A19" s="197" t="s">
        <v>3903</v>
      </c>
      <c r="B19" s="197"/>
      <c r="C19" s="197"/>
      <c r="D19" s="197"/>
      <c r="E19" s="197"/>
      <c r="F19" s="197"/>
      <c r="G19" s="197"/>
      <c r="H19" s="197"/>
      <c r="I19" s="197"/>
    </row>
    <row r="20" spans="1:9" ht="30">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30">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 t="shared" ref="B32:H32" si="0">SUMPRODUCT(B21:B23,B28:B30)/SUM(B21:B23)</f>
        <v>1.3226441773833212E-4</v>
      </c>
      <c r="C32">
        <f t="shared" si="0"/>
        <v>7.0204850469879831E-5</v>
      </c>
      <c r="D32">
        <f t="shared" si="0"/>
        <v>9.2955581997260681E-5</v>
      </c>
      <c r="E32">
        <f t="shared" si="0"/>
        <v>1.0087912753938768E-4</v>
      </c>
      <c r="F32">
        <f t="shared" si="0"/>
        <v>1.7525323807361898E-4</v>
      </c>
      <c r="G32">
        <f t="shared" si="0"/>
        <v>5.5270584840087177E-5</v>
      </c>
      <c r="H32">
        <f t="shared" si="0"/>
        <v>8.379890176963306E-5</v>
      </c>
    </row>
    <row r="34" spans="1:8">
      <c r="A34" s="194" t="s">
        <v>3903</v>
      </c>
      <c r="B34" s="29"/>
      <c r="C34" s="29"/>
      <c r="D34" s="29"/>
    </row>
    <row r="35" spans="1:8">
      <c r="C35">
        <v>2024</v>
      </c>
    </row>
    <row r="36" spans="1:8">
      <c r="A36" t="s">
        <v>3901</v>
      </c>
      <c r="B36" t="s">
        <v>3253</v>
      </c>
      <c r="C36" s="30">
        <v>12804100</v>
      </c>
      <c r="E36" s="21"/>
    </row>
    <row r="37" spans="1:8">
      <c r="A37" t="s">
        <v>3901</v>
      </c>
      <c r="B37" t="s">
        <v>207</v>
      </c>
      <c r="C37" s="30">
        <v>10543600</v>
      </c>
      <c r="E37" s="21"/>
    </row>
    <row r="38" spans="1:8">
      <c r="A38" t="s">
        <v>3252</v>
      </c>
      <c r="B38" t="s">
        <v>3253</v>
      </c>
      <c r="C38">
        <f>'BAADTbVT-frgt'!B2</f>
        <v>10156</v>
      </c>
    </row>
    <row r="39" spans="1:8">
      <c r="A39" t="s">
        <v>3252</v>
      </c>
      <c r="B39" t="s">
        <v>207</v>
      </c>
      <c r="C39">
        <f>C38</f>
        <v>10156</v>
      </c>
    </row>
    <row r="40" spans="1:8">
      <c r="A40" t="s">
        <v>3254</v>
      </c>
      <c r="B40" t="s">
        <v>3253</v>
      </c>
      <c r="C40">
        <f>SUM('AEO 2025 Table 49'!F54,'AEO 2025 Table 49'!F68,'AEO 2025 Table 43'!F51,'AEO 2025 Table 49'!F57,'AEO 2025 Table 49'!F71,'AEO 2025 Table 43'!F55)*10^12</f>
        <v>1291851282000000</v>
      </c>
    </row>
    <row r="41" spans="1:8">
      <c r="A41" t="s">
        <v>3254</v>
      </c>
      <c r="B41" t="s">
        <v>207</v>
      </c>
      <c r="C41">
        <f>SUM('AEO 2025 Table 49'!F53,'AEO 2025 Table 49'!F67,'AEO 2025 Table 43'!F52)*10^12</f>
        <v>1371435761000000.3</v>
      </c>
    </row>
    <row r="42" spans="1:8">
      <c r="A42" s="29" t="s">
        <v>3255</v>
      </c>
      <c r="B42" s="29" t="s">
        <v>3253</v>
      </c>
      <c r="C42" s="193">
        <f>C36*C38/C40</f>
        <v>1.0066053377187421E-4</v>
      </c>
      <c r="E42" s="21"/>
    </row>
    <row r="43" spans="1:8">
      <c r="A43" s="29" t="s">
        <v>3255</v>
      </c>
      <c r="B43" s="29" t="s">
        <v>207</v>
      </c>
      <c r="C43" s="193">
        <f>C37*C39/C41</f>
        <v>7.8079341843850301E-5</v>
      </c>
      <c r="E43" s="21"/>
    </row>
    <row r="46" spans="1:8">
      <c r="B46" t="s">
        <v>660</v>
      </c>
    </row>
    <row r="47" spans="1:8" ht="75">
      <c r="A47" t="s">
        <v>635</v>
      </c>
      <c r="B47">
        <v>2020</v>
      </c>
      <c r="C47">
        <v>2021</v>
      </c>
      <c r="E47" s="5" t="s">
        <v>637</v>
      </c>
      <c r="F47" s="5" t="s">
        <v>661</v>
      </c>
      <c r="G47" s="5" t="s">
        <v>664</v>
      </c>
      <c r="H47" s="69" t="s">
        <v>665</v>
      </c>
    </row>
    <row r="48" spans="1:8">
      <c r="A48" s="66" t="s">
        <v>634</v>
      </c>
      <c r="H48" s="70"/>
    </row>
    <row r="49" spans="1:9">
      <c r="A49" t="s">
        <v>337</v>
      </c>
      <c r="B49" s="30">
        <f>'EPA_Table 3-13'!B8*10^12</f>
        <v>3000000000000</v>
      </c>
      <c r="C49" s="30">
        <f>'EPA_Table 3-13'!C8*10^12</f>
        <v>3000000000000</v>
      </c>
      <c r="E49">
        <f>'PEI-TFPEI-HDVs'!D2</f>
        <v>7.2920703974688528E-2</v>
      </c>
      <c r="F49" s="30">
        <f>B49/E49</f>
        <v>41140579238529.141</v>
      </c>
      <c r="G49">
        <f>'AVLo-passengers'!B3*'BAADTbVT-passenger'!B3*'SYVbT-passenger'!D3</f>
        <v>38056588531.850746</v>
      </c>
      <c r="H49" s="71">
        <f>G49/F49</f>
        <v>9.250377422058715E-4</v>
      </c>
    </row>
    <row r="50" spans="1:9">
      <c r="A50" s="66" t="s">
        <v>633</v>
      </c>
      <c r="B50" s="67"/>
      <c r="C50" s="67"/>
      <c r="H50" s="70"/>
    </row>
    <row r="51" spans="1:9">
      <c r="A51" t="s">
        <v>337</v>
      </c>
      <c r="B51" s="30">
        <f>'EPA_Table 3-13'!B15*10^12</f>
        <v>20000000000000</v>
      </c>
      <c r="C51" s="30">
        <f>'EPA_Table 3-13'!C15*10^12</f>
        <v>21000000000000</v>
      </c>
      <c r="E51">
        <f>'PEI-TFPEI-HDVs'!E2</f>
        <v>7.4215991692627201E-2</v>
      </c>
      <c r="F51" s="30">
        <f>B51/E51</f>
        <v>269483699454316.53</v>
      </c>
      <c r="G51">
        <f>'AVLo-passengers'!B3*'BAADTbVT-passenger'!B3*'SYVbT-passenger'!E3</f>
        <v>272323770932.5213</v>
      </c>
      <c r="H51" s="71">
        <f>G51/F51</f>
        <v>1.0105389360616456E-3</v>
      </c>
    </row>
    <row r="52" spans="1:9">
      <c r="A52" s="66" t="s">
        <v>624</v>
      </c>
      <c r="B52" s="67"/>
      <c r="C52" s="67"/>
      <c r="H52" s="70"/>
    </row>
    <row r="53" spans="1:9">
      <c r="A53" t="s">
        <v>337</v>
      </c>
      <c r="B53" s="30">
        <f>'EPA_Table 3-13'!B35*10^12</f>
        <v>1000000000000</v>
      </c>
      <c r="C53" s="30">
        <f>'EPA_Table 3-13'!C35*10^12</f>
        <v>1000000000000</v>
      </c>
      <c r="E53">
        <f>'PEI-TFPEI-HDVs'!C2</f>
        <v>5.2751937984496129E-2</v>
      </c>
      <c r="F53" s="30">
        <f>B53/E53</f>
        <v>18956649522409.992</v>
      </c>
      <c r="G53">
        <f>'AVLo-passengers'!B3*'BAADTbVT-passenger'!B3*'SYVbT-passenger'!C3</f>
        <v>47742313351.240959</v>
      </c>
      <c r="H53" s="71">
        <f>G53/F53</f>
        <v>2.5184995531410443E-3</v>
      </c>
    </row>
    <row r="54" spans="1:9">
      <c r="A54" s="66" t="s">
        <v>621</v>
      </c>
      <c r="B54" s="67"/>
      <c r="C54" s="67"/>
    </row>
    <row r="55" spans="1:9">
      <c r="A55" t="s">
        <v>337</v>
      </c>
      <c r="B55" s="68">
        <f>'EPA_Table 3-13'!B41</f>
        <v>0</v>
      </c>
      <c r="C55" s="68">
        <f>'EPA_Table 3-13'!C41</f>
        <v>0</v>
      </c>
      <c r="E55">
        <f>'PEI-TFPEI-HDVs'!J2</f>
        <v>6.7030064624894622E-2</v>
      </c>
    </row>
    <row r="57" spans="1:9">
      <c r="A57" s="197" t="s">
        <v>3905</v>
      </c>
      <c r="B57" s="197"/>
      <c r="C57" s="197"/>
      <c r="D57" s="197"/>
      <c r="E57" s="197"/>
      <c r="F57" s="197"/>
      <c r="G57" s="197"/>
      <c r="H57" s="197"/>
      <c r="I57" s="197"/>
    </row>
    <row r="58" spans="1:9">
      <c r="C58">
        <v>2023</v>
      </c>
      <c r="D58">
        <v>2024</v>
      </c>
    </row>
    <row r="59" spans="1:9">
      <c r="B59" t="s">
        <v>3906</v>
      </c>
      <c r="C59">
        <f>'AEO 2023 49'!H76</f>
        <v>4082.8315429999998</v>
      </c>
      <c r="D59">
        <f>'AEO 2025 Table 49'!F81</f>
        <v>4150.3491210000002</v>
      </c>
      <c r="E59" s="21">
        <f>D59/C59</f>
        <v>1.0165369492443936</v>
      </c>
    </row>
    <row r="60" spans="1:9">
      <c r="B60" t="s">
        <v>3908</v>
      </c>
      <c r="C60">
        <f>'AEO 2023 49'!H41</f>
        <v>184.36309800000001</v>
      </c>
      <c r="D60">
        <f>'AEO 2025 Table 49'!F37</f>
        <v>192.94982899999999</v>
      </c>
      <c r="E60" s="21">
        <f>D60/C60</f>
        <v>1.0465751069121219</v>
      </c>
    </row>
    <row r="61" spans="1:9">
      <c r="B61" t="s">
        <v>3907</v>
      </c>
    </row>
    <row r="65" spans="1:9" s="198" customFormat="1" ht="21">
      <c r="A65" s="198" t="s">
        <v>3904</v>
      </c>
    </row>
    <row r="66" spans="1:9">
      <c r="A66" s="1" t="s">
        <v>1058</v>
      </c>
    </row>
    <row r="67" spans="1:9" ht="45">
      <c r="B67" s="5" t="s">
        <v>270</v>
      </c>
      <c r="C67" s="164" t="s">
        <v>111</v>
      </c>
      <c r="D67" s="164" t="s">
        <v>112</v>
      </c>
      <c r="E67" s="164" t="s">
        <v>113</v>
      </c>
      <c r="F67" s="164" t="s">
        <v>114</v>
      </c>
      <c r="G67" s="164" t="s">
        <v>115</v>
      </c>
      <c r="H67" s="164" t="s">
        <v>257</v>
      </c>
      <c r="I67" s="164" t="s">
        <v>258</v>
      </c>
    </row>
    <row r="68" spans="1:9">
      <c r="B68" t="s">
        <v>219</v>
      </c>
      <c r="C68" s="162">
        <f>SUMIFS('AEO 2023 41'!$E:$E,'AEO 2023 41'!$B:$B,calcs!C67)/SUMIFS('AEO 2023 37'!$H:$H,'AEO 2023 37'!$A:$A,C67)/1000*'Calculations Etc'!$B$15*'Calibration Adjustments'!$B$19</f>
        <v>1.1869958916684679E-3</v>
      </c>
      <c r="D68" s="162">
        <f>SUMIFS('AEO 2023 41'!$E:$E,'AEO 2023 41'!$B:$B,calcs!D67)/SUMIFS('AEO 2023 37'!$H:$H,'AEO 2023 37'!$A:$A,D67)/1000*'Calculations Etc'!$B$15*'Calibration Adjustments'!$B$19</f>
        <v>3.0452303698896816E-4</v>
      </c>
      <c r="E68" s="162">
        <f>SUMIFS('AEO 2023 41'!$E:$E,'AEO 2023 41'!$B:$B,calcs!E67)/SUMIFS('AEO 2023 37'!$H:$H,'AEO 2023 37'!$A:$A,E67)/1000*'Calculations Etc'!$B$15*'Calibration Adjustments'!$B$19</f>
        <v>3.2946599147066076E-4</v>
      </c>
      <c r="F68" s="162">
        <f>SUMIFS('AEO 2023 41'!$E:$E,'AEO 2023 41'!$B:$B,calcs!F67)/SUMIFS('AEO 2023 37'!$H:$H,'AEO 2023 37'!$A:$A,F67)/1000*'Calculations Etc'!$B$15*'Calibration Adjustments'!$B$19</f>
        <v>3.9204179367786397E-4</v>
      </c>
      <c r="G68" s="162">
        <f>SUMIFS('AEO 2023 41'!$E:$E,'AEO 2023 41'!$B:$B,calcs!G67)/SUMIFS('AEO 2023 37'!$H:$H,'AEO 2023 37'!$A:$A,G67)/1000*'Calculations Etc'!$B$15*'Calibration Adjustments'!$B$19</f>
        <v>6.0116405303191475E-4</v>
      </c>
      <c r="H68" s="162">
        <f>SUMIFS('AEO 2023 41'!$E:$E,'AEO 2023 41'!$B:$B,calcs!H67)/SUMIFS('AEO 2023 37'!$H:$H,'AEO 2023 37'!$A:$A,H67)/1000*'Calculations Etc'!$B$15*'Calibration Adjustments'!$B$19</f>
        <v>2.3340357187499688E-4</v>
      </c>
      <c r="I68" s="162">
        <f>SUMIFS('AEO 2023 41'!$E:$E,'AEO 2023 41'!$B:$B,calcs!I67)/SUMIFS('AEO 2023 37'!$H:$H,'AEO 2023 37'!$A:$A,I67)/1000*'Calculations Etc'!$B$15*'Calibration Adjustments'!$B$19</f>
        <v>5.8116746400402948E-4</v>
      </c>
    </row>
    <row r="69" spans="1:9">
      <c r="B69" t="s">
        <v>134</v>
      </c>
      <c r="C69" s="162">
        <f>$F69/(1-'Calculations Etc'!$B$9)*'Calibration Adjustments'!B20</f>
        <v>3.2473412441950682E-3</v>
      </c>
      <c r="D69" s="162">
        <f>calcs!H53</f>
        <v>2.5184995531410443E-3</v>
      </c>
      <c r="E69" s="162">
        <f>calcs!H49</f>
        <v>9.250377422058715E-4</v>
      </c>
      <c r="F69" s="162">
        <f>calcs!H51</f>
        <v>1.0105389360616456E-3</v>
      </c>
      <c r="G69" s="162">
        <f>$F69/(1-'Calculations Etc'!$B$9)*'Calculations Etc'!$B$12+$F69*(1-'Calculations Etc'!$B$12)*'Calibration Adjustments'!F20</f>
        <v>2.2407802055350282E-3</v>
      </c>
      <c r="H69" s="162">
        <f>('SYVbT-passenger'!G3*'BAADTbVT-passenger'!$B$3*'Calculations Etc'!$B$17)/(SUMIFS('AEO 2023 36'!H$63:$H$85,'AEO 2023 36'!$A$63:$A$85,H67)*1000000000000)*'Calibration Adjustments'!G20</f>
        <v>1.6954707688479299E-3</v>
      </c>
      <c r="I69" s="162">
        <f>$F69*'Calculations Etc'!$B$35*'Calibration Adjustments'!H20</f>
        <v>3.0316168081849361E-3</v>
      </c>
    </row>
    <row r="70" spans="1:9">
      <c r="B70" t="s">
        <v>131</v>
      </c>
      <c r="C70" s="162">
        <f>$F70/(1-'Calculations Etc'!$B$9)*'Calibration Adjustments'!B21</f>
        <v>1.3768785799698285E-3</v>
      </c>
      <c r="D70" s="162">
        <f>$F70*'Calibration Adjustments'!C21</f>
        <v>4.2847034255362628E-4</v>
      </c>
      <c r="E70" s="162">
        <f>$F70*'Calibration Adjustments'!D21</f>
        <v>4.2847034255362628E-4</v>
      </c>
      <c r="F70" s="28">
        <f>calcs!C16</f>
        <v>4.2847034255362628E-4</v>
      </c>
      <c r="G70" s="162">
        <v>0</v>
      </c>
      <c r="H70" s="162">
        <v>0</v>
      </c>
      <c r="I70" s="162">
        <f>$F70*'Calculations Etc'!$B$35*'Calibration Adjustments'!H21</f>
        <v>1.2854110276608786E-3</v>
      </c>
    </row>
    <row r="71" spans="1:9">
      <c r="B71" t="s">
        <v>220</v>
      </c>
      <c r="C71" s="162">
        <f>'psgr rail calcs'!V67</f>
        <v>6.7428486606874269E-4</v>
      </c>
      <c r="D71" s="162">
        <f>$F71*'Calibration Adjustments'!C22</f>
        <v>5.0586266198922429E-5</v>
      </c>
      <c r="E71" s="162">
        <f>$F71*'Calibration Adjustments'!D22</f>
        <v>5.0586266198922429E-5</v>
      </c>
      <c r="F71" s="162">
        <f>'psgr rail calcs'!U67</f>
        <v>5.0586266198922429E-5</v>
      </c>
      <c r="G71" s="162">
        <v>0</v>
      </c>
      <c r="H71" s="162">
        <v>0</v>
      </c>
      <c r="I71" s="162">
        <f>$F71*'Calculations Etc'!$B$35*'Calibration Adjustments'!H22</f>
        <v>1.5175879859676727E-4</v>
      </c>
    </row>
    <row r="72" spans="1:9">
      <c r="B72" t="s">
        <v>221</v>
      </c>
      <c r="C72" s="162">
        <f>$F72/(1-'Calculations Etc'!$B$9)*'Calibration Adjustments'!B23</f>
        <v>3.9768826588502888E-5</v>
      </c>
      <c r="D72" s="162">
        <v>0</v>
      </c>
      <c r="E72" s="162">
        <f>('SYVbT-passenger'!D6*'BAADTbVT-passenger'!$B$6*1)/(SUMIFS('AEO 2023 36'!H100:H101,'AEO 2023 36'!$A$100:$A$101,calcs!E67)*1000000000000)*'Calibration Adjustments'!D23</f>
        <v>1.2375644276775558E-5</v>
      </c>
      <c r="F72" s="162">
        <f>('SYVbT-passenger'!E6*'BAADTbVT-passenger'!$B$6*1)/(SUMIFS('AEO 2023 36'!H100:H101,'AEO 2023 36'!$A$100:$A$101,calcs!F67)*1000000000000)*'Calibration Adjustments'!E23</f>
        <v>1.2375646625067684E-5</v>
      </c>
      <c r="G72" s="162">
        <v>0</v>
      </c>
      <c r="H72" s="162">
        <v>0</v>
      </c>
      <c r="I72" s="162">
        <f>$F72*'Calculations Etc'!$B$35*'Calibration Adjustments'!H23</f>
        <v>3.7126939875203046E-5</v>
      </c>
    </row>
    <row r="73" spans="1:9">
      <c r="B73" t="s">
        <v>222</v>
      </c>
      <c r="C73" s="162">
        <f>$E73/(1-'Calculations Etc'!$B$8)*'Calibration Adjustments'!B24</f>
        <v>2.0727097350644572E-2</v>
      </c>
      <c r="D73" s="162">
        <f>$E73*'Calibration Adjustments'!C24</f>
        <v>6.5093363580536684E-3</v>
      </c>
      <c r="E73" s="162">
        <f>('SYVbT-passenger'!D7*'BAADTbVT-passenger'!B7*'Calculations Etc'!B22)/(INDEX('AEO 2023 35'!20:20,MATCH(About!$B$88,'AEO 2023 35'!1:1,0))*10^12)*'Calibration Adjustments'!D24</f>
        <v>6.5093363580536684E-3</v>
      </c>
      <c r="F73" s="162">
        <f>$E73*'Calibration Adjustments'!E24</f>
        <v>6.5093363580536684E-3</v>
      </c>
      <c r="G73" s="162">
        <f>$E73/(1-'Calculations Etc'!$B$8)*'Calculations Etc'!$B$12+$E73*(1-'Calculations Etc'!$B$12)*'Calibration Adjustments'!F24</f>
        <v>1.4329104903978667E-2</v>
      </c>
      <c r="H73" s="162">
        <f>$E73*'Calculations Etc'!$B$39*'Calibration Adjustments'!G24</f>
        <v>5.0447356774915931E-3</v>
      </c>
      <c r="I73" s="162">
        <f>E73*'Calculations Etc'!$B$35</f>
        <v>1.9528009074161003E-2</v>
      </c>
    </row>
    <row r="75" spans="1:9">
      <c r="A75" s="1" t="s">
        <v>1059</v>
      </c>
    </row>
    <row r="76" spans="1:9" ht="30">
      <c r="B76" s="5" t="s">
        <v>271</v>
      </c>
      <c r="C76" s="12" t="s">
        <v>111</v>
      </c>
      <c r="D76" s="12" t="s">
        <v>112</v>
      </c>
      <c r="E76" s="12" t="s">
        <v>113</v>
      </c>
      <c r="F76" s="12" t="s">
        <v>114</v>
      </c>
      <c r="G76" s="12" t="s">
        <v>115</v>
      </c>
      <c r="H76" s="12" t="s">
        <v>257</v>
      </c>
      <c r="I76" s="12" t="s">
        <v>258</v>
      </c>
    </row>
    <row r="77" spans="1:9">
      <c r="B77" t="s">
        <v>219</v>
      </c>
      <c r="C77">
        <f>calcs!B32</f>
        <v>1.3226441773833212E-4</v>
      </c>
      <c r="D77">
        <f>calcs!C32</f>
        <v>7.0204850469879831E-5</v>
      </c>
      <c r="E77" s="30">
        <f>calcs!C42</f>
        <v>1.0066053377187421E-4</v>
      </c>
      <c r="F77">
        <f>calcs!C43</f>
        <v>7.8079341843850301E-5</v>
      </c>
      <c r="G77">
        <f>calcs!F32</f>
        <v>1.7525323807361898E-4</v>
      </c>
      <c r="H77">
        <f>calcs!G32</f>
        <v>5.5270584840087177E-5</v>
      </c>
      <c r="I77">
        <f>calcs!H32</f>
        <v>8.379890176963306E-5</v>
      </c>
    </row>
    <row r="78" spans="1:9">
      <c r="B78" t="s">
        <v>134</v>
      </c>
      <c r="C78">
        <f>'AEO 2023 49'!H126/'Calculations Etc'!B26*'Calculations Etc'!B18</f>
        <v>1.421389052178215E-3</v>
      </c>
      <c r="D78">
        <f>'AEO 2023 49'!H124/'Calculations Etc'!B25*'Calculations Etc'!B18</f>
        <v>7.9458999302765691E-4</v>
      </c>
      <c r="E78">
        <f>'AEO 2023 49'!H122/'Calculations Etc'!B25*'Calculations Etc'!B18</f>
        <v>7.5502679371825096E-4</v>
      </c>
      <c r="F78">
        <f>'AEO 2025 Table 49'!F138/'Calculations Etc'!B26*'Calculations Etc'!B18</f>
        <v>7.5059325437243547E-4</v>
      </c>
      <c r="G78">
        <f>'AEO 2023 49'!H127/'Calculations Etc'!B26*'Calculations Etc'!B18</f>
        <v>0</v>
      </c>
      <c r="H78">
        <f>'AEO 2023 49'!H123/'Calculations Etc'!B25*'Calculations Etc'!B18</f>
        <v>8.0334858395033032E-4</v>
      </c>
      <c r="I78">
        <f>'AEO 2023 49'!H129/'Calculations Etc'!B26*'Calculations Etc'!B18</f>
        <v>0</v>
      </c>
    </row>
    <row r="79" spans="1:9">
      <c r="B79" t="s">
        <v>131</v>
      </c>
      <c r="C79">
        <f>$F79/(1-'Calculations Etc'!$B$9)*'Calibration Adjustments'!B30</f>
        <v>5.4991909569712227E-4</v>
      </c>
      <c r="D79">
        <f>$F79*'Calibration Adjustments'!C30</f>
        <v>1.7112912259502911E-4</v>
      </c>
      <c r="E79">
        <f>$F79*'Calibration Adjustments'!D30</f>
        <v>1.7112912259502911E-4</v>
      </c>
      <c r="F79" s="30">
        <f>calcs!C17</f>
        <v>1.7112912259502911E-4</v>
      </c>
      <c r="G79">
        <v>0</v>
      </c>
      <c r="H79">
        <v>0</v>
      </c>
      <c r="I79">
        <f>$F79*'Calculations Etc'!$B$35*'Calibration Adjustments'!H30</f>
        <v>5.1338736778508724E-4</v>
      </c>
    </row>
    <row r="80" spans="1:9">
      <c r="B80" t="s">
        <v>220</v>
      </c>
      <c r="C80">
        <f>$F80/(1-'Calculations Etc'!$B$9)*'Calibration Adjustments'!B31</f>
        <v>1.0829065696442089E-2</v>
      </c>
      <c r="D80">
        <f>$F80*'Calibration Adjustments'!C31</f>
        <v>3.3698929999999997E-3</v>
      </c>
      <c r="E80">
        <f>$F80*'Calibration Adjustments'!D31</f>
        <v>3.3698929999999997E-3</v>
      </c>
      <c r="F80">
        <f>INDEX('AEO 2023 7'!$51:$51,MATCH(About!$B$88,'AEO 2023 7'!$1:$1,0))/10^3*'Calibration Adjustments'!E31</f>
        <v>3.3698929999999997E-3</v>
      </c>
      <c r="G80">
        <v>0</v>
      </c>
      <c r="H80">
        <v>0</v>
      </c>
      <c r="I80">
        <f>$F80*'Calculations Etc'!$B$35*'Calibration Adjustments'!H31</f>
        <v>1.0109678999999998E-2</v>
      </c>
    </row>
    <row r="81" spans="2:9">
      <c r="B81" t="s">
        <v>221</v>
      </c>
      <c r="C81">
        <f>$F81/(1-'Calculations Etc'!$B$9)*'Calibration Adjustments'!B32</f>
        <v>1.5610349625283874E-2</v>
      </c>
      <c r="D81">
        <f>$F81*'Calibration Adjustments'!C32</f>
        <v>4.8577789999999996E-3</v>
      </c>
      <c r="E81">
        <f>$F81*'Calibration Adjustments'!D32</f>
        <v>4.8577789999999996E-3</v>
      </c>
      <c r="F81" s="30">
        <f>'AEO 2025 Table 7 Alt T'!F42/10^3*'Calibration Adjustments'!E32</f>
        <v>4.8577789999999996E-3</v>
      </c>
      <c r="G81">
        <v>0</v>
      </c>
      <c r="H81">
        <v>0</v>
      </c>
      <c r="I81">
        <f>$F81*'Calculations Etc'!$B$35*'Calibration Adjustments'!H32</f>
        <v>1.4573336999999997E-2</v>
      </c>
    </row>
    <row r="82" spans="2:9">
      <c r="B82" t="s">
        <v>222</v>
      </c>
      <c r="C82">
        <v>0</v>
      </c>
      <c r="D82">
        <v>0</v>
      </c>
      <c r="E82">
        <v>0</v>
      </c>
      <c r="F82">
        <v>0</v>
      </c>
      <c r="G82">
        <v>0</v>
      </c>
      <c r="H82">
        <v>0</v>
      </c>
      <c r="I82">
        <v>0</v>
      </c>
    </row>
    <row r="85" spans="2:9">
      <c r="G85" s="121"/>
      <c r="H85" s="121"/>
    </row>
    <row r="88" spans="2:9">
      <c r="F88" s="165"/>
    </row>
    <row r="90" spans="2:9">
      <c r="F90" s="1"/>
    </row>
    <row r="96" spans="2:9">
      <c r="C96" s="21"/>
      <c r="D96" s="21"/>
      <c r="E96" s="21"/>
      <c r="F96" s="21"/>
      <c r="G96" s="21"/>
      <c r="H96" s="21"/>
      <c r="I96" s="21"/>
    </row>
    <row r="97" spans="2:9">
      <c r="C97" s="21"/>
      <c r="D97" s="21"/>
      <c r="E97" s="21"/>
      <c r="F97" s="21"/>
      <c r="G97" s="21"/>
      <c r="H97" s="21"/>
      <c r="I97" s="21"/>
    </row>
    <row r="98" spans="2:9">
      <c r="C98" s="21"/>
      <c r="D98" s="21"/>
      <c r="E98" s="21"/>
      <c r="F98" s="21"/>
      <c r="G98" s="21"/>
      <c r="H98" s="21"/>
      <c r="I98" s="21"/>
    </row>
    <row r="99" spans="2:9">
      <c r="B99" s="21"/>
      <c r="C99" s="21"/>
      <c r="D99" s="21"/>
      <c r="E99" s="21"/>
      <c r="F99" s="21"/>
      <c r="G99" s="21"/>
      <c r="H99" s="21"/>
      <c r="I99" s="21"/>
    </row>
    <row r="100" spans="2:9">
      <c r="B100" s="21"/>
      <c r="C100" s="21"/>
      <c r="D100" s="21"/>
      <c r="E100" s="21"/>
      <c r="F100" s="21"/>
      <c r="G100" s="21"/>
      <c r="H100" s="21"/>
      <c r="I100" s="21"/>
    </row>
    <row r="101" spans="2:9">
      <c r="B101" s="21"/>
      <c r="C101" s="21"/>
      <c r="D101" s="21"/>
      <c r="E101" s="21"/>
      <c r="F101" s="21"/>
      <c r="G101" s="21"/>
      <c r="H101" s="21"/>
      <c r="I101" s="21"/>
    </row>
    <row r="102" spans="2:9">
      <c r="B102" s="21"/>
      <c r="C102" s="21"/>
      <c r="D102" s="21"/>
      <c r="E102" s="21"/>
      <c r="F102" s="21"/>
      <c r="G102" s="21"/>
      <c r="H102" s="21"/>
      <c r="I102" s="21"/>
    </row>
    <row r="103" spans="2:9">
      <c r="B103" s="21"/>
      <c r="C103" s="21"/>
      <c r="D103" s="21"/>
      <c r="E103" s="21"/>
      <c r="F103" s="21"/>
      <c r="G103" s="21"/>
      <c r="H103" s="21"/>
      <c r="I103" s="21"/>
    </row>
    <row r="104" spans="2:9">
      <c r="B104" s="21"/>
      <c r="C104" s="21"/>
      <c r="D104" s="21"/>
      <c r="E104" s="21"/>
      <c r="F104" s="21"/>
      <c r="G104" s="21"/>
      <c r="H104" s="21"/>
      <c r="I104" s="2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D6" sqref="D6"/>
    </sheetView>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IFERROR(calcs!C68,0)</f>
        <v>1.1869958916684679E-3</v>
      </c>
      <c r="C2">
        <f>IFERROR(calcs!D68,0)</f>
        <v>3.0452303698896816E-4</v>
      </c>
      <c r="D2">
        <f>IFERROR(calcs!E68,0)</f>
        <v>3.2946599147066076E-4</v>
      </c>
      <c r="E2">
        <f>IFERROR(calcs!F68,0)</f>
        <v>3.9204179367786397E-4</v>
      </c>
      <c r="F2">
        <f>IFERROR(calcs!G68,0)</f>
        <v>6.0116405303191475E-4</v>
      </c>
      <c r="G2">
        <f>IFERROR(calcs!H68,0)</f>
        <v>2.3340357187499688E-4</v>
      </c>
      <c r="H2">
        <f>IFERROR(calcs!I68,0)</f>
        <v>5.8116746400402948E-4</v>
      </c>
    </row>
    <row r="3" spans="1:8">
      <c r="A3" t="s">
        <v>134</v>
      </c>
      <c r="B3">
        <f>IFERROR(calcs!C69,0)</f>
        <v>3.2473412441950682E-3</v>
      </c>
      <c r="C3">
        <f>IFERROR(calcs!D69,0)</f>
        <v>2.5184995531410443E-3</v>
      </c>
      <c r="D3">
        <f>IFERROR(calcs!E69,0)</f>
        <v>9.250377422058715E-4</v>
      </c>
      <c r="E3">
        <f>IFERROR(calcs!F69,0)</f>
        <v>1.0105389360616456E-3</v>
      </c>
      <c r="F3">
        <f>IFERROR(calcs!G69,0)</f>
        <v>2.2407802055350282E-3</v>
      </c>
      <c r="G3">
        <f>IFERROR(calcs!H69,0)</f>
        <v>1.6954707688479299E-3</v>
      </c>
      <c r="H3">
        <f>IFERROR(calcs!I69,0)</f>
        <v>3.0316168081849361E-3</v>
      </c>
    </row>
    <row r="4" spans="1:8">
      <c r="A4" t="s">
        <v>131</v>
      </c>
      <c r="B4">
        <f>IFERROR(calcs!C70,0)</f>
        <v>1.3768785799698285E-3</v>
      </c>
      <c r="C4">
        <f>IFERROR(calcs!D70,0)</f>
        <v>4.2847034255362628E-4</v>
      </c>
      <c r="D4">
        <f>IFERROR(calcs!E70,0)</f>
        <v>4.2847034255362628E-4</v>
      </c>
      <c r="E4">
        <f>IFERROR(calcs!F70,0)</f>
        <v>4.2847034255362628E-4</v>
      </c>
      <c r="F4">
        <f>IFERROR(calcs!G70,0)</f>
        <v>0</v>
      </c>
      <c r="G4">
        <f>IFERROR(calcs!H70,0)</f>
        <v>0</v>
      </c>
      <c r="H4">
        <f>IFERROR(calcs!I70,0)</f>
        <v>1.2854110276608786E-3</v>
      </c>
    </row>
    <row r="5" spans="1:8">
      <c r="A5" t="s">
        <v>220</v>
      </c>
      <c r="B5">
        <f>IFERROR(calcs!C71,0)</f>
        <v>6.7428486606874269E-4</v>
      </c>
      <c r="C5">
        <f>IFERROR(calcs!D71,0)</f>
        <v>5.0586266198922429E-5</v>
      </c>
      <c r="D5">
        <f>IFERROR(calcs!E71,0)</f>
        <v>5.0586266198922429E-5</v>
      </c>
      <c r="E5">
        <f>IFERROR(calcs!F71,0)</f>
        <v>5.0586266198922429E-5</v>
      </c>
      <c r="F5">
        <f>IFERROR(calcs!G71,0)</f>
        <v>0</v>
      </c>
      <c r="G5">
        <f>IFERROR(calcs!H71,0)</f>
        <v>0</v>
      </c>
      <c r="H5">
        <f>IFERROR(calcs!I71,0)</f>
        <v>1.5175879859676727E-4</v>
      </c>
    </row>
    <row r="6" spans="1:8">
      <c r="A6" t="s">
        <v>221</v>
      </c>
      <c r="B6">
        <f>IFERROR(calcs!C72,0)</f>
        <v>3.9768826588502888E-5</v>
      </c>
      <c r="C6">
        <f>IFERROR(calcs!D72,0)</f>
        <v>0</v>
      </c>
      <c r="D6">
        <f>IFERROR(calcs!E72,0)</f>
        <v>1.2375644276775558E-5</v>
      </c>
      <c r="E6">
        <f>IFERROR(calcs!F72,0)</f>
        <v>1.2375646625067684E-5</v>
      </c>
      <c r="F6">
        <f>IFERROR(calcs!G72,0)</f>
        <v>0</v>
      </c>
      <c r="G6">
        <f>IFERROR(calcs!H72,0)</f>
        <v>0</v>
      </c>
      <c r="H6">
        <f>IFERROR(calcs!I72,0)</f>
        <v>3.7126939875203046E-5</v>
      </c>
    </row>
    <row r="7" spans="1:8">
      <c r="A7" t="s">
        <v>222</v>
      </c>
      <c r="B7">
        <f>IFERROR(calcs!C73,0)</f>
        <v>2.0727097350644572E-2</v>
      </c>
      <c r="C7">
        <f>IFERROR(calcs!D73,0)</f>
        <v>6.5093363580536684E-3</v>
      </c>
      <c r="D7">
        <f>IFERROR(calcs!E73,0)</f>
        <v>6.5093363580536684E-3</v>
      </c>
      <c r="E7">
        <f>IFERROR(calcs!F73,0)</f>
        <v>6.5093363580536684E-3</v>
      </c>
      <c r="F7">
        <f>IFERROR(calcs!G73,0)</f>
        <v>1.4329104903978667E-2</v>
      </c>
      <c r="G7">
        <f>IFERROR(calcs!H73,0)</f>
        <v>5.0447356774915931E-3</v>
      </c>
      <c r="H7">
        <f>IFERROR(calcs!I73,0)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E6" sqref="A1:H7"/>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IFERROR(calcs!C77,0)</f>
        <v>1.3226441773833212E-4</v>
      </c>
      <c r="C2">
        <f>IFERROR(calcs!D77,0)</f>
        <v>7.0204850469879831E-5</v>
      </c>
      <c r="D2">
        <f>IFERROR(calcs!E77,0)</f>
        <v>1.0066053377187421E-4</v>
      </c>
      <c r="E2">
        <f>IFERROR(calcs!F77,0)</f>
        <v>7.8079341843850301E-5</v>
      </c>
      <c r="F2">
        <f>IFERROR(calcs!G77,0)</f>
        <v>1.7525323807361898E-4</v>
      </c>
      <c r="G2">
        <f>IFERROR(calcs!H77,0)</f>
        <v>5.5270584840087177E-5</v>
      </c>
      <c r="H2">
        <f>IFERROR(calcs!I77,0)</f>
        <v>8.379890176963306E-5</v>
      </c>
    </row>
    <row r="3" spans="1:8">
      <c r="A3" t="s">
        <v>134</v>
      </c>
      <c r="B3">
        <f>IFERROR(calcs!C78,0)</f>
        <v>1.421389052178215E-3</v>
      </c>
      <c r="C3">
        <f>IFERROR(calcs!D78,0)</f>
        <v>7.9458999302765691E-4</v>
      </c>
      <c r="D3">
        <f>IFERROR(calcs!E78,0)</f>
        <v>7.5502679371825096E-4</v>
      </c>
      <c r="E3">
        <f>IFERROR(calcs!F78,0)</f>
        <v>7.5059325437243547E-4</v>
      </c>
      <c r="F3">
        <f>IFERROR(calcs!G78,0)</f>
        <v>0</v>
      </c>
      <c r="G3">
        <f>IFERROR(calcs!H78,0)</f>
        <v>8.0334858395033032E-4</v>
      </c>
      <c r="H3">
        <f>IFERROR(calcs!I78,0)</f>
        <v>0</v>
      </c>
    </row>
    <row r="4" spans="1:8">
      <c r="A4" t="s">
        <v>131</v>
      </c>
      <c r="B4">
        <f>IFERROR(calcs!C79,0)</f>
        <v>5.4991909569712227E-4</v>
      </c>
      <c r="C4">
        <f>IFERROR(calcs!D79,0)</f>
        <v>1.7112912259502911E-4</v>
      </c>
      <c r="D4">
        <f>IFERROR(calcs!E79,0)</f>
        <v>1.7112912259502911E-4</v>
      </c>
      <c r="E4">
        <f>IFERROR(calcs!F79,0)</f>
        <v>1.7112912259502911E-4</v>
      </c>
      <c r="F4">
        <f>IFERROR(calcs!G79,0)</f>
        <v>0</v>
      </c>
      <c r="G4">
        <f>IFERROR(calcs!H79,0)</f>
        <v>0</v>
      </c>
      <c r="H4">
        <f>IFERROR(calcs!I79,0)</f>
        <v>5.1338736778508724E-4</v>
      </c>
    </row>
    <row r="5" spans="1:8">
      <c r="A5" t="s">
        <v>220</v>
      </c>
      <c r="B5">
        <f>IFERROR(calcs!C80,0)</f>
        <v>1.0829065696442089E-2</v>
      </c>
      <c r="C5">
        <f>IFERROR(calcs!D80,0)</f>
        <v>3.3698929999999997E-3</v>
      </c>
      <c r="D5">
        <f>IFERROR(calcs!E80,0)</f>
        <v>3.3698929999999997E-3</v>
      </c>
      <c r="E5">
        <f>IFERROR(calcs!F80,0)</f>
        <v>3.3698929999999997E-3</v>
      </c>
      <c r="F5">
        <f>IFERROR(calcs!G80,0)</f>
        <v>0</v>
      </c>
      <c r="G5">
        <f>IFERROR(calcs!H80,0)</f>
        <v>0</v>
      </c>
      <c r="H5">
        <f>IFERROR(calcs!I80,0)</f>
        <v>1.0109678999999998E-2</v>
      </c>
    </row>
    <row r="6" spans="1:8">
      <c r="A6" t="s">
        <v>221</v>
      </c>
      <c r="B6">
        <f>IFERROR(calcs!C81,0)</f>
        <v>1.5610349625283874E-2</v>
      </c>
      <c r="C6">
        <f>IFERROR(calcs!D81,0)</f>
        <v>4.8577789999999996E-3</v>
      </c>
      <c r="D6">
        <f>IFERROR(calcs!E81,0)</f>
        <v>4.8577789999999996E-3</v>
      </c>
      <c r="E6">
        <f>IFERROR(calcs!F81,0)</f>
        <v>4.8577789999999996E-3</v>
      </c>
      <c r="F6">
        <f>IFERROR(calcs!G81,0)</f>
        <v>0</v>
      </c>
      <c r="G6">
        <f>IFERROR(calcs!H81,0)</f>
        <v>0</v>
      </c>
      <c r="H6">
        <f>IFERROR(calcs!I81,0)</f>
        <v>1.4573336999999997E-2</v>
      </c>
    </row>
    <row r="7" spans="1:8">
      <c r="A7" t="s">
        <v>222</v>
      </c>
      <c r="B7">
        <f>IFERROR(calcs!C82,0)</f>
        <v>0</v>
      </c>
      <c r="C7">
        <f>IFERROR(calcs!D82,0)</f>
        <v>0</v>
      </c>
      <c r="D7">
        <f>IFERROR(calcs!E82,0)</f>
        <v>0</v>
      </c>
      <c r="E7">
        <f>IFERROR(calcs!F82,0)</f>
        <v>0</v>
      </c>
      <c r="F7">
        <f>IFERROR(calcs!G82,0)</f>
        <v>0</v>
      </c>
      <c r="G7">
        <f>IFERROR(calcs!H82,0)</f>
        <v>0</v>
      </c>
      <c r="H7">
        <f>IFERROR(calcs!I82,0)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 Alt T</vt:lpstr>
      <vt:lpstr>AEO 2025 Table 36 Alt T</vt:lpstr>
      <vt:lpstr>AEO 2025 Table 49</vt:lpstr>
      <vt:lpstr>AEO 2025 Table 43</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2026-01-14T21:24:18Z</dcterms:modified>
</cp:coreProperties>
</file>