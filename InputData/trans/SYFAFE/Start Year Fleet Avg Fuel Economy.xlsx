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MeganMahajan\Documents\eps-us\InputData\trans\SYFAFE\"/>
    </mc:Choice>
  </mc:AlternateContent>
  <xr:revisionPtr revIDLastSave="0" documentId="13_ncr:1_{427535B6-C6AF-4A83-94BF-B7AE82B647C9}" xr6:coauthVersionLast="47" xr6:coauthVersionMax="47" xr10:uidLastSave="{00000000-0000-0000-0000-000000000000}"/>
  <bookViews>
    <workbookView xWindow="-110" yWindow="-110" windowWidth="25820" windowHeight="13900" xr2:uid="{0313A179-1FE9-4181-884B-4ED765DD2628}"/>
  </bookViews>
  <sheets>
    <sheet name="About" sheetId="1" r:id="rId1"/>
    <sheet name="source data&gt;" sheetId="53" r:id="rId2"/>
    <sheet name="EPA_Table 3-13" sheetId="44" r:id="rId3"/>
    <sheet name="AVLo-passengers" sheetId="47" r:id="rId4"/>
    <sheet name="AVLo-freight" sheetId="48" r:id="rId5"/>
    <sheet name="PEI-TFPEI-HDVs" sheetId="45" r:id="rId6"/>
    <sheet name="AEO 2023 7" sheetId="4" r:id="rId7"/>
    <sheet name="AEO 2023 35" sheetId="21" r:id="rId8"/>
    <sheet name="AEO 2023 36" sheetId="26" r:id="rId9"/>
    <sheet name="AEO 2023 37" sheetId="58" r:id="rId10"/>
    <sheet name="AEO 2023 41" sheetId="41" r:id="rId11"/>
    <sheet name="AEO 2023 43" sheetId="30" r:id="rId12"/>
    <sheet name="AEO 2023 46" sheetId="31" r:id="rId13"/>
    <sheet name="AEO 2023 47" sheetId="57" r:id="rId14"/>
    <sheet name="AEO 2023 48" sheetId="56" r:id="rId15"/>
    <sheet name="AEO 2023 49" sheetId="22" r:id="rId16"/>
    <sheet name="AEO 2025 Table 7" sheetId="68" r:id="rId17"/>
    <sheet name="AEO 2025 Table 7 Alt T" sheetId="60" r:id="rId18"/>
    <sheet name="AEO 2025 Table 35" sheetId="67" r:id="rId19"/>
    <sheet name="AEO 2025 Table 36 Alt T" sheetId="62" r:id="rId20"/>
    <sheet name="AEO 2025 Table 37" sheetId="66" r:id="rId21"/>
    <sheet name="AEO 2025 Table 41" sheetId="65" r:id="rId22"/>
    <sheet name="AEO 2025 Table 49" sheetId="63" r:id="rId23"/>
    <sheet name="AEO 2025 Table 43" sheetId="64" r:id="rId24"/>
    <sheet name="AEO 2026 Table 7" sheetId="74" r:id="rId25"/>
    <sheet name="AEO 2026 Table 35" sheetId="69" r:id="rId26"/>
    <sheet name="AEO 2026 Table 37" sheetId="70" r:id="rId27"/>
    <sheet name="AEO 2026 Table 41" sheetId="71" r:id="rId28"/>
    <sheet name="AEO 2026 Table 43" sheetId="73" r:id="rId29"/>
    <sheet name="AEO 2026 Table 46" sheetId="75" r:id="rId30"/>
    <sheet name="AEO 2026 Table 49" sheetId="72" r:id="rId31"/>
    <sheet name="SYVbT-passenger" sheetId="39" r:id="rId32"/>
    <sheet name="SYVbT-freight" sheetId="37" r:id="rId33"/>
    <sheet name="BAADTbVT-passenger" sheetId="40" r:id="rId34"/>
    <sheet name="BAADTbVT-frgt" sheetId="38" r:id="rId35"/>
    <sheet name="NTS 1-40" sheetId="20" r:id="rId36"/>
    <sheet name="NRBS 40" sheetId="19" r:id="rId37"/>
    <sheet name="Annual Service Data_rail only" sheetId="49" r:id="rId38"/>
    <sheet name="EPA-Annex3-Table A94" sheetId="61" r:id="rId39"/>
    <sheet name="Fuel and Energy_rail only" sheetId="50" r:id="rId40"/>
    <sheet name="calcs&gt;" sheetId="54" r:id="rId41"/>
    <sheet name="Calibration Adjustments" sheetId="25" r:id="rId42"/>
    <sheet name="psgr rail calcs" sheetId="51" r:id="rId43"/>
    <sheet name="Calculations Etc" sheetId="18" r:id="rId44"/>
    <sheet name="calcs" sheetId="55" r:id="rId45"/>
    <sheet name="SYFAFE-psgr" sheetId="23" r:id="rId46"/>
    <sheet name="SYFAFE-frgt" sheetId="24" r:id="rId47"/>
  </sheets>
  <externalReferences>
    <externalReference r:id="rId48"/>
    <externalReference r:id="rId49"/>
    <externalReference r:id="rId50"/>
  </externalReferences>
  <definedNames>
    <definedName name="_xlnm._FilterDatabase" localSheetId="37" hidden="1">'Annual Service Data_rail only'!$A$1:$AX$1</definedName>
    <definedName name="billion">About!$A$95</definedName>
    <definedName name="CH4GWP">#REF!</definedName>
    <definedName name="Eno_TM" localSheetId="19">'[1]1997  Table 1a Modified'!#REF!</definedName>
    <definedName name="Eno_TM" localSheetId="17">#REF!</definedName>
    <definedName name="Eno_TM" localSheetId="35">'[2]1997  Table 1a Modified'!#REF!</definedName>
    <definedName name="Eno_TM" localSheetId="46">'[2]1997  Table 1a Modified'!#REF!</definedName>
    <definedName name="Eno_TM">'[2]1997  Table 1a Modified'!#REF!</definedName>
    <definedName name="Eno_Tons" localSheetId="19">'[1]1997  Table 1a Modified'!#REF!</definedName>
    <definedName name="Eno_Tons" localSheetId="17">#REF!</definedName>
    <definedName name="Eno_Tons" localSheetId="35">'[2]1997  Table 1a Modified'!#REF!</definedName>
    <definedName name="Eno_Tons" localSheetId="46">'[2]1997  Table 1a Modified'!#REF!</definedName>
    <definedName name="Eno_Tons">'[2]1997  Table 1a Modified'!#REF!</definedName>
    <definedName name="EPS_data">#REF!</definedName>
    <definedName name="EPS_dates">#REF!</definedName>
    <definedName name="EPS_varnames">#REF!</definedName>
    <definedName name="GWPCH4">#REF!</definedName>
    <definedName name="GWPN2O">#REF!</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2OGWP">#REF!</definedName>
    <definedName name="NTS_YR">[3]About!$B$136</definedName>
    <definedName name="Sum_T2" localSheetId="19">'[1]1997  Table 1a Modified'!#REF!</definedName>
    <definedName name="Sum_T2" localSheetId="17">#REF!</definedName>
    <definedName name="Sum_T2" localSheetId="35">'[2]1997  Table 1a Modified'!#REF!</definedName>
    <definedName name="Sum_T2" localSheetId="46">'[2]1997  Table 1a Modified'!#REF!</definedName>
    <definedName name="Sum_T2">'[2]1997  Table 1a Modified'!#REF!</definedName>
    <definedName name="Sum_TTM" localSheetId="19">'[1]1997  Table 1a Modified'!#REF!</definedName>
    <definedName name="Sum_TTM" localSheetId="17">#REF!</definedName>
    <definedName name="Sum_TTM" localSheetId="35">'[2]1997  Table 1a Modified'!#REF!</definedName>
    <definedName name="Sum_TTM" localSheetId="46">'[2]1997  Table 1a Modified'!#REF!</definedName>
    <definedName name="Sum_TTM">'[2]1997  Table 1a Modified'!#REF!</definedName>
    <definedName name="ti_tbl_50" localSheetId="35">#REF!</definedName>
    <definedName name="ti_tbl_50" localSheetId="46">#REF!</definedName>
    <definedName name="ti_tbl_50">#REF!</definedName>
    <definedName name="ti_tbl_69" localSheetId="35">#REF!</definedName>
    <definedName name="ti_tbl_69" localSheetId="46">#REF!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 name="trillion">About!$A$96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55" l="1"/>
  <c r="C9" i="55"/>
  <c r="C8" i="55"/>
  <c r="C7" i="55"/>
  <c r="C6" i="55"/>
  <c r="C3" i="55"/>
  <c r="C5" i="55"/>
  <c r="C4" i="55"/>
  <c r="C10" i="55"/>
  <c r="C11" i="55"/>
  <c r="C48" i="55"/>
  <c r="D48" i="55"/>
  <c r="E48" i="55"/>
  <c r="F48" i="55"/>
  <c r="G48" i="55"/>
  <c r="H48" i="55"/>
  <c r="B48" i="55"/>
  <c r="G39" i="55"/>
  <c r="F39" i="55"/>
  <c r="F41" i="55" s="1"/>
  <c r="E39" i="55"/>
  <c r="D39" i="55"/>
  <c r="C39" i="55"/>
  <c r="B39" i="55"/>
  <c r="G38" i="55"/>
  <c r="E38" i="55"/>
  <c r="D38" i="55"/>
  <c r="C38" i="55"/>
  <c r="B38" i="55"/>
  <c r="B41" i="55" s="1"/>
  <c r="G37" i="55"/>
  <c r="E37" i="55"/>
  <c r="D37" i="55"/>
  <c r="C37" i="55"/>
  <c r="B37" i="55"/>
  <c r="C26" i="55"/>
  <c r="H35" i="55"/>
  <c r="H46" i="55" s="1"/>
  <c r="G35" i="55"/>
  <c r="F35" i="55"/>
  <c r="E35" i="55"/>
  <c r="E34" i="55"/>
  <c r="D35" i="55"/>
  <c r="D34" i="55"/>
  <c r="B35" i="55"/>
  <c r="C35" i="55"/>
  <c r="C46" i="55" s="1"/>
  <c r="C34" i="55"/>
  <c r="H34" i="55"/>
  <c r="H45" i="55" s="1"/>
  <c r="G34" i="55"/>
  <c r="G45" i="55" s="1"/>
  <c r="F34" i="55"/>
  <c r="F45" i="55" s="1"/>
  <c r="B34" i="55"/>
  <c r="B49" i="55" s="1"/>
  <c r="H33" i="55"/>
  <c r="H44" i="55" s="1"/>
  <c r="G33" i="55"/>
  <c r="G44" i="55" s="1"/>
  <c r="F33" i="55"/>
  <c r="F44" i="55" s="1"/>
  <c r="E33" i="55"/>
  <c r="E49" i="55" s="1"/>
  <c r="D33" i="55"/>
  <c r="C33" i="55"/>
  <c r="B33" i="55"/>
  <c r="F74" i="55"/>
  <c r="G74" i="55"/>
  <c r="H74" i="55"/>
  <c r="I74" i="55"/>
  <c r="C74" i="55"/>
  <c r="D74" i="55"/>
  <c r="E74" i="55"/>
  <c r="E79" i="55"/>
  <c r="G57" i="55"/>
  <c r="B18" i="55"/>
  <c r="B25" i="55" s="1"/>
  <c r="C18" i="55"/>
  <c r="D18" i="55"/>
  <c r="D25" i="55" s="1"/>
  <c r="D29" i="55" s="1"/>
  <c r="E18" i="55"/>
  <c r="F18" i="55"/>
  <c r="F25" i="55" s="1"/>
  <c r="G18" i="55"/>
  <c r="G25" i="55" s="1"/>
  <c r="H18" i="55"/>
  <c r="B19" i="55"/>
  <c r="C19" i="55"/>
  <c r="D19" i="55"/>
  <c r="E19" i="55"/>
  <c r="F19" i="55"/>
  <c r="G19" i="55"/>
  <c r="H19" i="55"/>
  <c r="B20" i="55"/>
  <c r="C20" i="55"/>
  <c r="D20" i="55"/>
  <c r="E20" i="55"/>
  <c r="F20" i="55"/>
  <c r="G20" i="55"/>
  <c r="H20" i="55"/>
  <c r="B22" i="55"/>
  <c r="C22" i="55"/>
  <c r="D22" i="55"/>
  <c r="E22" i="55"/>
  <c r="F22" i="55"/>
  <c r="G22" i="55"/>
  <c r="H22" i="55"/>
  <c r="B26" i="55"/>
  <c r="D26" i="55"/>
  <c r="E26" i="55"/>
  <c r="F26" i="55"/>
  <c r="G26" i="55"/>
  <c r="H26" i="55"/>
  <c r="B27" i="55"/>
  <c r="C27" i="55"/>
  <c r="D27" i="55"/>
  <c r="E27" i="55"/>
  <c r="F27" i="55"/>
  <c r="G27" i="55"/>
  <c r="H27" i="55"/>
  <c r="H29" i="55"/>
  <c r="H49" i="55" s="1"/>
  <c r="H84" i="55"/>
  <c r="E84" i="55"/>
  <c r="D84" i="55"/>
  <c r="C84" i="55"/>
  <c r="F86" i="55"/>
  <c r="E78" i="55"/>
  <c r="F78" i="55"/>
  <c r="H75" i="55"/>
  <c r="F84" i="55"/>
  <c r="D66" i="55"/>
  <c r="C66" i="55"/>
  <c r="C65" i="55"/>
  <c r="D65" i="55"/>
  <c r="F87" i="55"/>
  <c r="C41" i="55" l="1"/>
  <c r="D41" i="55"/>
  <c r="C45" i="55"/>
  <c r="E41" i="55"/>
  <c r="G41" i="55"/>
  <c r="E50" i="55"/>
  <c r="E46" i="55"/>
  <c r="B45" i="55"/>
  <c r="F46" i="55"/>
  <c r="G49" i="55"/>
  <c r="F49" i="55"/>
  <c r="G83" i="55" s="1"/>
  <c r="B46" i="55"/>
  <c r="D45" i="55"/>
  <c r="D46" i="55"/>
  <c r="C44" i="55"/>
  <c r="D49" i="55"/>
  <c r="C49" i="55"/>
  <c r="D83" i="55" s="1"/>
  <c r="C12" i="55"/>
  <c r="F76" i="55" s="1"/>
  <c r="C13" i="55"/>
  <c r="F85" i="55" s="1"/>
  <c r="G46" i="55"/>
  <c r="H83" i="55" s="1"/>
  <c r="E45" i="55"/>
  <c r="F29" i="55"/>
  <c r="E44" i="55"/>
  <c r="I83" i="55"/>
  <c r="D44" i="55"/>
  <c r="B44" i="55"/>
  <c r="C83" i="55" s="1"/>
  <c r="B29" i="55"/>
  <c r="E25" i="55"/>
  <c r="E29" i="55" s="1"/>
  <c r="C25" i="55"/>
  <c r="C29" i="55" s="1"/>
  <c r="E65" i="55"/>
  <c r="G29" i="55"/>
  <c r="E66" i="55"/>
  <c r="B55" i="55"/>
  <c r="C55" i="55"/>
  <c r="E55" i="55"/>
  <c r="G55" i="55"/>
  <c r="B57" i="55"/>
  <c r="C57" i="55"/>
  <c r="E57" i="55"/>
  <c r="B59" i="55"/>
  <c r="C59" i="55"/>
  <c r="E59" i="55"/>
  <c r="G59" i="55"/>
  <c r="B61" i="55"/>
  <c r="C61" i="55"/>
  <c r="E61" i="55"/>
  <c r="E87" i="55"/>
  <c r="E83" i="55" l="1"/>
  <c r="F83" i="55"/>
  <c r="F57" i="55"/>
  <c r="H57" i="55" s="1"/>
  <c r="F75" i="55" s="1"/>
  <c r="G75" i="55" s="1"/>
  <c r="F59" i="55"/>
  <c r="F55" i="55"/>
  <c r="H59" i="55"/>
  <c r="D75" i="55" s="1"/>
  <c r="H55" i="55"/>
  <c r="E75" i="55" s="1"/>
  <c r="E85" i="55" l="1"/>
  <c r="C75" i="55"/>
  <c r="E76" i="55"/>
  <c r="D76" i="55"/>
  <c r="C76" i="55"/>
  <c r="C8" i="51"/>
  <c r="S67" i="51" s="1"/>
  <c r="C7" i="51"/>
  <c r="T67" i="51" s="1"/>
  <c r="F79" i="55" l="1"/>
  <c r="G84" i="55" l="1"/>
  <c r="F4" i="24"/>
  <c r="G4" i="24"/>
  <c r="F5" i="24"/>
  <c r="G5" i="24"/>
  <c r="F6" i="24"/>
  <c r="G6" i="24"/>
  <c r="C7" i="24"/>
  <c r="D7" i="24"/>
  <c r="E7" i="24"/>
  <c r="F7" i="24"/>
  <c r="G7" i="24"/>
  <c r="H7" i="24"/>
  <c r="B7" i="24"/>
  <c r="E4" i="23"/>
  <c r="F4" i="23"/>
  <c r="G4" i="23"/>
  <c r="F5" i="23"/>
  <c r="G5" i="23"/>
  <c r="C6" i="23"/>
  <c r="F6" i="23"/>
  <c r="G6" i="23"/>
  <c r="H3" i="18"/>
  <c r="E4" i="24"/>
  <c r="E6" i="24"/>
  <c r="E5" i="24"/>
  <c r="G3" i="23"/>
  <c r="D7" i="23" l="1"/>
  <c r="C3" i="18"/>
  <c r="C2" i="23"/>
  <c r="D2" i="23"/>
  <c r="E2" i="23"/>
  <c r="F2" i="23"/>
  <c r="G2" i="23"/>
  <c r="H2" i="23"/>
  <c r="B2" i="23"/>
  <c r="E43" i="18"/>
  <c r="E45" i="18"/>
  <c r="E44" i="18"/>
  <c r="AE4" i="18"/>
  <c r="AD4" i="18"/>
  <c r="AC4" i="18"/>
  <c r="AB4" i="18"/>
  <c r="AA4" i="18"/>
  <c r="Z4" i="18"/>
  <c r="Y4" i="18"/>
  <c r="X4" i="18"/>
  <c r="W4" i="18"/>
  <c r="V4" i="18"/>
  <c r="U4" i="18"/>
  <c r="T4" i="18"/>
  <c r="S4" i="18"/>
  <c r="R4" i="18"/>
  <c r="Q4" i="18"/>
  <c r="P4" i="18"/>
  <c r="O4" i="18"/>
  <c r="N4" i="18"/>
  <c r="M4" i="18"/>
  <c r="L4" i="18"/>
  <c r="K4" i="18"/>
  <c r="J4" i="18"/>
  <c r="I4" i="18"/>
  <c r="H4" i="18"/>
  <c r="G4" i="18"/>
  <c r="F4" i="18"/>
  <c r="E4" i="18"/>
  <c r="D4" i="18"/>
  <c r="C4" i="18"/>
  <c r="AE3" i="18"/>
  <c r="AD3" i="18"/>
  <c r="AC3" i="18"/>
  <c r="AB3" i="18"/>
  <c r="AA3" i="18"/>
  <c r="Z3" i="18"/>
  <c r="Y3" i="18"/>
  <c r="X3" i="18"/>
  <c r="W3" i="18"/>
  <c r="V3" i="18"/>
  <c r="U3" i="18"/>
  <c r="T3" i="18"/>
  <c r="S3" i="18"/>
  <c r="R3" i="18"/>
  <c r="Q3" i="18"/>
  <c r="P3" i="18"/>
  <c r="O3" i="18"/>
  <c r="N3" i="18"/>
  <c r="M3" i="18"/>
  <c r="L3" i="18"/>
  <c r="K3" i="18"/>
  <c r="J3" i="18"/>
  <c r="I3" i="18"/>
  <c r="G3" i="18"/>
  <c r="F3" i="18"/>
  <c r="E3" i="18"/>
  <c r="D3" i="18"/>
  <c r="AE2" i="18"/>
  <c r="AD2" i="18"/>
  <c r="AC2" i="18"/>
  <c r="AB2" i="18"/>
  <c r="AA2" i="18"/>
  <c r="Z2" i="18"/>
  <c r="Y2" i="18"/>
  <c r="X2" i="18"/>
  <c r="W2" i="18"/>
  <c r="V2" i="18"/>
  <c r="U2" i="18"/>
  <c r="T2" i="18"/>
  <c r="S2" i="18"/>
  <c r="R2" i="18"/>
  <c r="Q2" i="18"/>
  <c r="P2" i="18"/>
  <c r="O2" i="18"/>
  <c r="N2" i="18"/>
  <c r="M2" i="18"/>
  <c r="L2" i="18"/>
  <c r="K2" i="18"/>
  <c r="J2" i="18"/>
  <c r="I2" i="18"/>
  <c r="H2" i="18"/>
  <c r="G2" i="18"/>
  <c r="F2" i="18"/>
  <c r="E2" i="18"/>
  <c r="D2" i="18"/>
  <c r="C2" i="18"/>
  <c r="E6" i="23" l="1"/>
  <c r="D6" i="23"/>
  <c r="D4" i="23"/>
  <c r="B3" i="24"/>
  <c r="C3" i="24"/>
  <c r="D3" i="24"/>
  <c r="E3" i="24"/>
  <c r="F3" i="24"/>
  <c r="G3" i="24"/>
  <c r="H3" i="24"/>
  <c r="F2" i="24" l="1"/>
  <c r="E2" i="24"/>
  <c r="D2" i="24"/>
  <c r="C2" i="24"/>
  <c r="C78" i="55"/>
  <c r="G2" i="24"/>
  <c r="H2" i="24"/>
  <c r="B2" i="24"/>
  <c r="B6" i="23" l="1"/>
  <c r="R64" i="51"/>
  <c r="Q64" i="51"/>
  <c r="P64" i="51"/>
  <c r="S64" i="51" s="1"/>
  <c r="I64" i="51"/>
  <c r="H64" i="51"/>
  <c r="G64" i="51"/>
  <c r="F64" i="51"/>
  <c r="M64" i="51" s="1"/>
  <c r="E64" i="51"/>
  <c r="R63" i="51"/>
  <c r="T63" i="51" s="1"/>
  <c r="Q63" i="51"/>
  <c r="P63" i="51"/>
  <c r="S63" i="51" s="1"/>
  <c r="I63" i="51"/>
  <c r="H63" i="51"/>
  <c r="K63" i="51" s="1"/>
  <c r="G63" i="51"/>
  <c r="F63" i="51"/>
  <c r="E63" i="51"/>
  <c r="R62" i="51"/>
  <c r="T62" i="51" s="1"/>
  <c r="Q62" i="51"/>
  <c r="P62" i="51"/>
  <c r="S62" i="51" s="1"/>
  <c r="I62" i="51"/>
  <c r="H62" i="51"/>
  <c r="G62" i="51"/>
  <c r="F62" i="51"/>
  <c r="E62" i="51"/>
  <c r="R61" i="51"/>
  <c r="Q61" i="51"/>
  <c r="P61" i="51"/>
  <c r="S61" i="51" s="1"/>
  <c r="I61" i="51"/>
  <c r="H61" i="51"/>
  <c r="K61" i="51" s="1"/>
  <c r="G61" i="51"/>
  <c r="F61" i="51"/>
  <c r="M61" i="51" s="1"/>
  <c r="E61" i="51"/>
  <c r="R60" i="51"/>
  <c r="T60" i="51" s="1"/>
  <c r="Q60" i="51"/>
  <c r="P60" i="51"/>
  <c r="S60" i="51" s="1"/>
  <c r="I60" i="51"/>
  <c r="H60" i="51"/>
  <c r="J60" i="51" s="1"/>
  <c r="G60" i="51"/>
  <c r="F60" i="51"/>
  <c r="M60" i="51" s="1"/>
  <c r="E60" i="51"/>
  <c r="R59" i="51"/>
  <c r="Q59" i="51"/>
  <c r="P59" i="51"/>
  <c r="I59" i="51"/>
  <c r="H59" i="51"/>
  <c r="K59" i="51" s="1"/>
  <c r="G59" i="51"/>
  <c r="F59" i="51"/>
  <c r="E59" i="51"/>
  <c r="R58" i="51"/>
  <c r="T58" i="51" s="1"/>
  <c r="Q58" i="51"/>
  <c r="P58" i="51"/>
  <c r="I58" i="51"/>
  <c r="H58" i="51"/>
  <c r="K58" i="51" s="1"/>
  <c r="G58" i="51"/>
  <c r="F58" i="51"/>
  <c r="E58" i="51"/>
  <c r="R57" i="51"/>
  <c r="T57" i="51" s="1"/>
  <c r="Q57" i="51"/>
  <c r="P57" i="51"/>
  <c r="S57" i="51" s="1"/>
  <c r="I57" i="51"/>
  <c r="H57" i="51"/>
  <c r="G57" i="51"/>
  <c r="F57" i="51"/>
  <c r="E57" i="51"/>
  <c r="R56" i="51"/>
  <c r="Q56" i="51"/>
  <c r="P56" i="51"/>
  <c r="I56" i="51"/>
  <c r="H56" i="51"/>
  <c r="J56" i="51" s="1"/>
  <c r="G56" i="51"/>
  <c r="F56" i="51"/>
  <c r="M56" i="51" s="1"/>
  <c r="E56" i="51"/>
  <c r="R55" i="51"/>
  <c r="T55" i="51" s="1"/>
  <c r="Q55" i="51"/>
  <c r="P55" i="51"/>
  <c r="S55" i="51" s="1"/>
  <c r="I55" i="51"/>
  <c r="H55" i="51"/>
  <c r="J55" i="51" s="1"/>
  <c r="G55" i="51"/>
  <c r="F55" i="51"/>
  <c r="M55" i="51" s="1"/>
  <c r="E55" i="51"/>
  <c r="R54" i="51"/>
  <c r="Q54" i="51"/>
  <c r="P54" i="51"/>
  <c r="I54" i="51"/>
  <c r="H54" i="51"/>
  <c r="K54" i="51" s="1"/>
  <c r="G54" i="51"/>
  <c r="F54" i="51"/>
  <c r="M54" i="51" s="1"/>
  <c r="E54" i="51"/>
  <c r="R53" i="51"/>
  <c r="T53" i="51" s="1"/>
  <c r="Q53" i="51"/>
  <c r="P53" i="51"/>
  <c r="S53" i="51" s="1"/>
  <c r="I53" i="51"/>
  <c r="H53" i="51"/>
  <c r="K53" i="51" s="1"/>
  <c r="G53" i="51"/>
  <c r="F53" i="51"/>
  <c r="M53" i="51" s="1"/>
  <c r="E53" i="51"/>
  <c r="R52" i="51"/>
  <c r="T52" i="51" s="1"/>
  <c r="Q52" i="51"/>
  <c r="P52" i="51"/>
  <c r="S52" i="51" s="1"/>
  <c r="I52" i="51"/>
  <c r="H52" i="51"/>
  <c r="G52" i="51"/>
  <c r="F52" i="51"/>
  <c r="E52" i="51"/>
  <c r="R51" i="51"/>
  <c r="T51" i="51" s="1"/>
  <c r="Q51" i="51"/>
  <c r="P51" i="51"/>
  <c r="S51" i="51" s="1"/>
  <c r="I51" i="51"/>
  <c r="H51" i="51"/>
  <c r="K51" i="51" s="1"/>
  <c r="G51" i="51"/>
  <c r="F51" i="51"/>
  <c r="E51" i="51"/>
  <c r="R50" i="51"/>
  <c r="T50" i="51" s="1"/>
  <c r="Q50" i="51"/>
  <c r="P50" i="51"/>
  <c r="S50" i="51" s="1"/>
  <c r="I50" i="51"/>
  <c r="H50" i="51"/>
  <c r="J50" i="51" s="1"/>
  <c r="G50" i="51"/>
  <c r="F50" i="51"/>
  <c r="M50" i="51" s="1"/>
  <c r="E50" i="51"/>
  <c r="R49" i="51"/>
  <c r="Q49" i="51"/>
  <c r="P49" i="51"/>
  <c r="I49" i="51"/>
  <c r="H49" i="51"/>
  <c r="K49" i="51" s="1"/>
  <c r="G49" i="51"/>
  <c r="F49" i="51"/>
  <c r="E49" i="51"/>
  <c r="R48" i="51"/>
  <c r="Q48" i="51"/>
  <c r="P48" i="51"/>
  <c r="I48" i="51"/>
  <c r="H48" i="51"/>
  <c r="J48" i="51" s="1"/>
  <c r="G48" i="51"/>
  <c r="F48" i="51"/>
  <c r="M48" i="51" s="1"/>
  <c r="E48" i="51"/>
  <c r="R47" i="51"/>
  <c r="T47" i="51" s="1"/>
  <c r="Q47" i="51"/>
  <c r="P47" i="51"/>
  <c r="S47" i="51" s="1"/>
  <c r="I47" i="51"/>
  <c r="H47" i="51"/>
  <c r="G47" i="51"/>
  <c r="F47" i="51"/>
  <c r="E47" i="51"/>
  <c r="R46" i="51"/>
  <c r="T46" i="51" s="1"/>
  <c r="Q46" i="51"/>
  <c r="P46" i="51"/>
  <c r="I46" i="51"/>
  <c r="H46" i="51"/>
  <c r="K46" i="51" s="1"/>
  <c r="G46" i="51"/>
  <c r="F46" i="51"/>
  <c r="E46" i="51"/>
  <c r="R45" i="51"/>
  <c r="T45" i="51" s="1"/>
  <c r="Q45" i="51"/>
  <c r="P45" i="51"/>
  <c r="S45" i="51" s="1"/>
  <c r="I45" i="51"/>
  <c r="H45" i="51"/>
  <c r="K45" i="51" s="1"/>
  <c r="G45" i="51"/>
  <c r="F45" i="51"/>
  <c r="E45" i="51"/>
  <c r="R44" i="51"/>
  <c r="Q44" i="51"/>
  <c r="P44" i="51"/>
  <c r="I44" i="51"/>
  <c r="H44" i="51"/>
  <c r="J44" i="51" s="1"/>
  <c r="G44" i="51"/>
  <c r="F44" i="51"/>
  <c r="E44" i="51"/>
  <c r="R43" i="51"/>
  <c r="T43" i="51" s="1"/>
  <c r="Q43" i="51"/>
  <c r="P43" i="51"/>
  <c r="S43" i="51" s="1"/>
  <c r="I43" i="51"/>
  <c r="H43" i="51"/>
  <c r="K43" i="51" s="1"/>
  <c r="G43" i="51"/>
  <c r="F43" i="51"/>
  <c r="E43" i="51"/>
  <c r="R42" i="51"/>
  <c r="T42" i="51" s="1"/>
  <c r="Q42" i="51"/>
  <c r="P42" i="51"/>
  <c r="S42" i="51" s="1"/>
  <c r="I42" i="51"/>
  <c r="H42" i="51"/>
  <c r="G42" i="51"/>
  <c r="F42" i="51"/>
  <c r="E42" i="51"/>
  <c r="R41" i="51"/>
  <c r="Q41" i="51"/>
  <c r="P41" i="51"/>
  <c r="S41" i="51" s="1"/>
  <c r="I41" i="51"/>
  <c r="H41" i="51"/>
  <c r="K41" i="51" s="1"/>
  <c r="G41" i="51"/>
  <c r="L41" i="51" s="1"/>
  <c r="F41" i="51"/>
  <c r="E41" i="51"/>
  <c r="R40" i="51"/>
  <c r="T40" i="51" s="1"/>
  <c r="Q40" i="51"/>
  <c r="P40" i="51"/>
  <c r="S40" i="51" s="1"/>
  <c r="I40" i="51"/>
  <c r="H40" i="51"/>
  <c r="J40" i="51" s="1"/>
  <c r="G40" i="51"/>
  <c r="F40" i="51"/>
  <c r="E40" i="51"/>
  <c r="R39" i="51"/>
  <c r="Q39" i="51"/>
  <c r="P39" i="51"/>
  <c r="S39" i="51" s="1"/>
  <c r="I39" i="51"/>
  <c r="H39" i="51"/>
  <c r="K39" i="51" s="1"/>
  <c r="G39" i="51"/>
  <c r="F39" i="51"/>
  <c r="L39" i="51" s="1"/>
  <c r="E39" i="51"/>
  <c r="R38" i="51"/>
  <c r="T38" i="51" s="1"/>
  <c r="Q38" i="51"/>
  <c r="P38" i="51"/>
  <c r="S38" i="51" s="1"/>
  <c r="I38" i="51"/>
  <c r="H38" i="51"/>
  <c r="J38" i="51" s="1"/>
  <c r="G38" i="51"/>
  <c r="F38" i="51"/>
  <c r="E38" i="51"/>
  <c r="R37" i="51"/>
  <c r="T37" i="51" s="1"/>
  <c r="Q37" i="51"/>
  <c r="P37" i="51"/>
  <c r="S37" i="51" s="1"/>
  <c r="I37" i="51"/>
  <c r="H37" i="51"/>
  <c r="G37" i="51"/>
  <c r="F37" i="51"/>
  <c r="E37" i="51"/>
  <c r="R36" i="51"/>
  <c r="Q36" i="51"/>
  <c r="P36" i="51"/>
  <c r="I36" i="51"/>
  <c r="H36" i="51"/>
  <c r="K36" i="51" s="1"/>
  <c r="G36" i="51"/>
  <c r="F36" i="51"/>
  <c r="M36" i="51" s="1"/>
  <c r="E36" i="51"/>
  <c r="R35" i="51"/>
  <c r="T35" i="51" s="1"/>
  <c r="Q35" i="51"/>
  <c r="P35" i="51"/>
  <c r="S35" i="51" s="1"/>
  <c r="I35" i="51"/>
  <c r="H35" i="51"/>
  <c r="J35" i="51" s="1"/>
  <c r="G35" i="51"/>
  <c r="F35" i="51"/>
  <c r="M35" i="51" s="1"/>
  <c r="E35" i="51"/>
  <c r="R34" i="51"/>
  <c r="Q34" i="51"/>
  <c r="P34" i="51"/>
  <c r="I34" i="51"/>
  <c r="H34" i="51"/>
  <c r="K34" i="51" s="1"/>
  <c r="G34" i="51"/>
  <c r="F34" i="51"/>
  <c r="E34" i="51"/>
  <c r="R33" i="51"/>
  <c r="T33" i="51" s="1"/>
  <c r="Q33" i="51"/>
  <c r="P33" i="51"/>
  <c r="S33" i="51" s="1"/>
  <c r="I33" i="51"/>
  <c r="H33" i="51"/>
  <c r="K33" i="51" s="1"/>
  <c r="G33" i="51"/>
  <c r="F33" i="51"/>
  <c r="E33" i="51"/>
  <c r="R32" i="51"/>
  <c r="T32" i="51" s="1"/>
  <c r="Q32" i="51"/>
  <c r="P32" i="51"/>
  <c r="S32" i="51" s="1"/>
  <c r="I32" i="51"/>
  <c r="H32" i="51"/>
  <c r="G32" i="51"/>
  <c r="F32" i="51"/>
  <c r="E32" i="51"/>
  <c r="R31" i="51"/>
  <c r="T31" i="51" s="1"/>
  <c r="Q31" i="51"/>
  <c r="P31" i="51"/>
  <c r="I31" i="51"/>
  <c r="H31" i="51"/>
  <c r="J31" i="51" s="1"/>
  <c r="G31" i="51"/>
  <c r="F31" i="51"/>
  <c r="E31" i="51"/>
  <c r="R30" i="51"/>
  <c r="T30" i="51" s="1"/>
  <c r="Q30" i="51"/>
  <c r="P30" i="51"/>
  <c r="S30" i="51" s="1"/>
  <c r="I30" i="51"/>
  <c r="H30" i="51"/>
  <c r="J30" i="51" s="1"/>
  <c r="G30" i="51"/>
  <c r="F30" i="51"/>
  <c r="M30" i="51" s="1"/>
  <c r="E30" i="51"/>
  <c r="R29" i="51"/>
  <c r="Q29" i="51"/>
  <c r="P29" i="51"/>
  <c r="I29" i="51"/>
  <c r="H29" i="51"/>
  <c r="K29" i="51" s="1"/>
  <c r="G29" i="51"/>
  <c r="F29" i="51"/>
  <c r="E29" i="51"/>
  <c r="R28" i="51"/>
  <c r="Q28" i="51"/>
  <c r="P28" i="51"/>
  <c r="S28" i="51" s="1"/>
  <c r="I28" i="51"/>
  <c r="H28" i="51"/>
  <c r="J28" i="51" s="1"/>
  <c r="G28" i="51"/>
  <c r="F28" i="51"/>
  <c r="M28" i="51" s="1"/>
  <c r="E28" i="51"/>
  <c r="R27" i="51"/>
  <c r="T27" i="51" s="1"/>
  <c r="Q27" i="51"/>
  <c r="P27" i="51"/>
  <c r="S27" i="51" s="1"/>
  <c r="I27" i="51"/>
  <c r="H27" i="51"/>
  <c r="G27" i="51"/>
  <c r="F27" i="51"/>
  <c r="E27" i="51"/>
  <c r="R26" i="51"/>
  <c r="T26" i="51" s="1"/>
  <c r="Q26" i="51"/>
  <c r="P26" i="51"/>
  <c r="S26" i="51" s="1"/>
  <c r="I26" i="51"/>
  <c r="H26" i="51"/>
  <c r="J26" i="51" s="1"/>
  <c r="G26" i="51"/>
  <c r="F26" i="51"/>
  <c r="E26" i="51"/>
  <c r="R25" i="51"/>
  <c r="T25" i="51" s="1"/>
  <c r="Q25" i="51"/>
  <c r="P25" i="51"/>
  <c r="S25" i="51" s="1"/>
  <c r="I25" i="51"/>
  <c r="H25" i="51"/>
  <c r="K25" i="51" s="1"/>
  <c r="G25" i="51"/>
  <c r="F25" i="51"/>
  <c r="E25" i="51"/>
  <c r="R24" i="51"/>
  <c r="Q24" i="51"/>
  <c r="P24" i="51"/>
  <c r="I24" i="51"/>
  <c r="H24" i="51"/>
  <c r="K24" i="51" s="1"/>
  <c r="G24" i="51"/>
  <c r="F24" i="51"/>
  <c r="E24" i="51"/>
  <c r="R23" i="51"/>
  <c r="T23" i="51" s="1"/>
  <c r="Q23" i="51"/>
  <c r="P23" i="51"/>
  <c r="S23" i="51" s="1"/>
  <c r="I23" i="51"/>
  <c r="H23" i="51"/>
  <c r="K23" i="51" s="1"/>
  <c r="G23" i="51"/>
  <c r="F23" i="51"/>
  <c r="E23" i="51"/>
  <c r="R22" i="51"/>
  <c r="T22" i="51" s="1"/>
  <c r="Q22" i="51"/>
  <c r="P22" i="51"/>
  <c r="S22" i="51" s="1"/>
  <c r="I22" i="51"/>
  <c r="H22" i="51"/>
  <c r="G22" i="51"/>
  <c r="F22" i="51"/>
  <c r="E22" i="51"/>
  <c r="R21" i="51"/>
  <c r="Q21" i="51"/>
  <c r="P21" i="51"/>
  <c r="I21" i="51"/>
  <c r="H21" i="51"/>
  <c r="K21" i="51" s="1"/>
  <c r="G21" i="51"/>
  <c r="F21" i="51"/>
  <c r="E21" i="51"/>
  <c r="R20" i="51"/>
  <c r="T20" i="51" s="1"/>
  <c r="Q20" i="51"/>
  <c r="P20" i="51"/>
  <c r="S20" i="51" s="1"/>
  <c r="I20" i="51"/>
  <c r="H20" i="51"/>
  <c r="J20" i="51" s="1"/>
  <c r="G20" i="51"/>
  <c r="F20" i="51"/>
  <c r="E20" i="51"/>
  <c r="R19" i="51"/>
  <c r="Q19" i="51"/>
  <c r="P19" i="51"/>
  <c r="I19" i="51"/>
  <c r="H19" i="51"/>
  <c r="K19" i="51" s="1"/>
  <c r="G19" i="51"/>
  <c r="F19" i="51"/>
  <c r="E19" i="51"/>
  <c r="R18" i="51"/>
  <c r="T18" i="51" s="1"/>
  <c r="Q18" i="51"/>
  <c r="P18" i="51"/>
  <c r="S18" i="51" s="1"/>
  <c r="I18" i="51"/>
  <c r="H18" i="51"/>
  <c r="K18" i="51" s="1"/>
  <c r="G18" i="51"/>
  <c r="F18" i="51"/>
  <c r="E18" i="51"/>
  <c r="R17" i="51"/>
  <c r="T17" i="51" s="1"/>
  <c r="Q17" i="51"/>
  <c r="P17" i="51"/>
  <c r="S17" i="51" s="1"/>
  <c r="I17" i="51"/>
  <c r="H17" i="51"/>
  <c r="G17" i="51"/>
  <c r="F17" i="51"/>
  <c r="L17" i="51" s="1"/>
  <c r="E17" i="51"/>
  <c r="R16" i="51"/>
  <c r="Q16" i="51"/>
  <c r="P16" i="51"/>
  <c r="I16" i="51"/>
  <c r="H16" i="51"/>
  <c r="J16" i="51" s="1"/>
  <c r="G16" i="51"/>
  <c r="F16" i="51"/>
  <c r="E16" i="51"/>
  <c r="R15" i="51"/>
  <c r="T15" i="51" s="1"/>
  <c r="Q15" i="51"/>
  <c r="P15" i="51"/>
  <c r="S15" i="51" s="1"/>
  <c r="I15" i="51"/>
  <c r="H15" i="51"/>
  <c r="K15" i="51" s="1"/>
  <c r="G15" i="51"/>
  <c r="F15" i="51"/>
  <c r="M15" i="51" s="1"/>
  <c r="E15" i="51"/>
  <c r="R14" i="51"/>
  <c r="Q14" i="51"/>
  <c r="P14" i="51"/>
  <c r="I14" i="51"/>
  <c r="H14" i="51"/>
  <c r="K14" i="51" s="1"/>
  <c r="G14" i="51"/>
  <c r="F14" i="51"/>
  <c r="E14" i="51"/>
  <c r="V66" i="51"/>
  <c r="U66" i="51"/>
  <c r="T66" i="51"/>
  <c r="S66" i="51"/>
  <c r="O66" i="51"/>
  <c r="N66" i="51"/>
  <c r="M66" i="51"/>
  <c r="L66" i="51"/>
  <c r="G66" i="51"/>
  <c r="F66" i="51"/>
  <c r="E66" i="51"/>
  <c r="T64" i="51"/>
  <c r="J64" i="51"/>
  <c r="M62" i="51"/>
  <c r="T61" i="51"/>
  <c r="T59" i="51"/>
  <c r="S59" i="51"/>
  <c r="M59" i="51"/>
  <c r="S58" i="51"/>
  <c r="M57" i="51"/>
  <c r="T56" i="51"/>
  <c r="S56" i="51"/>
  <c r="S54" i="51"/>
  <c r="T54" i="51"/>
  <c r="L54" i="51"/>
  <c r="T49" i="51"/>
  <c r="S49" i="51"/>
  <c r="M49" i="51"/>
  <c r="T48" i="51"/>
  <c r="S48" i="51"/>
  <c r="M47" i="51"/>
  <c r="S46" i="51"/>
  <c r="T44" i="51"/>
  <c r="S44" i="51"/>
  <c r="M44" i="51"/>
  <c r="T41" i="51"/>
  <c r="T39" i="51"/>
  <c r="T36" i="51"/>
  <c r="S36" i="51"/>
  <c r="S34" i="51"/>
  <c r="T34" i="51"/>
  <c r="M34" i="51"/>
  <c r="M32" i="51"/>
  <c r="S31" i="51"/>
  <c r="T29" i="51"/>
  <c r="S29" i="51"/>
  <c r="T28" i="51"/>
  <c r="M27" i="51"/>
  <c r="T24" i="51"/>
  <c r="S24" i="51"/>
  <c r="M22" i="51"/>
  <c r="T21" i="51"/>
  <c r="S21" i="51"/>
  <c r="T19" i="51"/>
  <c r="S19" i="51"/>
  <c r="T16" i="51"/>
  <c r="S16" i="51"/>
  <c r="T14" i="51"/>
  <c r="S14" i="51"/>
  <c r="L14" i="51"/>
  <c r="AB70" i="50"/>
  <c r="AA70" i="50"/>
  <c r="Z70" i="50"/>
  <c r="Y70" i="50"/>
  <c r="X70" i="50"/>
  <c r="W70" i="50"/>
  <c r="V70" i="50"/>
  <c r="U70" i="50"/>
  <c r="T70" i="50"/>
  <c r="S70" i="50"/>
  <c r="R70" i="50"/>
  <c r="Q70" i="50"/>
  <c r="P70" i="50"/>
  <c r="O70" i="50"/>
  <c r="N70" i="50"/>
  <c r="M70" i="50"/>
  <c r="N71" i="49"/>
  <c r="O41" i="51" l="1"/>
  <c r="M39" i="51"/>
  <c r="L44" i="51"/>
  <c r="L59" i="51"/>
  <c r="M43" i="51"/>
  <c r="O34" i="51"/>
  <c r="O49" i="51"/>
  <c r="O54" i="51"/>
  <c r="O59" i="51"/>
  <c r="V59" i="51" s="1"/>
  <c r="N38" i="51"/>
  <c r="M51" i="51"/>
  <c r="O14" i="51"/>
  <c r="M18" i="51"/>
  <c r="M52" i="51"/>
  <c r="O19" i="51"/>
  <c r="M23" i="51"/>
  <c r="M63" i="51"/>
  <c r="M19" i="51"/>
  <c r="O24" i="51"/>
  <c r="M31" i="51"/>
  <c r="O29" i="51"/>
  <c r="O39" i="51"/>
  <c r="K17" i="51"/>
  <c r="O17" i="51" s="1"/>
  <c r="K35" i="51"/>
  <c r="O35" i="51" s="1"/>
  <c r="K38" i="51"/>
  <c r="O38" i="51" s="1"/>
  <c r="J47" i="51"/>
  <c r="N47" i="51" s="1"/>
  <c r="J51" i="51"/>
  <c r="M40" i="51"/>
  <c r="L15" i="51"/>
  <c r="L19" i="51"/>
  <c r="L24" i="51"/>
  <c r="L29" i="51"/>
  <c r="L34" i="51"/>
  <c r="V34" i="51" s="1"/>
  <c r="L49" i="51"/>
  <c r="L35" i="51"/>
  <c r="V35" i="51" s="1"/>
  <c r="L60" i="51"/>
  <c r="L43" i="51"/>
  <c r="U43" i="51" s="1"/>
  <c r="L58" i="51"/>
  <c r="O23" i="51"/>
  <c r="L16" i="51"/>
  <c r="L56" i="51"/>
  <c r="N16" i="51"/>
  <c r="O21" i="51"/>
  <c r="O36" i="51"/>
  <c r="O46" i="51"/>
  <c r="N56" i="51"/>
  <c r="O61" i="51"/>
  <c r="L50" i="51"/>
  <c r="L28" i="51"/>
  <c r="L40" i="51"/>
  <c r="L48" i="51"/>
  <c r="L26" i="51"/>
  <c r="J63" i="51"/>
  <c r="N63" i="51" s="1"/>
  <c r="G67" i="51"/>
  <c r="L64" i="51"/>
  <c r="O15" i="51"/>
  <c r="L53" i="51"/>
  <c r="L51" i="51"/>
  <c r="L25" i="51"/>
  <c r="L55" i="51"/>
  <c r="O45" i="51"/>
  <c r="L18" i="51"/>
  <c r="N28" i="51"/>
  <c r="O53" i="51"/>
  <c r="L31" i="51"/>
  <c r="L38" i="51"/>
  <c r="O18" i="51"/>
  <c r="O58" i="51"/>
  <c r="L45" i="51"/>
  <c r="O25" i="51"/>
  <c r="L23" i="51"/>
  <c r="L33" i="51"/>
  <c r="O63" i="51"/>
  <c r="J23" i="51"/>
  <c r="N23" i="51" s="1"/>
  <c r="L61" i="51"/>
  <c r="V61" i="51" s="1"/>
  <c r="N51" i="51"/>
  <c r="O51" i="51"/>
  <c r="L22" i="51"/>
  <c r="V22" i="51" s="1"/>
  <c r="L27" i="51"/>
  <c r="L32" i="51"/>
  <c r="U32" i="51" s="1"/>
  <c r="L37" i="51"/>
  <c r="L42" i="51"/>
  <c r="L47" i="51"/>
  <c r="V47" i="51" s="1"/>
  <c r="L52" i="51"/>
  <c r="L57" i="51"/>
  <c r="V57" i="51" s="1"/>
  <c r="L62" i="51"/>
  <c r="L20" i="51"/>
  <c r="L30" i="51"/>
  <c r="N60" i="51"/>
  <c r="L63" i="51"/>
  <c r="O33" i="51"/>
  <c r="O43" i="51"/>
  <c r="L21" i="51"/>
  <c r="L36" i="51"/>
  <c r="V36" i="51" s="1"/>
  <c r="L46" i="51"/>
  <c r="K26" i="51"/>
  <c r="O26" i="51" s="1"/>
  <c r="K22" i="51"/>
  <c r="O22" i="51" s="1"/>
  <c r="K27" i="51"/>
  <c r="O27" i="51" s="1"/>
  <c r="J32" i="51"/>
  <c r="N32" i="51" s="1"/>
  <c r="K37" i="51"/>
  <c r="O37" i="51" s="1"/>
  <c r="K42" i="51"/>
  <c r="O42" i="51" s="1"/>
  <c r="K47" i="51"/>
  <c r="O47" i="51" s="1"/>
  <c r="J52" i="51"/>
  <c r="N52" i="51" s="1"/>
  <c r="K57" i="51"/>
  <c r="O57" i="51" s="1"/>
  <c r="K62" i="51"/>
  <c r="O62" i="51" s="1"/>
  <c r="J15" i="51"/>
  <c r="N15" i="51" s="1"/>
  <c r="J18" i="51"/>
  <c r="N18" i="51" s="1"/>
  <c r="U18" i="51" s="1"/>
  <c r="K30" i="51"/>
  <c r="O30" i="51" s="1"/>
  <c r="V30" i="51" s="1"/>
  <c r="J39" i="51"/>
  <c r="N39" i="51" s="1"/>
  <c r="U39" i="51" s="1"/>
  <c r="J42" i="51"/>
  <c r="N42" i="51" s="1"/>
  <c r="K55" i="51"/>
  <c r="O55" i="51" s="1"/>
  <c r="K31" i="51"/>
  <c r="O31" i="51" s="1"/>
  <c r="J34" i="51"/>
  <c r="N34" i="51" s="1"/>
  <c r="U34" i="51" s="1"/>
  <c r="K50" i="51"/>
  <c r="O50" i="51" s="1"/>
  <c r="J59" i="51"/>
  <c r="N59" i="51" s="1"/>
  <c r="U59" i="51" s="1"/>
  <c r="J22" i="51"/>
  <c r="N22" i="51" s="1"/>
  <c r="J46" i="51"/>
  <c r="N46" i="51" s="1"/>
  <c r="J19" i="51"/>
  <c r="N19" i="51" s="1"/>
  <c r="J27" i="51"/>
  <c r="N27" i="51" s="1"/>
  <c r="U27" i="51" s="1"/>
  <c r="J43" i="51"/>
  <c r="N43" i="51" s="1"/>
  <c r="V39" i="51"/>
  <c r="N35" i="51"/>
  <c r="N31" i="51"/>
  <c r="N48" i="51"/>
  <c r="N64" i="51"/>
  <c r="N20" i="51"/>
  <c r="N44" i="51"/>
  <c r="U44" i="51" s="1"/>
  <c r="V54" i="51"/>
  <c r="N55" i="51"/>
  <c r="N26" i="51"/>
  <c r="N40" i="51"/>
  <c r="V49" i="51"/>
  <c r="M14" i="51"/>
  <c r="M38" i="51"/>
  <c r="J24" i="51"/>
  <c r="N24" i="51" s="1"/>
  <c r="J36" i="51"/>
  <c r="N36" i="51" s="1"/>
  <c r="N50" i="51"/>
  <c r="K16" i="51"/>
  <c r="O16" i="51" s="1"/>
  <c r="K20" i="51"/>
  <c r="O20" i="51" s="1"/>
  <c r="K28" i="51"/>
  <c r="O28" i="51" s="1"/>
  <c r="K32" i="51"/>
  <c r="O32" i="51" s="1"/>
  <c r="K40" i="51"/>
  <c r="O40" i="51" s="1"/>
  <c r="K44" i="51"/>
  <c r="O44" i="51" s="1"/>
  <c r="V44" i="51" s="1"/>
  <c r="U47" i="51"/>
  <c r="K48" i="51"/>
  <c r="O48" i="51" s="1"/>
  <c r="K52" i="51"/>
  <c r="O52" i="51" s="1"/>
  <c r="V52" i="51" s="1"/>
  <c r="K56" i="51"/>
  <c r="O56" i="51" s="1"/>
  <c r="V56" i="51" s="1"/>
  <c r="K60" i="51"/>
  <c r="O60" i="51" s="1"/>
  <c r="V60" i="51" s="1"/>
  <c r="K64" i="51"/>
  <c r="O64" i="51" s="1"/>
  <c r="V64" i="51" s="1"/>
  <c r="F67" i="51"/>
  <c r="E67" i="51"/>
  <c r="J17" i="51"/>
  <c r="N17" i="51" s="1"/>
  <c r="J21" i="51"/>
  <c r="N21" i="51" s="1"/>
  <c r="J25" i="51"/>
  <c r="N25" i="51" s="1"/>
  <c r="J29" i="51"/>
  <c r="N29" i="51" s="1"/>
  <c r="J33" i="51"/>
  <c r="N33" i="51" s="1"/>
  <c r="J37" i="51"/>
  <c r="N37" i="51" s="1"/>
  <c r="J41" i="51"/>
  <c r="N41" i="51" s="1"/>
  <c r="J45" i="51"/>
  <c r="N45" i="51" s="1"/>
  <c r="J49" i="51"/>
  <c r="N49" i="51" s="1"/>
  <c r="J53" i="51"/>
  <c r="N53" i="51" s="1"/>
  <c r="J57" i="51"/>
  <c r="N57" i="51" s="1"/>
  <c r="J61" i="51"/>
  <c r="N61" i="51" s="1"/>
  <c r="M16" i="51"/>
  <c r="M20" i="51"/>
  <c r="V20" i="51" s="1"/>
  <c r="M24" i="51"/>
  <c r="M46" i="51"/>
  <c r="M58" i="51"/>
  <c r="J14" i="51"/>
  <c r="N14" i="51" s="1"/>
  <c r="J54" i="51"/>
  <c r="N54" i="51" s="1"/>
  <c r="U54" i="51" s="1"/>
  <c r="J58" i="51"/>
  <c r="N58" i="51" s="1"/>
  <c r="J62" i="51"/>
  <c r="N62" i="51" s="1"/>
  <c r="M26" i="51"/>
  <c r="N30" i="51"/>
  <c r="M17" i="51"/>
  <c r="M21" i="51"/>
  <c r="M25" i="51"/>
  <c r="M29" i="51"/>
  <c r="M33" i="51"/>
  <c r="M37" i="51"/>
  <c r="M41" i="51"/>
  <c r="V41" i="51" s="1"/>
  <c r="M45" i="51"/>
  <c r="M42" i="51"/>
  <c r="E3" i="23"/>
  <c r="D3" i="23"/>
  <c r="C3" i="23"/>
  <c r="V31" i="51" l="1"/>
  <c r="V55" i="51"/>
  <c r="V51" i="51"/>
  <c r="V24" i="51"/>
  <c r="U61" i="51"/>
  <c r="V32" i="51"/>
  <c r="V18" i="51"/>
  <c r="U63" i="51"/>
  <c r="U23" i="51"/>
  <c r="V19" i="51"/>
  <c r="U52" i="51"/>
  <c r="U51" i="51"/>
  <c r="U53" i="51"/>
  <c r="U35" i="51"/>
  <c r="V15" i="51"/>
  <c r="U36" i="51"/>
  <c r="U22" i="51"/>
  <c r="U49" i="51"/>
  <c r="V63" i="51"/>
  <c r="V29" i="51"/>
  <c r="V50" i="51"/>
  <c r="V38" i="51"/>
  <c r="U57" i="51"/>
  <c r="U15" i="51"/>
  <c r="V42" i="51"/>
  <c r="V17" i="51"/>
  <c r="V46" i="51"/>
  <c r="U60" i="51"/>
  <c r="V53" i="51"/>
  <c r="U50" i="51"/>
  <c r="U28" i="51"/>
  <c r="U56" i="51"/>
  <c r="U37" i="51"/>
  <c r="U16" i="51"/>
  <c r="U64" i="51"/>
  <c r="U19" i="51"/>
  <c r="V62" i="51"/>
  <c r="F3" i="23"/>
  <c r="B3" i="23"/>
  <c r="V23" i="51"/>
  <c r="V45" i="51"/>
  <c r="U31" i="51"/>
  <c r="V33" i="51"/>
  <c r="V40" i="51"/>
  <c r="V27" i="51"/>
  <c r="U24" i="51"/>
  <c r="U41" i="51"/>
  <c r="U48" i="51"/>
  <c r="V28" i="51"/>
  <c r="U62" i="51"/>
  <c r="V48" i="51"/>
  <c r="U45" i="51"/>
  <c r="V25" i="51"/>
  <c r="V21" i="51"/>
  <c r="U40" i="51"/>
  <c r="U30" i="51"/>
  <c r="U26" i="51"/>
  <c r="V26" i="51"/>
  <c r="U55" i="51"/>
  <c r="V43" i="51"/>
  <c r="U58" i="51"/>
  <c r="V58" i="51"/>
  <c r="U42" i="51"/>
  <c r="V16" i="51"/>
  <c r="O67" i="51"/>
  <c r="U46" i="51"/>
  <c r="M67" i="51"/>
  <c r="N67" i="51"/>
  <c r="E69" i="51" s="1"/>
  <c r="U14" i="51"/>
  <c r="U25" i="51"/>
  <c r="U29" i="51"/>
  <c r="V37" i="51"/>
  <c r="U33" i="51"/>
  <c r="U21" i="51"/>
  <c r="U38" i="51"/>
  <c r="U17" i="51"/>
  <c r="L67" i="51"/>
  <c r="U67" i="51" s="1"/>
  <c r="F77" i="55" s="1"/>
  <c r="U20" i="51"/>
  <c r="V14" i="51"/>
  <c r="E77" i="55" l="1"/>
  <c r="D77" i="55"/>
  <c r="E5" i="23"/>
  <c r="C5" i="23"/>
  <c r="D5" i="23"/>
  <c r="G69" i="51"/>
  <c r="V67" i="51"/>
  <c r="C77" i="55" s="1"/>
  <c r="B5" i="23" s="1"/>
  <c r="S69" i="51" l="1"/>
  <c r="T69" i="51"/>
  <c r="A96" i="1" l="1"/>
  <c r="A95" i="1"/>
  <c r="C86" i="55" l="1"/>
  <c r="B5" i="24" s="1"/>
  <c r="D86" i="55"/>
  <c r="C5" i="24" s="1"/>
  <c r="E86" i="55"/>
  <c r="D5" i="24" s="1"/>
  <c r="G79" i="55"/>
  <c r="C79" i="55"/>
  <c r="D79" i="55"/>
  <c r="C87" i="55"/>
  <c r="B6" i="24" s="1"/>
  <c r="D87" i="55"/>
  <c r="C6" i="24" s="1"/>
  <c r="D6" i="24"/>
  <c r="D4" i="24"/>
  <c r="D85" i="55"/>
  <c r="C4" i="24" s="1"/>
  <c r="C85" i="55"/>
  <c r="B4" i="24" s="1"/>
  <c r="E47" i="18"/>
  <c r="E46" i="18"/>
  <c r="F7" i="23" l="1"/>
  <c r="C4" i="23"/>
  <c r="C7" i="23"/>
  <c r="B4" i="23"/>
  <c r="E7" i="23"/>
  <c r="B7" i="23"/>
  <c r="E49" i="18"/>
  <c r="E48" i="18"/>
  <c r="B39" i="18" l="1"/>
  <c r="H79" i="55" s="1"/>
  <c r="B35" i="18"/>
  <c r="I76" i="55" l="1"/>
  <c r="I75" i="55"/>
  <c r="I77" i="55"/>
  <c r="G7" i="23"/>
  <c r="I78" i="55"/>
  <c r="H3" i="23"/>
  <c r="I85" i="55"/>
  <c r="H4" i="24" s="1"/>
  <c r="I86" i="55"/>
  <c r="H5" i="24" s="1"/>
  <c r="I79" i="55"/>
  <c r="I87" i="55"/>
  <c r="H6" i="24" s="1"/>
  <c r="H5" i="23" l="1"/>
  <c r="H4" i="23"/>
  <c r="H6" i="23"/>
  <c r="H7" i="23"/>
</calcChain>
</file>

<file path=xl/sharedStrings.xml><?xml version="1.0" encoding="utf-8"?>
<sst xmlns="http://schemas.openxmlformats.org/spreadsheetml/2006/main" count="12170" uniqueCount="5192">
  <si>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</si>
  <si>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</si>
  <si>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</si>
  <si>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</si>
  <si>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</si>
  <si>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</si>
  <si>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</si>
  <si>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</si>
  <si>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</si>
  <si>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</si>
  <si>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</si>
  <si>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</si>
  <si>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</si>
  <si>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</si>
  <si>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</si>
  <si>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</si>
  <si>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</si>
  <si>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</si>
  <si>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</si>
  <si>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</si>
  <si>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</si>
  <si>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</si>
  <si>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</si>
  <si>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</si>
  <si>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</si>
  <si>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</si>
  <si>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</si>
  <si>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</si>
  <si>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</si>
  <si>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</si>
  <si>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</si>
  <si>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</si>
  <si>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</si>
  <si>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</si>
  <si>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</si>
  <si>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</si>
  <si>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</si>
  <si>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</si>
  <si>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</si>
  <si>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</si>
  <si>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</si>
  <si>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</si>
  <si>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</si>
  <si>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</si>
  <si>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</si>
  <si>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</si>
  <si>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</si>
  <si>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</si>
  <si>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</si>
  <si>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</si>
  <si>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</si>
  <si>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</si>
  <si>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</si>
  <si>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</si>
  <si>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</si>
  <si>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</si>
  <si>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</si>
  <si>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</si>
  <si>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</si>
  <si>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</si>
  <si>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</si>
  <si>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</si>
  <si>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</si>
  <si>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</si>
  <si>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</si>
  <si>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</si>
  <si>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</si>
  <si>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</si>
  <si>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</si>
  <si>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</si>
  <si>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</si>
  <si>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</si>
  <si>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</si>
  <si>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</si>
  <si>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</si>
  <si>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</si>
  <si>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</si>
  <si>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</si>
  <si>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</si>
  <si>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</si>
  <si>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</si>
  <si>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</si>
  <si>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</si>
  <si>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</si>
  <si>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</si>
  <si>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</si>
  <si>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</si>
  <si>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</si>
  <si>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</si>
  <si>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</si>
  <si>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</si>
  <si>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</si>
  <si>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</si>
  <si>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</si>
  <si>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</si>
  <si>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</si>
  <si>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</si>
  <si>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</si>
  <si>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</si>
  <si>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</si>
  <si>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</si>
  <si>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</si>
  <si>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</si>
  <si>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
  </si>
  <si>
    <t>7. Transportation Sector Key Indicators and Delivered Energy Consumption</t>
  </si>
  <si>
    <t>TKI000</t>
  </si>
  <si>
    <t>Release Date</t>
  </si>
  <si>
    <t>Datekey</t>
  </si>
  <si>
    <t>Scenario</t>
  </si>
  <si>
    <t>Report</t>
  </si>
  <si>
    <t>Notes</t>
  </si>
  <si>
    <t>battery electric vehicle</t>
  </si>
  <si>
    <t>natural gas vehicle</t>
  </si>
  <si>
    <t>gasoline vehicle</t>
  </si>
  <si>
    <t>diesel vehicle</t>
  </si>
  <si>
    <t>plugin hybrid vehicle</t>
  </si>
  <si>
    <t>Fuel Consumption (trillion Btu)</t>
  </si>
  <si>
    <t>- -</t>
  </si>
  <si>
    <t>Total World</t>
  </si>
  <si>
    <t>Seat Miles Demanded (billion miles)</t>
  </si>
  <si>
    <t>Travel Demand</t>
  </si>
  <si>
    <t>Driver Variables</t>
  </si>
  <si>
    <t>Load Factor (fraction of seats filled)</t>
  </si>
  <si>
    <t>Fuel Cost (1987 dollars per million Btu)</t>
  </si>
  <si>
    <t>Aircraft Cargo Stock</t>
  </si>
  <si>
    <t>Aircraft Parked Stock</t>
  </si>
  <si>
    <t>Aircraft Active Stock</t>
  </si>
  <si>
    <t>Aircraft Stock</t>
  </si>
  <si>
    <t>share of active aircraft that are passenger aircraft</t>
  </si>
  <si>
    <t>share of active aircraft that are cargo aircraft</t>
  </si>
  <si>
    <t>Aircraft shares by cargo type</t>
  </si>
  <si>
    <t>aircraft</t>
  </si>
  <si>
    <t>EIA</t>
  </si>
  <si>
    <t>https://www.eia.gov/outlooks/aeo/tables_ref.cfm</t>
  </si>
  <si>
    <t>HDVs</t>
  </si>
  <si>
    <t>freight ships</t>
  </si>
  <si>
    <t>Freight ship efficiency (for domestic shipping) is available directly from AEO 7.  We</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</si>
  <si>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</si>
  <si>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</si>
  <si>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</si>
  <si>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</si>
  <si>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</si>
  <si>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</si>
  <si>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</si>
  <si>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</si>
  <si>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</si>
  <si>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</si>
  <si>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</si>
  <si>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</si>
  <si>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</si>
  <si>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</si>
  <si>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</si>
  <si>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</si>
  <si>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U.S. Coast Guard</t>
  </si>
  <si>
    <t>National Recreational Boating Survey 2012</t>
  </si>
  <si>
    <t>http://www.uscgboating.org/library/recreational-boating-servey/2012survey%20report.pdf</t>
  </si>
  <si>
    <t>Page 63, Table 40</t>
  </si>
  <si>
    <t>Sources: AEO 7, AEO 48, AEO 49</t>
  </si>
  <si>
    <t>See Notes section for which vehicle types use which sources</t>
  </si>
  <si>
    <t>freight rail</t>
  </si>
  <si>
    <t>passenger rail</t>
  </si>
  <si>
    <r>
      <t>1985: Amtrak,</t>
    </r>
    <r>
      <rPr>
        <i/>
        <sz val="9"/>
        <rFont val="Arial"/>
        <family val="2"/>
      </rPr>
      <t xml:space="preserve"> Amtrak FY95 Annual Report </t>
    </r>
    <r>
      <rPr>
        <sz val="9"/>
        <rFont val="Arial"/>
        <family val="2"/>
      </rPr>
      <t xml:space="preserve">(Washington, DC: 1996), Statistical Appendix, page 4. </t>
    </r>
  </si>
  <si>
    <r>
      <t xml:space="preserve">1960-80: Association of American Railroads, </t>
    </r>
    <r>
      <rPr>
        <i/>
        <sz val="9"/>
        <rFont val="Arial"/>
        <family val="2"/>
      </rPr>
      <t>Railroad Facts</t>
    </r>
    <r>
      <rPr>
        <sz val="9"/>
        <rFont val="Arial"/>
        <family val="2"/>
      </rPr>
      <t xml:space="preserve"> (Washington, DC: Annual Issues).</t>
    </r>
  </si>
  <si>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</si>
  <si>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t>All other data:</t>
  </si>
  <si>
    <t>1993-95: American Public Transit Association, personal communication, Aug. 13, 2001.</t>
  </si>
  <si>
    <t>1992: American Public Transit Association, personal communication, July 19, 2000.</t>
  </si>
  <si>
    <t>Ferryboat:</t>
  </si>
  <si>
    <t>Transit:</t>
  </si>
  <si>
    <t>Highway:</t>
  </si>
  <si>
    <r>
      <t xml:space="preserve">1960: Civil Aeronautics Board, </t>
    </r>
    <r>
      <rPr>
        <i/>
        <sz val="9"/>
        <rFont val="Arial"/>
        <family val="2"/>
      </rPr>
      <t xml:space="preserve">Handbook of Airline Statistics, 1969 </t>
    </r>
    <r>
      <rPr>
        <sz val="9"/>
        <rFont val="Arial"/>
        <family val="2"/>
      </rPr>
      <t>(Washington, DC: 1970), part III, table 2.</t>
    </r>
  </si>
  <si>
    <t>Air:</t>
  </si>
  <si>
    <t>SOURCES</t>
  </si>
  <si>
    <t>Numbers may not add to totals due to rounding.</t>
  </si>
  <si>
    <r>
      <t xml:space="preserve">Transit </t>
    </r>
    <r>
      <rPr>
        <sz val="9"/>
        <rFont val="Arial"/>
        <family val="2"/>
      </rPr>
      <t>data from 1996 and after are not comparable to the data for earlier years or to the data published in previous editions of the report due to different data sources used.</t>
    </r>
  </si>
  <si>
    <t>The FHWA estimates national trends by using State reported Highway Performance and Monitoring System (HPMS) data, fuel consumption data, vehicle registration data, other data such as the R. L. Polk vehicle data, and a host of modeling techniques.</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</si>
  <si>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</si>
  <si>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t>NOTES</t>
  </si>
  <si>
    <t>U</t>
  </si>
  <si>
    <t>Commuter rail</t>
  </si>
  <si>
    <t>Rail</t>
  </si>
  <si>
    <t>Heavy rail</t>
  </si>
  <si>
    <t>Truck, combination</t>
  </si>
  <si>
    <t>N</t>
  </si>
  <si>
    <t>Highway, total</t>
  </si>
  <si>
    <t>Air</t>
  </si>
  <si>
    <t xml:space="preserve">Table 1-40:  U.S. Passenger-Miles (Millions) </t>
  </si>
  <si>
    <t>Bureau of Transportation Statistics</t>
  </si>
  <si>
    <t>National Transportation Statistics</t>
  </si>
  <si>
    <t>Table 1-40</t>
  </si>
  <si>
    <t>passenger motorbikes</t>
  </si>
  <si>
    <t>freight motorbikes</t>
  </si>
  <si>
    <t>This vehicle type is not used in the U.S. model.</t>
  </si>
  <si>
    <t>Total</t>
  </si>
  <si>
    <t>Energy Use by Type</t>
  </si>
  <si>
    <t>Total Consumption</t>
  </si>
  <si>
    <t>passenger LDVs</t>
  </si>
  <si>
    <t>freight LDVs</t>
  </si>
  <si>
    <t>passenger HDVs</t>
  </si>
  <si>
    <t>freight HDVs</t>
  </si>
  <si>
    <t>Perc Reduction in Fuel Use for Electricity</t>
  </si>
  <si>
    <t>Perc of Electricity Use for Plug-In Hybrid Vehicles</t>
  </si>
  <si>
    <t>electricity share</t>
  </si>
  <si>
    <t>LDVs and motorbikes</t>
  </si>
  <si>
    <t>For sources and calculations, see the variable AVLo.</t>
  </si>
  <si>
    <t>BTU per Gallon Liquid Fuels</t>
  </si>
  <si>
    <t>gasoline</t>
  </si>
  <si>
    <t>diesel</t>
  </si>
  <si>
    <t>https://www.eia.gov/energyexplained/index.cfm/index.cfm?page=about_energy_units</t>
  </si>
  <si>
    <t>Source:</t>
  </si>
  <si>
    <t>Energy Explained: Units and Calculators</t>
  </si>
  <si>
    <t>Vehicle Loadings (in people or freight tons / vehicle)</t>
  </si>
  <si>
    <t>International Shipping</t>
  </si>
  <si>
    <t>Domestic Shipping</t>
  </si>
  <si>
    <t>Railroads</t>
  </si>
  <si>
    <t>New Trucks by Size Class</t>
  </si>
  <si>
    <t>Freight Truck Stock by Size Class</t>
  </si>
  <si>
    <t>Others as noted on "Calculations Etc" tab</t>
  </si>
  <si>
    <t>SYFAFE Start Year Fleet Avg Fuel Economy</t>
  </si>
  <si>
    <t>LDVs</t>
  </si>
  <si>
    <t>rail</t>
  </si>
  <si>
    <t>ships</t>
  </si>
  <si>
    <t>motorbikes</t>
  </si>
  <si>
    <t>Freight rail efficiency is available directly from AEO 7.</t>
  </si>
  <si>
    <t>Sources: AEO 7</t>
  </si>
  <si>
    <t>use this value to represent all freight shipping.</t>
  </si>
  <si>
    <t>This sheet implements adjustments that are determined during the model calibration phase, which</t>
  </si>
  <si>
    <t>may be necessary to avoid situations where the weighted contribution of a given type/technology</t>
  </si>
  <si>
    <t>of vehicles to the fleet average fuel economy "runs out" (is depleted) before the corresponding type</t>
  </si>
  <si>
    <t>of vehicle is fully retired.  Although input data from an external source (like EIA) will typically be</t>
  </si>
  <si>
    <t>in the right ballpark or even very close, it is unlikely that it is exactly in sync with the data for other</t>
  </si>
  <si>
    <t>variables that play into this calculation in the EPS, such as vehicle loading levels and annual average</t>
  </si>
  <si>
    <t>distance traveled.  These calibration factors allow us to line up the input data for start year fuel</t>
  </si>
  <si>
    <t>economy with the other input data in the model.</t>
  </si>
  <si>
    <t>Passenger Vehicles</t>
  </si>
  <si>
    <t>Freight Vehicles</t>
  </si>
  <si>
    <t>This is typically only a significant issue in scenarios where a given vehicle type/technology is</t>
  </si>
  <si>
    <t>fully depleted during the model run.  For example, if you implement an EV minimum required</t>
  </si>
  <si>
    <t>sales percentage of 100% and use plcy-schd/FoPITY to scale it in by year 2030, then you encounter</t>
  </si>
  <si>
    <t>a mismatch in the years when "Retiring Vehicles" and "Weighted Contribution of Retiring Vehicles</t>
  </si>
  <si>
    <t>Calibration Adjustments</t>
  </si>
  <si>
    <t>This variable may need calibration after all other data are in place.  See the notes on the</t>
  </si>
  <si>
    <t>"Calibration Adjustments" tab for what conditions might highlight the need for</t>
  </si>
  <si>
    <t>calibration and how to perform it.</t>
  </si>
  <si>
    <t>can adjust the calibration factors on this tab to eliminate the mismatch.</t>
  </si>
  <si>
    <t>to Fleet Avg Fuel Economy" for gasoline passenger LDVs reach zero (in the 2040-2043 range).  You</t>
  </si>
  <si>
    <t>For sources and calculations, see the variable trans/PTFURfE.</t>
  </si>
  <si>
    <t>For source, see the variable trans/BPoEFUbVT.</t>
  </si>
  <si>
    <t>TKI000:buspassmiles</t>
  </si>
  <si>
    <t xml:space="preserve">   Bus Transportation</t>
  </si>
  <si>
    <t>TKI000:railpassmiles</t>
  </si>
  <si>
    <t xml:space="preserve">   Passenger Rail</t>
  </si>
  <si>
    <t xml:space="preserve"> (billion passenger miles traveled)</t>
  </si>
  <si>
    <t xml:space="preserve">    Pipeline Fuel</t>
  </si>
  <si>
    <t>Average Dist Traveled by vehicle</t>
  </si>
  <si>
    <t>Number of Vehicles</t>
  </si>
  <si>
    <t>Passenger Rail Passenger Miles</t>
  </si>
  <si>
    <t>LPG vehicle</t>
  </si>
  <si>
    <t>hydrogen vehicle</t>
  </si>
  <si>
    <t>Hydrogen vs. Gasoline Efficiency</t>
  </si>
  <si>
    <t>gasoline car efficiency</t>
  </si>
  <si>
    <t>hydrogen FCV efficiency</t>
  </si>
  <si>
    <t>distance multiplier for hydrogen vehicles</t>
  </si>
  <si>
    <t>See "About" tab for full bibliographic details.</t>
  </si>
  <si>
    <t>Propane (LPG) vs. Gasoline Efficiency</t>
  </si>
  <si>
    <t>reduction in efficiency for propane</t>
  </si>
  <si>
    <t>distance multiplier for propane vehicles</t>
  </si>
  <si>
    <t>https://www.sustainablebusinesstoolkit.com/lpg-vs-petrol-vehicles/</t>
  </si>
  <si>
    <t>https://afdc.energy.gov/vehicles/propane.html</t>
  </si>
  <si>
    <t>This variable gives fleet-wide fuel economy in units of cargo distance per BTU.</t>
  </si>
  <si>
    <t>Fuel Economy (passenger*miles/BTU)</t>
  </si>
  <si>
    <t>Fuel Economy (freight ton*miles/BTU)</t>
  </si>
  <si>
    <t>U.S. Department of Energy</t>
  </si>
  <si>
    <t>Fuel Cells Fact Sheet</t>
  </si>
  <si>
    <t>https://www.energy.gov/sites/prod/files/2015/11/f27/fcto_fuel_cells_fact_sheet.pdf</t>
  </si>
  <si>
    <t>For sources and calculations, see the variables BAADTbVT and SYVbT</t>
  </si>
  <si>
    <t>Light-Duty Vehicle</t>
  </si>
  <si>
    <t>Air Transportation</t>
  </si>
  <si>
    <t>Military Use</t>
  </si>
  <si>
    <t>Bus Transportation</t>
  </si>
  <si>
    <t>Rail Transportation</t>
  </si>
  <si>
    <t>Recreational Boats</t>
  </si>
  <si>
    <t>Lubricants</t>
  </si>
  <si>
    <t>Pipeline Fuel Natural Gas</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</si>
  <si>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</si>
  <si>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</si>
  <si>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</si>
  <si>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</si>
  <si>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</si>
  <si>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</si>
  <si>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</si>
  <si>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</si>
  <si>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</si>
  <si>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Efficiency electric</t>
  </si>
  <si>
    <t>Efficiency diesel</t>
  </si>
  <si>
    <t>Source: See trans/BNVFE</t>
  </si>
  <si>
    <t>We divide the passenger-miles for each technology by the energy demand for the respective technologies.</t>
  </si>
  <si>
    <t>Sources: AEO 7, 36, and others as noted on "Calculations Etc" tab</t>
  </si>
  <si>
    <t>Energy demand by fuel type is available from AEO 36. We adjust the energy demand for diesel and electricity by an efficiency factor for electric rail</t>
  </si>
  <si>
    <t>technologies to find the share of travel demand from each vehicle technology, then apply those shares to the passenger-miles reported in AEO 7.</t>
  </si>
  <si>
    <t>Total Fleet Vehicles</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</si>
  <si>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</si>
  <si>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</si>
  <si>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</si>
  <si>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</si>
  <si>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</si>
  <si>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</si>
  <si>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</si>
  <si>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</si>
  <si>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</si>
  <si>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</si>
  <si>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</si>
  <si>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</si>
  <si>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</si>
  <si>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</si>
  <si>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</si>
  <si>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</si>
  <si>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</si>
  <si>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</si>
  <si>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</si>
  <si>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</si>
  <si>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</si>
  <si>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</si>
  <si>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</si>
  <si>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</si>
  <si>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</si>
  <si>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</si>
  <si>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</si>
  <si>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</si>
  <si>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</si>
  <si>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</si>
  <si>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Table 35.  Transportation Sector Energy Use by Mode and Type</t>
  </si>
  <si>
    <t>Highway</t>
  </si>
  <si>
    <t>Light-Duty Vehicles</t>
  </si>
  <si>
    <t>Automobiles</t>
  </si>
  <si>
    <t>Light Trucks</t>
  </si>
  <si>
    <t>Motorcycles</t>
  </si>
  <si>
    <t>Buses</t>
  </si>
  <si>
    <t>Transit</t>
  </si>
  <si>
    <t>Intercity</t>
  </si>
  <si>
    <t>School</t>
  </si>
  <si>
    <t>Light Medium</t>
  </si>
  <si>
    <t>Medium</t>
  </si>
  <si>
    <t>Non-Highway</t>
  </si>
  <si>
    <t>General Aviation</t>
  </si>
  <si>
    <t>Water</t>
  </si>
  <si>
    <t>Freight</t>
  </si>
  <si>
    <t>Passenger</t>
  </si>
  <si>
    <t>Commuter</t>
  </si>
  <si>
    <t>Jet Fuel (kerosene &amp; naphtha)</t>
  </si>
  <si>
    <t>Petroleum and Other Liquids Subtotal</t>
  </si>
  <si>
    <t>api key</t>
  </si>
  <si>
    <t>units</t>
  </si>
  <si>
    <t>Growth (2019-2050)</t>
  </si>
  <si>
    <t>trillion Btu</t>
  </si>
  <si>
    <t>Table 43.  Transportation Fleet Car and Truck Fuel Consumption by Type and Technology</t>
  </si>
  <si>
    <t>Cars</t>
  </si>
  <si>
    <t>Conventional Cars</t>
  </si>
  <si>
    <t>Gasoline ICE Vehicles</t>
  </si>
  <si>
    <t>TDI Diesel ICE</t>
  </si>
  <si>
    <t>Total Conventional Cars</t>
  </si>
  <si>
    <t>Alternative-Fuel Cars</t>
  </si>
  <si>
    <t>Ethanol-Flex Fuel ICE</t>
  </si>
  <si>
    <t>Electric-Diesel Hybrid</t>
  </si>
  <si>
    <t>Electric-Gasoline Hybrid</t>
  </si>
  <si>
    <t>Natural Gas ICE</t>
  </si>
  <si>
    <t>Natural Gas Bi-fuel</t>
  </si>
  <si>
    <t>Propane ICE</t>
  </si>
  <si>
    <t>Propane Bi-fuel</t>
  </si>
  <si>
    <t>Fuel Cell Methanol</t>
  </si>
  <si>
    <t>Fuel Cell Hydrogen</t>
  </si>
  <si>
    <t>Total Alternative Cars</t>
  </si>
  <si>
    <t>Total Car Consumption</t>
  </si>
  <si>
    <t>Conventional Light Trucks</t>
  </si>
  <si>
    <t>Total Conventional Light Trucks</t>
  </si>
  <si>
    <t>Alternative-Fuel Light Trucks</t>
  </si>
  <si>
    <t>Total Alternative Light Trucks</t>
  </si>
  <si>
    <t>Total Light Truck Consumption</t>
  </si>
  <si>
    <t>Ethanol-Flex Fuel</t>
  </si>
  <si>
    <t>Electric</t>
  </si>
  <si>
    <t>Plug-in Gasoline Hybrid</t>
  </si>
  <si>
    <t>Plug-in Diesel Hybrid</t>
  </si>
  <si>
    <t>Fuel Cell</t>
  </si>
  <si>
    <t>Total Commercial Light Trucks</t>
  </si>
  <si>
    <t>Table 46.  Transportation Fleet Car and Truck Vehicle Miles Traveled by Type and Technology</t>
  </si>
  <si>
    <t>Total Cars</t>
  </si>
  <si>
    <t>Total Light Trucks</t>
  </si>
  <si>
    <t>billion miles</t>
  </si>
  <si>
    <t>Table 49.  Freight Transportation Energy Use</t>
  </si>
  <si>
    <t>Vehicle Miles Traveled (billion miles)</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</si>
  <si>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</si>
  <si>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</si>
  <si>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</si>
  <si>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</si>
  <si>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</si>
  <si>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</si>
  <si>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</si>
  <si>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</si>
  <si>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</si>
  <si>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</si>
  <si>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</si>
  <si>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</si>
  <si>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</si>
  <si>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</si>
  <si>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</si>
  <si>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</si>
  <si>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</si>
  <si>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</si>
  <si>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Ton Miles Shipping (billion)</t>
  </si>
  <si>
    <t>Gross Trade (billion 2012 dollars)</t>
  </si>
  <si>
    <t>Exports (billion 2012 dollars)</t>
  </si>
  <si>
    <t>Imports (billion 2012 dollars)</t>
  </si>
  <si>
    <t xml:space="preserve"> and Heavy Total</t>
  </si>
  <si>
    <t>mpg diesel equiv</t>
  </si>
  <si>
    <t>mpg gas equiv</t>
  </si>
  <si>
    <t>mpg</t>
  </si>
  <si>
    <t>millions</t>
  </si>
  <si>
    <t>thousands</t>
  </si>
  <si>
    <t>billions</t>
  </si>
  <si>
    <t>ton miles/thousand B</t>
  </si>
  <si>
    <t>billion 2012 $</t>
  </si>
  <si>
    <t>Table 47.  Air Travel Energy Use</t>
  </si>
  <si>
    <t>Domestic</t>
  </si>
  <si>
    <t>International</t>
  </si>
  <si>
    <t>U.S. Domestic</t>
  </si>
  <si>
    <t>U.S. International</t>
  </si>
  <si>
    <t>Population (millions)</t>
  </si>
  <si>
    <t>United States</t>
  </si>
  <si>
    <t>Canada</t>
  </si>
  <si>
    <t>Central America</t>
  </si>
  <si>
    <t>South America</t>
  </si>
  <si>
    <t>Europe</t>
  </si>
  <si>
    <t>Africa</t>
  </si>
  <si>
    <t>Mideast</t>
  </si>
  <si>
    <t>Commonwealth of Independent States</t>
  </si>
  <si>
    <t>China</t>
  </si>
  <si>
    <t>Northeast Asia</t>
  </si>
  <si>
    <t>Southeast Asia</t>
  </si>
  <si>
    <t>Southwest Asia</t>
  </si>
  <si>
    <t>Oceania</t>
  </si>
  <si>
    <t>Revenue Passenger Miles (billion miles)</t>
  </si>
  <si>
    <t>Freight Revenue Ton Miles (billion miles)</t>
  </si>
  <si>
    <t>Narrow Body Aircraft</t>
  </si>
  <si>
    <t>Wide Body Aircraft</t>
  </si>
  <si>
    <t>Regional Jets</t>
  </si>
  <si>
    <t>Aircraft Efficiency (seat miles per gallon)</t>
  </si>
  <si>
    <t>New Aircraft</t>
  </si>
  <si>
    <t>Average Aircraft</t>
  </si>
  <si>
    <t>Commercial Jet Fuel</t>
  </si>
  <si>
    <t>Commercial Aviation Gasoline</t>
  </si>
  <si>
    <t xml:space="preserve"> U.S.</t>
  </si>
  <si>
    <t>Military Jet Fuel</t>
  </si>
  <si>
    <t>1987 $/MMBtu</t>
  </si>
  <si>
    <t>fraction</t>
  </si>
  <si>
    <t>seat mpg</t>
  </si>
  <si>
    <t>Table 48.  Aircraft Stock</t>
  </si>
  <si>
    <t>https://www.bts.gov/content/us-passenger-miles</t>
  </si>
  <si>
    <t>U.S. air carrier, certificated, domestic, all services</t>
  </si>
  <si>
    <t>General aviation</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</si>
  <si>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</si>
  <si>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</si>
  <si>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</si>
  <si>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</si>
  <si>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</si>
  <si>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</si>
  <si>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</si>
  <si>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</si>
  <si>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</si>
  <si>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r>
      <t>Trolley bus</t>
    </r>
    <r>
      <rPr>
        <vertAlign val="superscript"/>
        <sz val="11"/>
        <rFont val="Arial Narrow"/>
        <family val="2"/>
      </rPr>
      <t>c</t>
    </r>
  </si>
  <si>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</si>
  <si>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</si>
  <si>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</si>
  <si>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</si>
  <si>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</si>
  <si>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</si>
  <si>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KEY:</t>
    </r>
    <r>
      <rPr>
        <sz val="9"/>
        <rFont val="Arial"/>
        <family val="2"/>
      </rPr>
      <t xml:space="preserve"> N = data do not exist; U = data are not available.</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</si>
  <si>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</si>
  <si>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</si>
  <si>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</si>
  <si>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</si>
  <si>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</si>
  <si>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</si>
  <si>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</si>
  <si>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</si>
  <si>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</si>
  <si>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</si>
  <si>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</si>
  <si>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</si>
  <si>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</si>
  <si>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</si>
  <si>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</si>
  <si>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This edition of table 1-40 is not comparable to previous versions of this table.</t>
  </si>
  <si>
    <t>All data except General aviation:</t>
  </si>
  <si>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</si>
  <si>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</si>
  <si>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r>
      <t xml:space="preserve">1990-2019: U.S. Department of Transportation, Bureau of Transportation Statistics, Office of Airline Information,  </t>
    </r>
    <r>
      <rPr>
        <i/>
        <sz val="9"/>
        <rFont val="Arial"/>
        <family val="2"/>
      </rPr>
      <t>Air Carrier Statistics T-100</t>
    </r>
    <r>
      <rPr>
        <sz val="9"/>
        <rFont val="Arial"/>
        <family val="2"/>
      </rPr>
      <t>, available at https://transtats.bts.gov/ as of Jan. 8, 2021.</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</si>
  <si>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</si>
  <si>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</si>
  <si>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t>Bus:</t>
  </si>
  <si>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</si>
  <si>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 minus transit bus categories (Motor bus, Trolley bus, and Demand response).</t>
    </r>
  </si>
  <si>
    <r>
      <t xml:space="preserve">1960-93: U.S. Department of Transportation, Federal Highway Administration, </t>
    </r>
    <r>
      <rPr>
        <i/>
        <sz val="9"/>
        <rFont val="Arial"/>
        <family val="2"/>
      </rPr>
      <t>Highway Statistics Summary to 1995</t>
    </r>
    <r>
      <rPr>
        <sz val="9"/>
        <rFont val="Arial"/>
        <family val="2"/>
      </rPr>
      <t xml:space="preserve">, table VM-201A. </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</si>
  <si>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t>
    </r>
  </si>
  <si>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</si>
  <si>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Jan. 8, 2021.</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</si>
  <si>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</si>
  <si>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Jan. 8, 2021.</t>
    </r>
  </si>
  <si>
    <t>Intercity / Amtrak:</t>
  </si>
  <si>
    <r>
      <t xml:space="preserve">1990-2000: Amtrak, </t>
    </r>
    <r>
      <rPr>
        <i/>
        <sz val="9"/>
        <rFont val="Arial"/>
        <family val="2"/>
      </rPr>
      <t xml:space="preserve">Amtrak Annual Report </t>
    </r>
    <r>
      <rPr>
        <sz val="9"/>
        <rFont val="Arial"/>
        <family val="2"/>
      </rPr>
      <t>(Washington, DC: Annual Issues), Statistical Appendix.</t>
    </r>
  </si>
  <si>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</si>
  <si>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</si>
  <si>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</si>
  <si>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We sum vehicle distance traveled by technology, divide by energy consumption of that technology, and multiply by the vehicle loading values used in the</t>
  </si>
  <si>
    <t>EPS to convert from miles/BTU to thing-miles/BTU. The AEO shows 0 energy consumption by battery electric and plug-in hybrid commercial freight</t>
  </si>
  <si>
    <t>trucks in 2019. Therefore, we use 2020 data for those two technologies.</t>
  </si>
  <si>
    <t>Tables 7, 25, 36, 37, 38, 40, 41, 43, 46, 47, 48, 49</t>
  </si>
  <si>
    <t>passenger LDVs, freight LDVs and HDVs</t>
  </si>
  <si>
    <t>Vehicle distance traveled and energy consumption by vehicle technology is available for passenger LDVs, commercial light trucks and HDVs.</t>
  </si>
  <si>
    <t>Sources: AEO 37, 41, 43, 36, 49</t>
  </si>
  <si>
    <t>Annual Distance (miles/vehicle)</t>
  </si>
  <si>
    <t>passenger aircraft</t>
  </si>
  <si>
    <t>freight aircraft</t>
  </si>
  <si>
    <t>We classify AEO's light commercial trucks category as well as light-medium and medium duty vehicles</t>
  </si>
  <si>
    <t>in "freight LDVs" and heavy duty vehicles in "freight HDVs."</t>
  </si>
  <si>
    <t>constant average distance traveled across technologies. To ensure energy consumption is calculated correctly, we therefore divide cargo distance in the EPS</t>
  </si>
  <si>
    <t>(BAADTbVT * AVLo * SYVbT) by energy consumption from AEO to find fuel economy.</t>
  </si>
  <si>
    <t>other vehicle types</t>
  </si>
  <si>
    <t>Although vehicle distance traveled is available for some of these vehicle types in the AEO, vehicle distance travled varies by technology type, and the EPS assigns a</t>
  </si>
  <si>
    <t>Sources: EPS files BAADTbVT, AVLo, SYVbT, AEO 7 and 36, and other sources as noted in Calcualtions tab</t>
  </si>
  <si>
    <t>Compound</t>
  </si>
  <si>
    <t xml:space="preserve"> Growth </t>
  </si>
  <si>
    <t xml:space="preserve">2020-2050 </t>
  </si>
  <si>
    <t>(percent)</t>
  </si>
  <si>
    <t>2/ CAFE standard based on projected new vehicle sales.</t>
  </si>
  <si>
    <t>3/ Includes CAFE credits for alternative fueled vehicle sales and credit banking.</t>
  </si>
  <si>
    <t>5/ Tested new vehicle efficiency revised for on-road performance.</t>
  </si>
  <si>
    <t>6/ Combined "on-the-road" estimate for all cars and light trucks.</t>
  </si>
  <si>
    <t>CAFE = Corporate average fuel economy.</t>
  </si>
  <si>
    <t>Btu = British thermal unit.</t>
  </si>
  <si>
    <t>Note:  Totals may not equal sum of components due to independent rounding.</t>
  </si>
  <si>
    <t>Growth (2020-2050)</t>
  </si>
  <si>
    <t>Domestic Passenger</t>
  </si>
  <si>
    <t>International Passenger</t>
  </si>
  <si>
    <t>Dedicated Freight</t>
  </si>
  <si>
    <t>Table 37.  Light-Duty Vehicle Energy Consumption by Technology Type and Fuel Type</t>
  </si>
  <si>
    <t>VMT000</t>
  </si>
  <si>
    <t>41. Light-Duty Vehicle Miles Traveled by Technology Type</t>
  </si>
  <si>
    <t>(billion miles, unless otherwise noted)</t>
  </si>
  <si>
    <t xml:space="preserve"> Technology Type</t>
  </si>
  <si>
    <t>Conventional Vehicles 1/</t>
  </si>
  <si>
    <t>VMT000:aa_GasolineICEVe</t>
  </si>
  <si>
    <t xml:space="preserve">  Gasoline ICE Vehicles</t>
  </si>
  <si>
    <t>VMT000:aa_TDIDieselICE</t>
  </si>
  <si>
    <t xml:space="preserve">  TDI Diesel ICE</t>
  </si>
  <si>
    <t>Alternative-Fuel Vehicles 1/</t>
  </si>
  <si>
    <t>VMT000:ba_Ethanol-FlexF</t>
  </si>
  <si>
    <t xml:space="preserve">  Ethanol-Flex Fuel ICE</t>
  </si>
  <si>
    <t>VMT000:ba_100mileEV</t>
  </si>
  <si>
    <t>VMT000:da_ElectricVehic</t>
  </si>
  <si>
    <t>VMT000:ba_FuelCellGas</t>
  </si>
  <si>
    <t>VMT000:da_PlugIn10</t>
  </si>
  <si>
    <t>VMT000:ba_PlugIn40</t>
  </si>
  <si>
    <t>VMT000:ca_ElectricDiesl</t>
  </si>
  <si>
    <t xml:space="preserve">  Electric-Diesel Hybrid</t>
  </si>
  <si>
    <t>--</t>
  </si>
  <si>
    <t>VMT000:ca_ElectricGaso</t>
  </si>
  <si>
    <t xml:space="preserve">  Electric-Gasoline Hybrid</t>
  </si>
  <si>
    <t>VMT000:ba_CompressedICE</t>
  </si>
  <si>
    <t xml:space="preserve">  Natural Gas ICE</t>
  </si>
  <si>
    <t>VMT000:ca_CompressedBi-</t>
  </si>
  <si>
    <t xml:space="preserve">  Natural Gas Bi-fuel</t>
  </si>
  <si>
    <t>VMT000:ca_LiquefiedPetr</t>
  </si>
  <si>
    <t xml:space="preserve">  Propane ICE</t>
  </si>
  <si>
    <t>VMT000:da_LiquefiedPetr</t>
  </si>
  <si>
    <t xml:space="preserve">  Propane Bi-fuel</t>
  </si>
  <si>
    <t>VMT000:da_FuelCellMeth</t>
  </si>
  <si>
    <t xml:space="preserve">  Fuel Cell Methanol</t>
  </si>
  <si>
    <t>VMT000:da_FuelCellHydro</t>
  </si>
  <si>
    <t xml:space="preserve">  Fuel Cell Hydrogen</t>
  </si>
  <si>
    <t>VMT Equation Components</t>
  </si>
  <si>
    <t>VMT000:ea_TotalVMT(bill</t>
  </si>
  <si>
    <t xml:space="preserve">  Total VMT (billion miles)</t>
  </si>
  <si>
    <t>VMT000:ea_VMT/DrivingPo</t>
  </si>
  <si>
    <t xml:space="preserve">  VMT/Licensed Driver (thousand miles)</t>
  </si>
  <si>
    <t>VMT000:ea_DrivingPopula</t>
  </si>
  <si>
    <t xml:space="preserve">  Licensed Drivers (million)</t>
  </si>
  <si>
    <t>Price Effects</t>
  </si>
  <si>
    <t>VMT000:fa_MotorGasoline</t>
  </si>
  <si>
    <t xml:space="preserve">  Motor Gasoline Price (1987 $/million Btu)</t>
  </si>
  <si>
    <t>VMT000:fa_FleetMilesper</t>
  </si>
  <si>
    <t xml:space="preserve">  Household Stock Miles per Gallon</t>
  </si>
  <si>
    <t>VMT000:fa_RealCostofDri</t>
  </si>
  <si>
    <t xml:space="preserve">  Real Cost of Driving per Mile (1987 cents)</t>
  </si>
  <si>
    <t>VMT000:fa_PointPriceEla</t>
  </si>
  <si>
    <t xml:space="preserve">  Licensing Rate</t>
  </si>
  <si>
    <t>1/ Includes personal and fleet vehicles.  Includes both cars and light trucks.</t>
  </si>
  <si>
    <t>VMT = Vehicle miles traveled.</t>
  </si>
  <si>
    <t>ICE = Internal combustion engine.</t>
  </si>
  <si>
    <t>Btu = British thermal units.</t>
  </si>
  <si>
    <t>- - = Not applicable.</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</si>
  <si>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</si>
  <si>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</si>
  <si>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j Includes emissions from rail electricity.</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</si>
  <si>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</si>
  <si>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</si>
  <si>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g Pipelines reflect CO2 emissions from natural gas-powered pipelines transporting natural gas.</t>
  </si>
  <si>
    <t xml:space="preserve">f Commercial aircraft, as modeled in FAA’s Aviation Environmental Design Tool (AEDT), consists of passenger aircraft, cargo, and other chartered flights. </t>
  </si>
  <si>
    <t>e Official estimates exclude emissions from the combustion of both aviation and marine international bunker fuels; however, estimates of international bunker fuel-related emissions are presented for informational purposes.</t>
  </si>
  <si>
    <t>d Note that large year over year fluctuations in emission estimates partially reflect nature of data collection for these sources.</t>
  </si>
  <si>
    <t>c In 2014, EPA incorporated the NONROAD2008 model into the MOVES model framework. The current Inventory uses the Nonroad component of MOVES3 for years 1999 through 2021. See Annex 3.2 for information about the MOVES model.</t>
  </si>
  <si>
    <t>b Includes medium- and heavy-duty trucks over 8,500 lbs.</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</si>
  <si>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</si>
  <si>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 Does not exceed 0.05 MMT CO2 Eq.</t>
  </si>
  <si>
    <t>Biofuels-Biodieselh</t>
  </si>
  <si>
    <t>Biofuels-Ethanolh</t>
  </si>
  <si>
    <t>International Bunker Fuels</t>
  </si>
  <si>
    <t>Total e,j</t>
  </si>
  <si>
    <t>Light-Duty Trucks</t>
  </si>
  <si>
    <t>Passenger Cars</t>
  </si>
  <si>
    <t>Electricityk</t>
  </si>
  <si>
    <t>Medium- and Heavy-Duty Trucksb</t>
  </si>
  <si>
    <t>LPG i</t>
  </si>
  <si>
    <t>Pipelineg</t>
  </si>
  <si>
    <t>Medium- and Heavy-Duty Trucks</t>
  </si>
  <si>
    <t>Natural Gas i</t>
  </si>
  <si>
    <t>International Bunker Fuelse</t>
  </si>
  <si>
    <t>Ships and Non-Recreational Boatse</t>
  </si>
  <si>
    <t>General Aviation Aircraft</t>
  </si>
  <si>
    <t xml:space="preserve">International Bunker Fuels from Commercial Aviation </t>
  </si>
  <si>
    <t>Military Aircraft</t>
  </si>
  <si>
    <t>Commercial Aircraftf</t>
  </si>
  <si>
    <t>Ships and Non-Recreational Boatsd</t>
  </si>
  <si>
    <t>Recreational Boatsc</t>
  </si>
  <si>
    <t>Distillate Fuel Oil (Diesel)a</t>
  </si>
  <si>
    <t>Gasolinea</t>
  </si>
  <si>
    <t>Fuel/Vehicle Type</t>
  </si>
  <si>
    <t>Table 3-13:  CO2 Emissions from Fossil Fuel Combustion in Transportation End-Use Sector (MMT CO2 Eq.)</t>
  </si>
  <si>
    <t>Pollutant Emissions Intensity (g pollutant/BTU)</t>
  </si>
  <si>
    <t>electricity</t>
  </si>
  <si>
    <t>natural gas</t>
  </si>
  <si>
    <t>petroleum gasoline</t>
  </si>
  <si>
    <t>petroleum diesel</t>
  </si>
  <si>
    <t>biofuel gasoline</t>
  </si>
  <si>
    <t>biofuel diesel</t>
  </si>
  <si>
    <t>jet fuel</t>
  </si>
  <si>
    <t>heavy or residual fuel oil</t>
  </si>
  <si>
    <t>LPG propane or butane</t>
  </si>
  <si>
    <t>hydrogen</t>
  </si>
  <si>
    <t>CO2</t>
  </si>
  <si>
    <t>VOC</t>
  </si>
  <si>
    <t>CO</t>
  </si>
  <si>
    <t>NOx</t>
  </si>
  <si>
    <t>PM10</t>
  </si>
  <si>
    <t>PM25</t>
  </si>
  <si>
    <t>SOx</t>
  </si>
  <si>
    <t>BC</t>
  </si>
  <si>
    <t>OC</t>
  </si>
  <si>
    <t>CH4</t>
  </si>
  <si>
    <t>N2O</t>
  </si>
  <si>
    <t>F gases</t>
  </si>
  <si>
    <t>grams CO2</t>
  </si>
  <si>
    <t>estimated btu</t>
  </si>
  <si>
    <t>Vehicle Loading (passengers)</t>
  </si>
  <si>
    <t>Vehicle Loading (tons)</t>
  </si>
  <si>
    <t>thing*miles</t>
  </si>
  <si>
    <t>thing*miles/btu</t>
  </si>
  <si>
    <t>US EPA</t>
  </si>
  <si>
    <t>https://www.epa.gov/ghgemissions/inventory-us-greenhouse-gas-emissions-and-sinks-1990-2021</t>
  </si>
  <si>
    <t>Rail-passenger data</t>
  </si>
  <si>
    <t>National Transit Database Tables</t>
  </si>
  <si>
    <t>American Public Transportation Association</t>
  </si>
  <si>
    <t>https://www.apta.com/research-technical-resources/transit-statistics/ntd-data-tables/</t>
  </si>
  <si>
    <t>Agency</t>
  </si>
  <si>
    <t>City</t>
  </si>
  <si>
    <t>State</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</si>
  <si>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</si>
  <si>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</si>
  <si>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</si>
  <si>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</si>
  <si>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</si>
  <si>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</si>
  <si>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</si>
  <si>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</si>
  <si>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</si>
  <si>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</si>
  <si>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</si>
  <si>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</si>
  <si>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</si>
  <si>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</si>
  <si>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</si>
  <si>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</si>
  <si>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</si>
  <si>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</si>
  <si>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</si>
  <si>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</si>
  <si>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</si>
  <si>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</si>
  <si>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</si>
  <si>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</si>
  <si>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</si>
  <si>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</si>
  <si>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</si>
  <si>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</si>
  <si>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</si>
  <si>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</si>
  <si>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</si>
  <si>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</si>
  <si>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</si>
  <si>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</si>
  <si>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</si>
  <si>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</si>
  <si>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</si>
  <si>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</si>
  <si>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</si>
  <si>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</si>
  <si>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</si>
  <si>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</si>
  <si>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</si>
  <si>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</si>
  <si>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</si>
  <si>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</si>
  <si>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</si>
  <si>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</si>
  <si>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Brooklyn</t>
  </si>
  <si>
    <t>NY</t>
  </si>
  <si>
    <t>Subsidiary Unit of a Transit Agency, Reporting Separately</t>
  </si>
  <si>
    <t>Full Reporter</t>
  </si>
  <si>
    <t>HR</t>
  </si>
  <si>
    <t>DO</t>
  </si>
  <si>
    <t>No</t>
  </si>
  <si>
    <t>New Jersey Transit Corporation</t>
  </si>
  <si>
    <t>Newark</t>
  </si>
  <si>
    <t>NJ</t>
  </si>
  <si>
    <t>Other Publicly-Owned or Privately Chartered Corporation</t>
  </si>
  <si>
    <t>LR</t>
  </si>
  <si>
    <t>PT</t>
  </si>
  <si>
    <t>CR</t>
  </si>
  <si>
    <t>Los Angeles County Metropolitan Transportation Authority, dba: Metro</t>
  </si>
  <si>
    <t>Los Angeles</t>
  </si>
  <si>
    <t>CA</t>
  </si>
  <si>
    <t>Independent Public Agency or Authority of Transit Service</t>
  </si>
  <si>
    <t>Washington Metropolitan Area Transit Authority</t>
  </si>
  <si>
    <t>Washington</t>
  </si>
  <si>
    <t>DC</t>
  </si>
  <si>
    <t>Chicago Transit Authority</t>
  </si>
  <si>
    <t>Chicago</t>
  </si>
  <si>
    <t>IL</t>
  </si>
  <si>
    <t>W</t>
  </si>
  <si>
    <t>Yes</t>
  </si>
  <si>
    <t>Massachusetts Bay Transportation Authority</t>
  </si>
  <si>
    <t>Boston</t>
  </si>
  <si>
    <t>MA</t>
  </si>
  <si>
    <t>Q</t>
  </si>
  <si>
    <t>Southeastern Pennsylvania Transportation Authority</t>
  </si>
  <si>
    <t>Philadelphia</t>
  </si>
  <si>
    <t>PA</t>
  </si>
  <si>
    <t>Metropolitan Transit Authority of Harris County, Texas, dba: Metro</t>
  </si>
  <si>
    <t>Houston</t>
  </si>
  <si>
    <t>TX</t>
  </si>
  <si>
    <t>Maryland Transit Administration</t>
  </si>
  <si>
    <t>Baltimore</t>
  </si>
  <si>
    <t>MD</t>
  </si>
  <si>
    <t>State Government Unit or Department of Transportation</t>
  </si>
  <si>
    <t>County of Miami-Dade, dba: Transportation &amp; Public Work</t>
  </si>
  <si>
    <t>Miami</t>
  </si>
  <si>
    <t>FL</t>
  </si>
  <si>
    <t>City, County or Local Government Unit or Department of Transportation</t>
  </si>
  <si>
    <t>Denver Regional Transportation District</t>
  </si>
  <si>
    <t>Denver</t>
  </si>
  <si>
    <t>Metro-North Commuter Railroad Company, dba: MTA Metro-North Railroad</t>
  </si>
  <si>
    <t>New York</t>
  </si>
  <si>
    <t>Dallas Area Rapid Transit</t>
  </si>
  <si>
    <t>Dallas</t>
  </si>
  <si>
    <t>Utah Transit Authority</t>
  </si>
  <si>
    <t>Salt Lake City</t>
  </si>
  <si>
    <t>UT</t>
  </si>
  <si>
    <t>Northeast Illinois Regional Commuter Railroad Corporation, dba: Metra</t>
  </si>
  <si>
    <t>MTA Long Island Rail Road</t>
  </si>
  <si>
    <t>Jamaica</t>
  </si>
  <si>
    <t>City and County of San Francisco, dba: San Francisco Municipal Transportation Agency (MUNI)</t>
  </si>
  <si>
    <t>San Francisco</t>
  </si>
  <si>
    <t>Tri-County Metropolitan Transportation District of Oregon, dba: TriMet</t>
  </si>
  <si>
    <t>Portland</t>
  </si>
  <si>
    <t>OR</t>
  </si>
  <si>
    <t>Metropolitan Atlanta Rapid Transit Authority</t>
  </si>
  <si>
    <t>Atlanta</t>
  </si>
  <si>
    <t>GA</t>
  </si>
  <si>
    <t>Port Authority of Allegheny County</t>
  </si>
  <si>
    <t>Pittsburgh</t>
  </si>
  <si>
    <t>San Diego Metropolitan Transit System</t>
  </si>
  <si>
    <t>San Diego</t>
  </si>
  <si>
    <t>Metro Transit, dba: Metro Transit</t>
  </si>
  <si>
    <t>Minneapolis</t>
  </si>
  <si>
    <t>MN</t>
  </si>
  <si>
    <t>Santa Clara Valley Transportation Authority</t>
  </si>
  <si>
    <t>San Jose</t>
  </si>
  <si>
    <t>San Francisco Bay Area Rapid Transit District</t>
  </si>
  <si>
    <t>Oakland</t>
  </si>
  <si>
    <t>Bi-State Development Agency of the Missouri-Illinois Metropolitan District, dba: St. Louis Metro</t>
  </si>
  <si>
    <t>Saint Louis</t>
  </si>
  <si>
    <t>MO</t>
  </si>
  <si>
    <t>The Greater Cleveland Regional Transit Authority</t>
  </si>
  <si>
    <t>Cleveland</t>
  </si>
  <si>
    <t>OH</t>
  </si>
  <si>
    <t>Transportation District Commission of Hampton Roads, dba: Hampton Roads Transit</t>
  </si>
  <si>
    <t>Hampton</t>
  </si>
  <si>
    <t>VA</t>
  </si>
  <si>
    <t>City of Charlotte North Carolina, dba: Charlotte Area Transit System</t>
  </si>
  <si>
    <t>Charlotte</t>
  </si>
  <si>
    <t>NC</t>
  </si>
  <si>
    <t>Central Puget Sound Regional Transit Authority, dba: Sound Transit</t>
  </si>
  <si>
    <t>Seattle</t>
  </si>
  <si>
    <t>WA</t>
  </si>
  <si>
    <t>Niagara Frontier Transportation Authority</t>
  </si>
  <si>
    <t>Buffalo</t>
  </si>
  <si>
    <t>Sacramento Regional Transit District, dba: Sacramento RT</t>
  </si>
  <si>
    <t>Sacramento</t>
  </si>
  <si>
    <t>Fort Worth Transportation Authority, dba: Trinity Metro</t>
  </si>
  <si>
    <t>Fort Worth</t>
  </si>
  <si>
    <t>Port Authority Trans-Hudson Corporation</t>
  </si>
  <si>
    <t>North County Transit District</t>
  </si>
  <si>
    <t>Oceanside</t>
  </si>
  <si>
    <t>Southern California Regional Rail Authority, dba: Metrolink</t>
  </si>
  <si>
    <t>Peninsula Corridor Joint Powers Board, dba: Caltrain</t>
  </si>
  <si>
    <t>San Carlos</t>
  </si>
  <si>
    <t>Virginia Railway Express</t>
  </si>
  <si>
    <t>Alexandria</t>
  </si>
  <si>
    <t>Port Authority Transit Corporation</t>
  </si>
  <si>
    <t>Lindenwold</t>
  </si>
  <si>
    <t>Northern Indiana Commuter Transportation District</t>
  </si>
  <si>
    <t>Chesterton</t>
  </si>
  <si>
    <t>IN</t>
  </si>
  <si>
    <t>South Florida Regional Transportation Authority, dba: TRI-Rail</t>
  </si>
  <si>
    <t>Pompano Beach</t>
  </si>
  <si>
    <t>Rio Metro Regional Transit District</t>
  </si>
  <si>
    <t>Albuquerque</t>
  </si>
  <si>
    <t>NM</t>
  </si>
  <si>
    <t>Alternativa de Transporte Integrado -ATI</t>
  </si>
  <si>
    <t>San Juan</t>
  </si>
  <si>
    <t>PR</t>
  </si>
  <si>
    <t>Regional Transportation Authority</t>
  </si>
  <si>
    <t>Madison</t>
  </si>
  <si>
    <t>TN</t>
  </si>
  <si>
    <t>Staten Island Rapid Transit Operating Authority, dba: MTA Staten Island Railway</t>
  </si>
  <si>
    <t>Staten Island</t>
  </si>
  <si>
    <t>Connecticut Department of Transportation</t>
  </si>
  <si>
    <t>Newington</t>
  </si>
  <si>
    <t>CT</t>
  </si>
  <si>
    <t>Valley Metro Rail, Inc.</t>
  </si>
  <si>
    <t>Phoenix</t>
  </si>
  <si>
    <t>AZ</t>
  </si>
  <si>
    <t>Altamont Corridor Express</t>
  </si>
  <si>
    <t>Stockton</t>
  </si>
  <si>
    <t>Central Florida Commuter Rail, dba: SunRail</t>
  </si>
  <si>
    <t>Tallahassee</t>
  </si>
  <si>
    <t>Northern New England Passenger Rail Authority</t>
  </si>
  <si>
    <t>ME</t>
  </si>
  <si>
    <t>Pennsylvania Department of Transportation</t>
  </si>
  <si>
    <t>Harrisburg</t>
  </si>
  <si>
    <t>Sonoma-Marin Area Rail Transit District</t>
  </si>
  <si>
    <t>Petaluma</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</si>
  <si>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</si>
  <si>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</si>
  <si>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</si>
  <si>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</si>
  <si>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</si>
  <si>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</si>
  <si>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</si>
  <si>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</si>
  <si>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</si>
  <si>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</si>
  <si>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</si>
  <si>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</si>
  <si>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</si>
  <si>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</si>
  <si>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</si>
  <si>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</si>
  <si>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</si>
  <si>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</si>
  <si>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</si>
  <si>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 Questionable</t>
  </si>
  <si>
    <t>Gasoline Questionable</t>
  </si>
  <si>
    <t>Liquefied Petroleum Gas</t>
  </si>
  <si>
    <t>Liquefied Petroleum Gas Questionable</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</si>
  <si>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</si>
  <si>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</si>
  <si>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</si>
  <si>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</si>
  <si>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</si>
  <si>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</si>
  <si>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</si>
  <si>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</si>
  <si>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</si>
  <si>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</si>
  <si>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</si>
  <si>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</si>
  <si>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</si>
  <si>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</si>
  <si>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</si>
  <si>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</si>
  <si>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</si>
  <si>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</si>
  <si>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</si>
  <si>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</si>
  <si>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</si>
  <si>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</si>
  <si>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</si>
  <si>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btu/gallon diesel</t>
  </si>
  <si>
    <t>btu/kwh</t>
  </si>
  <si>
    <t>Rail types</t>
  </si>
  <si>
    <t>Number of Vehicles and Miles</t>
  </si>
  <si>
    <t>Vehicle Fuel Use</t>
  </si>
  <si>
    <t>subregion</t>
  </si>
  <si>
    <t>% of miles diesel</t>
  </si>
  <si>
    <t>% of miles electric</t>
  </si>
  <si>
    <t>calc AVLO</t>
  </si>
  <si>
    <t>calc BAADTVBT</t>
  </si>
  <si>
    <t>SYVBT-diesel</t>
  </si>
  <si>
    <t>SYVBT-electric</t>
  </si>
  <si>
    <t>diesel (btus)</t>
  </si>
  <si>
    <t>electric (btu)</t>
  </si>
  <si>
    <t>calc SYFAFE-diesel</t>
  </si>
  <si>
    <t>calc SYFAFE-electric</t>
  </si>
  <si>
    <t>Alabama</t>
  </si>
  <si>
    <t>AL</t>
  </si>
  <si>
    <t>subregion1</t>
  </si>
  <si>
    <t>Alaska</t>
  </si>
  <si>
    <t>AK</t>
  </si>
  <si>
    <t>subregion2</t>
  </si>
  <si>
    <t>Arizona</t>
  </si>
  <si>
    <t>subregion3</t>
  </si>
  <si>
    <t>Arkansas</t>
  </si>
  <si>
    <t>AR</t>
  </si>
  <si>
    <t>subregion4</t>
  </si>
  <si>
    <t>California</t>
  </si>
  <si>
    <t>subregion5</t>
  </si>
  <si>
    <t>Colorado</t>
  </si>
  <si>
    <t>subregion6</t>
  </si>
  <si>
    <t>Connecticut</t>
  </si>
  <si>
    <t>subregion7</t>
  </si>
  <si>
    <t>Delaware</t>
  </si>
  <si>
    <t>DE</t>
  </si>
  <si>
    <t>subregion8</t>
  </si>
  <si>
    <t>NA</t>
  </si>
  <si>
    <t>Florida</t>
  </si>
  <si>
    <t>subregion9</t>
  </si>
  <si>
    <t>Georgia</t>
  </si>
  <si>
    <t>subregion10</t>
  </si>
  <si>
    <t>Hawaii</t>
  </si>
  <si>
    <t>HI</t>
  </si>
  <si>
    <t>subregion11</t>
  </si>
  <si>
    <t>Idaho</t>
  </si>
  <si>
    <t>ID</t>
  </si>
  <si>
    <t>subregion12</t>
  </si>
  <si>
    <t>Illinois</t>
  </si>
  <si>
    <t>subregion13</t>
  </si>
  <si>
    <t>Indiana</t>
  </si>
  <si>
    <t>subregion14</t>
  </si>
  <si>
    <t>Iowa</t>
  </si>
  <si>
    <t>IA</t>
  </si>
  <si>
    <t>subregion15</t>
  </si>
  <si>
    <t>Kansas</t>
  </si>
  <si>
    <t>KS</t>
  </si>
  <si>
    <t>subregion16</t>
  </si>
  <si>
    <t>Kentucky</t>
  </si>
  <si>
    <t>KY</t>
  </si>
  <si>
    <t>subregion17</t>
  </si>
  <si>
    <t>Louisiana</t>
  </si>
  <si>
    <t>LA</t>
  </si>
  <si>
    <t>subregion18</t>
  </si>
  <si>
    <t>Maine</t>
  </si>
  <si>
    <t>subregion19</t>
  </si>
  <si>
    <t>Maryland</t>
  </si>
  <si>
    <t>subregion20</t>
  </si>
  <si>
    <t>Massachusetts</t>
  </si>
  <si>
    <t>subregion21</t>
  </si>
  <si>
    <t>Michigan</t>
  </si>
  <si>
    <t>MI</t>
  </si>
  <si>
    <t>subregion22</t>
  </si>
  <si>
    <t>Minnesota</t>
  </si>
  <si>
    <t>subregion23</t>
  </si>
  <si>
    <t>Mississippi</t>
  </si>
  <si>
    <t>MS</t>
  </si>
  <si>
    <t>subregion24</t>
  </si>
  <si>
    <t>Missouri</t>
  </si>
  <si>
    <t>subregion25</t>
  </si>
  <si>
    <t>Montana</t>
  </si>
  <si>
    <t>MT</t>
  </si>
  <si>
    <t>subregion26</t>
  </si>
  <si>
    <t>Nebraska</t>
  </si>
  <si>
    <t>NE</t>
  </si>
  <si>
    <t>subregion27</t>
  </si>
  <si>
    <t>Nevada</t>
  </si>
  <si>
    <t>NV</t>
  </si>
  <si>
    <t>subregion28</t>
  </si>
  <si>
    <t>New Hampshire</t>
  </si>
  <si>
    <t>NH</t>
  </si>
  <si>
    <t>subregion29</t>
  </si>
  <si>
    <t>New Jersey</t>
  </si>
  <si>
    <t>subregion30</t>
  </si>
  <si>
    <t>New Mexico</t>
  </si>
  <si>
    <t>subregion31</t>
  </si>
  <si>
    <t>subregion32</t>
  </si>
  <si>
    <t>North Carolina</t>
  </si>
  <si>
    <t>subregion33</t>
  </si>
  <si>
    <t>North Dakota</t>
  </si>
  <si>
    <t>ND</t>
  </si>
  <si>
    <t>subregion34</t>
  </si>
  <si>
    <t>Ohio</t>
  </si>
  <si>
    <t>subregion35</t>
  </si>
  <si>
    <t>Oklahoma</t>
  </si>
  <si>
    <t>OK</t>
  </si>
  <si>
    <t>subregion36</t>
  </si>
  <si>
    <t>Oregon</t>
  </si>
  <si>
    <t>subregion37</t>
  </si>
  <si>
    <t>Pennsylvania</t>
  </si>
  <si>
    <t>subregion38</t>
  </si>
  <si>
    <t>Rhode Island</t>
  </si>
  <si>
    <t>RI</t>
  </si>
  <si>
    <t>subregion39</t>
  </si>
  <si>
    <t>South Carolina</t>
  </si>
  <si>
    <t>SC</t>
  </si>
  <si>
    <t>subregion40</t>
  </si>
  <si>
    <t>South Dakota</t>
  </si>
  <si>
    <t>SD</t>
  </si>
  <si>
    <t>subregion41</t>
  </si>
  <si>
    <t>Tennessee</t>
  </si>
  <si>
    <t>subregion42</t>
  </si>
  <si>
    <t>Texas</t>
  </si>
  <si>
    <t>subregion43</t>
  </si>
  <si>
    <t>Utah</t>
  </si>
  <si>
    <t>subregion44</t>
  </si>
  <si>
    <t>Vermont</t>
  </si>
  <si>
    <t>VT</t>
  </si>
  <si>
    <t>subregion45</t>
  </si>
  <si>
    <t>Virginia</t>
  </si>
  <si>
    <t>subregion46</t>
  </si>
  <si>
    <t>subregion47</t>
  </si>
  <si>
    <t>West Virginia</t>
  </si>
  <si>
    <t>WV</t>
  </si>
  <si>
    <t>subregion48</t>
  </si>
  <si>
    <t>Wisconsin</t>
  </si>
  <si>
    <t>WI</t>
  </si>
  <si>
    <t>subregion49</t>
  </si>
  <si>
    <t>Wyoming</t>
  </si>
  <si>
    <t>WY</t>
  </si>
  <si>
    <t>subregion50</t>
  </si>
  <si>
    <t>totals</t>
  </si>
  <si>
    <t>CHECK</t>
  </si>
  <si>
    <t>commercial truck VMT</t>
  </si>
  <si>
    <t>light duty freight VMT</t>
  </si>
  <si>
    <t>medium duty freight VMT</t>
  </si>
  <si>
    <t>commercial truck energy consumption</t>
  </si>
  <si>
    <t>commercial truck fuel economy (thing-miles/BTU)</t>
  </si>
  <si>
    <t>light duty freight fuel economy (thing-miles/BTU)</t>
  </si>
  <si>
    <t>medium duty freight fuel economy (thing-miles/BTU)</t>
  </si>
  <si>
    <t>weighted fuel economy (thing-miles/BTU)</t>
  </si>
  <si>
    <t>SYFAFE-psgr</t>
  </si>
  <si>
    <t>SYFAFE-frgt</t>
  </si>
  <si>
    <t>ref2023.d020623a</t>
  </si>
  <si>
    <t>Annual Energy Outlook 2023</t>
  </si>
  <si>
    <t>ref2023</t>
  </si>
  <si>
    <t>Reference</t>
  </si>
  <si>
    <t>d020623a</t>
  </si>
  <si>
    <t xml:space="preserve"> March 2023</t>
  </si>
  <si>
    <t>Average</t>
  </si>
  <si>
    <t>Annual</t>
  </si>
  <si>
    <t>Change</t>
  </si>
  <si>
    <t>2022–2050</t>
  </si>
  <si>
    <t>TKI000:ia_liquefactexp</t>
  </si>
  <si>
    <t xml:space="preserve">   Natural Gas Liquefaction for Export 7/</t>
  </si>
  <si>
    <t>TKI000:da_liquefactexp</t>
  </si>
  <si>
    <t>1/ Commercial trucks have a 8,501 to 10,000 pound gross vehicle weight rating.</t>
  </si>
  <si>
    <t>4/ U.S. Environmental Protection Agency rated miles per gallon.</t>
  </si>
  <si>
    <t>7/ Fuel used in facilities that liquefy natural gas for export.</t>
  </si>
  <si>
    <t>Data source: 2022:  U.S. Energy Information Administration (EIA), Short-Term Energy Outlook, November 2022 and EIA, AEO2023</t>
  </si>
  <si>
    <t>AEO2023 National Energy Modeling System run ref2023.d020623a. Projections:  EIA, AEO2023 National Energy Modeling System run ref2023.d020623a.</t>
  </si>
  <si>
    <t>https://www.eia.gov/outlooks/aeo/data/browser/#/?id=45-AEO2023&amp;cases=ref2023&amp;sourcekey=0</t>
  </si>
  <si>
    <t>Thu Dec 11 2025 13:26:03 GMT-0800 (Pacific Standard Time)</t>
  </si>
  <si>
    <t>Growth (2022-2050)</t>
  </si>
  <si>
    <t>Transportation Energy Use: Highway: Light-Duty Vehicles: Reference case</t>
  </si>
  <si>
    <t>AEO.2023.REF2023.CNSM_NA_TRN_HWY_LDV_NA_NA_TRLBTU.A</t>
  </si>
  <si>
    <t>Transportation Energy Use: Highway: Light-Duty Vehicles: Automobiles: Reference case</t>
  </si>
  <si>
    <t>AEO.2023.REF2023.CNSM_NA_TRN_HWY_LDV_AUTO_NA_TRLBTU.A</t>
  </si>
  <si>
    <t>Transportation Energy Use: Highway: Light-Duty Vehicles: Light Trucks: Reference case</t>
  </si>
  <si>
    <t>AEO.2023.REF2023.CNSM_NA_TRN_HWY_LDV_LTRT_NA_TRLBTU.A</t>
  </si>
  <si>
    <t>Transportation Energy Use: Highway: Light-Duty Vehicles: Motorcycles: Reference case</t>
  </si>
  <si>
    <t>AEO.2023.REF2023.CNSM_NA_TRN_HWY_LDV_MCYCL_NA_TRLBTU.A</t>
  </si>
  <si>
    <t>Transportation Energy Use: Highway: Commercial Light Trucks: Reference case</t>
  </si>
  <si>
    <t>AEO.2023.REF2023.CNSM_NA_TRN_HWY_CML_NA_NA_TRLBTU.A</t>
  </si>
  <si>
    <t>Transportation Energy Use: Highway: Buses: Reference case</t>
  </si>
  <si>
    <t>AEO.2023.REF2023.CNSM_NA_TRN_HWY_BUS_NA_NA_TRLBTU.A</t>
  </si>
  <si>
    <t>Transportation Energy Use: Highway: Buses: Transit: Reference case</t>
  </si>
  <si>
    <t>AEO.2023.REF2023.CNSM_NA_TRN_HWY_BUS_TNST_NA_TRLBTU.A</t>
  </si>
  <si>
    <t>Transportation Energy Use: Highway: Buses: Intercity: Reference case</t>
  </si>
  <si>
    <t>AEO.2023.REF2023.CNSM_NA_TRN_HWY_BUS_ICYT_NA_TRLBTU.A</t>
  </si>
  <si>
    <t>Transportation Energy Use: Highway: Buses: School: Reference case</t>
  </si>
  <si>
    <t>AEO.2023.REF2023.CNSM_NA_TRN_HWY_BUS_SCBU_NA_TRLBTU.A</t>
  </si>
  <si>
    <t>Transportation Energy Use: Highway: Freight Trucks: Reference case</t>
  </si>
  <si>
    <t>AEO.2023.REF2023.CNSM_NA_TRN_HWY_FGHT_NA_NA_TRLBTU.A</t>
  </si>
  <si>
    <t>Transportation Energy Use: Highway: Freight Trucks: Light Medium: Reference case</t>
  </si>
  <si>
    <t>AEO.2023.REF2023.CNSM_NA_TRN_HWY_FGHT_LITEMED_NA_TRLBTU.A</t>
  </si>
  <si>
    <t>Transportation Energy Use: Highway: Freight Trucks: Medium: Reference case</t>
  </si>
  <si>
    <t>AEO.2023.REF2023.CNSM_NA_TRN_HWY_FGHT_MD10T26KLB_NA_TRLBTU.A</t>
  </si>
  <si>
    <t>Large  (more than 26000 pounds)</t>
  </si>
  <si>
    <t>Transportation Energy Use: Highway: Freight Trucks: Large: Reference case</t>
  </si>
  <si>
    <t>AEO.2023.REF2023.#N/A.A</t>
  </si>
  <si>
    <t>Transportation Energy Use: Non-Highway: Air: Reference case</t>
  </si>
  <si>
    <t>AEO.2023.REF2023.CNSM_NA_TRN_AIR_NA_NA_NA_TRLBTU.A</t>
  </si>
  <si>
    <t>Transportation Energy Use: Non-Highway: Air: General Aviation: Reference case</t>
  </si>
  <si>
    <t>AEO.2023.REF2023.CNSM_NA_TRN_AIR_GAV_NA_NA_TRLBTU.A</t>
  </si>
  <si>
    <t>Transportation Energy Use: Non-Highway: Air: Domestic Passenger: Reference case</t>
  </si>
  <si>
    <t>AEO.2023.REF2023.CNSM_NA_TRN_AIR_DAC_NA_NA_TRLBTU.A</t>
  </si>
  <si>
    <t>Transportation Energy Use: Non-Highway: Air: International Passenger: Reference case</t>
  </si>
  <si>
    <t>AEO.2023.REF2023.CNSM_NA_TRN_AIR_IAC_NA_NA_TRLBTU.A</t>
  </si>
  <si>
    <t>Transportation Energy Use: Non-Highway: Air: Dedicated Freight: Reference case</t>
  </si>
  <si>
    <t>AEO.2023.REF2023.CNSM_NA_TRN_AIR_DFT_NA_NA_TRLBTU.A</t>
  </si>
  <si>
    <t>Transportation Energy Use: Non-Highway: Water: Reference case</t>
  </si>
  <si>
    <t>AEO.2023.REF2023.CNSM_NA_TRN_WTR_NA_NA_NA_TRLBTU.A</t>
  </si>
  <si>
    <t>Transportation Energy Use: Non-Highway: Water: Freight: Reference case</t>
  </si>
  <si>
    <t>AEO.2023.REF2023.CNSM_NA_TRN_WTR_FGT_NA_NA_TRLBTU.A</t>
  </si>
  <si>
    <t>Transportation Energy Use: Non-Highway: Water: Freight: Domestic Shipping: Reference case</t>
  </si>
  <si>
    <t>AEO.2023.REF2023.CNSM_NA_TRN_WTR_DMT_NA_NA_TRLBTU.A</t>
  </si>
  <si>
    <t>Transportation Energy Use: Non-Highway: Water: Freight: International Shipping: Reference case</t>
  </si>
  <si>
    <t>AEO.2023.REF2023.CNSM_NA_TRN_WTR_INTS_NA_NA_TRLBTU.A</t>
  </si>
  <si>
    <t>Transportation Energy Use: Non-Highway: Water: Recreational Boats: Reference case</t>
  </si>
  <si>
    <t>AEO.2023.REF2023.CNSM_NA_TRN_WTR_RBT_NA_NA_TRLBTU.A</t>
  </si>
  <si>
    <t>Transportation Energy Use: Non-Highway: Rail: Reference case</t>
  </si>
  <si>
    <t>AEO.2023.REF2023.CNSM_NA_TRN_RAIL_RAIL_NA_NA_TRLBTU.A</t>
  </si>
  <si>
    <t>Transportation Energy Use: Non-Highway: Rail: Freight: Reference case</t>
  </si>
  <si>
    <t>AEO.2023.REF2023.CNSM_NA_TRN_RAIL_FGT_NA_NA_TRLBTU.A</t>
  </si>
  <si>
    <t>Transportation Energy Use: Non-Highway: Rail: Passenger: Reference case</t>
  </si>
  <si>
    <t>AEO.2023.REF2023.CNSM_NA_TRN_RAIL_PSG_PSG_NA_TRLBTU.A</t>
  </si>
  <si>
    <t>Transportation Energy Use: Non-Highway: Rail: Passenger: Intercity: Reference case</t>
  </si>
  <si>
    <t>AEO.2023.REF2023.CNSM_NA_TRN_RAIL_PSG_ICYT_NA_TRLBTU.A</t>
  </si>
  <si>
    <t>Transportation Energy Use: Non-Highway: Rail: Passenger: Transit: Reference case</t>
  </si>
  <si>
    <t>AEO.2023.REF2023.CNSM_NA_TRN_RAIL_PSG_TNST_NA_TRLBTU.A</t>
  </si>
  <si>
    <t>Transportation Energy Use: Non-Highway: Rail: Passenger: Commuter: Reference case</t>
  </si>
  <si>
    <t>AEO.2023.REF2023.CNSM_NA_TRN_RAIL_PSG_CMTR_NA_TRLBTU.A</t>
  </si>
  <si>
    <t>Transportation Energy Use: Non-Highway: Lubricants: Reference case</t>
  </si>
  <si>
    <t>AEO.2023.REF2023.CNSM_NA_TRN_NA_LBC_NA_NA_TRLBTU.A</t>
  </si>
  <si>
    <t>Transportation Energy Use: Non-Highway: Pipeline Fuel Natural Gas: Reference case</t>
  </si>
  <si>
    <t>AEO.2023.REF2023.CNSM_NA_TRN_PIPL_NG_NA_NA_TRLBTU.A</t>
  </si>
  <si>
    <t>Natural Gas Liquefaction for Export</t>
  </si>
  <si>
    <t>Transportation Energy Use: Non-Highway: Natural Gas for Liquefaction: Reference case</t>
  </si>
  <si>
    <t>AEO.2023.REF2023.CNSM_NA_NMFG_LQFCT_DELE_NA_NA_TRLBTU.A</t>
  </si>
  <si>
    <t>Transportation Energy Use: Military Use: Reference case</t>
  </si>
  <si>
    <t>AEO.2023.REF2023.CNSM_NA_TRN_MLU_MILU_NA_NA_TRLBTU.A</t>
  </si>
  <si>
    <t>Transportation Energy Use: Military Use: Aviation: Reference case</t>
  </si>
  <si>
    <t>AEO.2023.REF2023.CNSM_NA_TRN_MLU_AVI_NA_NA_TRLBTU.A</t>
  </si>
  <si>
    <t>Transportation Energy Use: Military Use: Residual Fuel Oil: Reference case</t>
  </si>
  <si>
    <t>AEO.2023.REF2023.CNSM_NA_TRN_MLU_RFO_NA_NA_TRLBTU.A</t>
  </si>
  <si>
    <t>Transportation Energy Use: Military Use: Distillate Fuel Oil: Reference case</t>
  </si>
  <si>
    <t>AEO.2023.REF2023.CNSM_NA_TRN_MLU_DFO_NA_NA_TRLBTU.A</t>
  </si>
  <si>
    <t>Transportation Energy Use: Total: Reference case</t>
  </si>
  <si>
    <t>AEO.2023.REF2023.CNSM_NA_TRN_NA_TOT_NA_NA_TRLBTU.A</t>
  </si>
  <si>
    <t>Transportation Energy Use: Petroleum: Motor Gasoline: Reference case</t>
  </si>
  <si>
    <t>AEO.2023.REF2023.CNSM_NA_TRN_NA_PET_MGS_NA_TRLBTU.A</t>
  </si>
  <si>
    <t>Transportation Energy Use: E85: Reference case</t>
  </si>
  <si>
    <t>AEO.2023.REF2023.CNSM_NA_TRN_NA_E85_NA_NA_TRLBTU.A</t>
  </si>
  <si>
    <t>Transportation Energy Use: Petroleum: Diesel: Reference case</t>
  </si>
  <si>
    <t>AEO.2023.REF2023.CNSM_NA_TRN_NA_PET_DSL_NA_TRLBTU.A</t>
  </si>
  <si>
    <t>Transportation Energy Use: Petroleum: Jet Fuel: Reference case</t>
  </si>
  <si>
    <t>AEO.2023.REF2023.UNC_NA_TRN_NA_PET_JFL_NA_TRLBTU.A</t>
  </si>
  <si>
    <t>Transportation Energy Use: Petroleum: Residual Fuel Oil: Reference case</t>
  </si>
  <si>
    <t>AEO.2023.REF2023.CNSM_NA_TRN_NA_PET_RFO_NA_TRLBTU.A</t>
  </si>
  <si>
    <t>Transportation Energy Use: Petroleum: Aviation Gasoline: Reference case</t>
  </si>
  <si>
    <t>AEO.2023.REF2023.CNSM_NA_TRN_NA_PET_AVGA_NA_TRLBTU.A</t>
  </si>
  <si>
    <t>Transportation Energy Use: Petroleum: Propane: Reference case</t>
  </si>
  <si>
    <t>AEO.2023.REF2023.CNSM_NA_TRN_NA_PET_PROP_NA_TRLBTU.A</t>
  </si>
  <si>
    <t>Transportation Energy Use: Petroleum: Lubricants: Reference case</t>
  </si>
  <si>
    <t>AEO.2023.REF2023.CNSM_NA_TRN_NA_PET_LBC_NA_TRLBTU.A</t>
  </si>
  <si>
    <t>Transportation Energy Use: Petroleum Subtotal: Reference case</t>
  </si>
  <si>
    <t>AEO.2023.REF2023.CNSM_NA_TRN_NA_PET_NA_NA_TRLBTU.A</t>
  </si>
  <si>
    <t>Transportation Energy Use: Electricity: Reference case</t>
  </si>
  <si>
    <t>AEO.2023.REF2023.CNSM_NA_TRN_NA_ELC_NA_NA_TRLBTU.A</t>
  </si>
  <si>
    <t>Transportation Energy Use: Natural Gas: Reference case</t>
  </si>
  <si>
    <t>AEO.2023.REF2023.CNSM_NA_TRN_NA_NG_NA_NA_TRLBTU.A</t>
  </si>
  <si>
    <t>Transportation Energy Use: Hydrogen: Reference case</t>
  </si>
  <si>
    <t>AEO.2023.REF2023.CNSM_NA_TRN_NA_HDG_NA_NA_TRLBTU.A</t>
  </si>
  <si>
    <t>Transportation Energy Use: Pipeline Fuel Natural Gas: Reference case</t>
  </si>
  <si>
    <t>Transportation Energy Use: Natural Gas for Liquefaction: Reference case</t>
  </si>
  <si>
    <t>Transportation: Total Energy Use: Reference case</t>
  </si>
  <si>
    <t>AEO.2023.REF2023.CNSM_NA_TRN_NA_NA_NA_NA_TRLBTU.A</t>
  </si>
  <si>
    <t>https://www.eia.gov/outlooks/aeo/data/browser/#/?id=46-AEO2023&amp;cases=ref2023&amp;sourcekey=0</t>
  </si>
  <si>
    <t>Thu Dec 11 2025 13:27:15 GMT-0800 (Pacific Standard Time)</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</si>
  <si>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</si>
  <si>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</si>
  <si>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</si>
  <si>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</si>
  <si>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</si>
  <si>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</si>
  <si>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</si>
  <si>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</si>
  <si>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</si>
  <si>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</si>
  <si>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</si>
  <si>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</si>
  <si>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</si>
  <si>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</si>
  <si>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</si>
  <si>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</si>
  <si>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</si>
  <si>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</si>
  <si>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</si>
  <si>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</si>
  <si>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</si>
  <si>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</si>
  <si>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</si>
  <si>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</si>
  <si>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</si>
  <si>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</si>
  <si>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</si>
  <si>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</si>
  <si>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</si>
  <si>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</si>
  <si>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</si>
  <si>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</si>
  <si>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</si>
  <si>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</si>
  <si>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</si>
  <si>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</si>
  <si>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</si>
  <si>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</si>
  <si>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</si>
  <si>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</si>
  <si>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</si>
  <si>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</si>
  <si>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</si>
  <si>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</si>
  <si>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</si>
  <si>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</si>
  <si>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</si>
  <si>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</si>
  <si>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</si>
  <si>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</si>
  <si>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</si>
  <si>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</si>
  <si>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</si>
  <si>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</si>
  <si>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</si>
  <si>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</si>
  <si>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</si>
  <si>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</si>
  <si>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</si>
  <si>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</si>
  <si>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</si>
  <si>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</si>
  <si>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</si>
  <si>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</si>
  <si>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</si>
  <si>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</si>
  <si>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</si>
  <si>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</si>
  <si>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</si>
  <si>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</si>
  <si>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</si>
  <si>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</si>
  <si>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</si>
  <si>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</si>
  <si>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</si>
  <si>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</si>
  <si>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</si>
  <si>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</si>
  <si>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</si>
  <si>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</si>
  <si>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</si>
  <si>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</si>
  <si>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</si>
  <si>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</si>
  <si>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</si>
  <si>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</si>
  <si>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</si>
  <si>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</si>
  <si>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</si>
  <si>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</si>
  <si>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</si>
  <si>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</si>
  <si>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</si>
  <si>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</si>
  <si>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</si>
  <si>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</si>
  <si>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</si>
  <si>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</si>
  <si>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</si>
  <si>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</si>
  <si>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</si>
  <si>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</si>
  <si>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</si>
  <si>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</si>
  <si>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</si>
  <si>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</si>
  <si>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</si>
  <si>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</si>
  <si>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</si>
  <si>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</si>
  <si>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</si>
  <si>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</si>
  <si>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</si>
  <si>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</si>
  <si>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</si>
  <si>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</si>
  <si>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</si>
  <si>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</si>
  <si>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</si>
  <si>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</si>
  <si>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</si>
  <si>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</si>
  <si>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</si>
  <si>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</si>
  <si>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</si>
  <si>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</si>
  <si>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</si>
  <si>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</si>
  <si>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</si>
  <si>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</si>
  <si>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</si>
  <si>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</si>
  <si>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</si>
  <si>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</si>
  <si>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</si>
  <si>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</si>
  <si>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</si>
  <si>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</si>
  <si>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</si>
  <si>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</si>
  <si>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</si>
  <si>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</si>
  <si>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</si>
  <si>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</si>
  <si>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</si>
  <si>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</si>
  <si>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</si>
  <si>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</si>
  <si>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</si>
  <si>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</si>
  <si>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</si>
  <si>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</si>
  <si>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</si>
  <si>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</si>
  <si>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</si>
  <si>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</si>
  <si>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</si>
  <si>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</si>
  <si>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</si>
  <si>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</si>
  <si>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</si>
  <si>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</si>
  <si>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</si>
  <si>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</si>
  <si>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</si>
  <si>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</si>
  <si>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</si>
  <si>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</si>
  <si>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</si>
  <si>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</si>
  <si>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</si>
  <si>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</si>
  <si>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</si>
  <si>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</si>
  <si>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Transportation Energy Use: Total Use: Reference case</t>
  </si>
  <si>
    <t>AEO.2023.REF2023.CNSM_NA_TRN_LDV_HDG_NA_NA_TRLBTU.A</t>
  </si>
  <si>
    <t>AEO.2023.REF2023.CNSM_NA_TRN_LDV_ELC_NA_NA_TRLBTU.A</t>
  </si>
  <si>
    <t>AEO.2023.REF2023.CNSM_NA_TRN_LDV_PROP_NA_NA_TRLBTU.A</t>
  </si>
  <si>
    <t>AEO.2023.REF2023.CNSM_NA_TRN_LDV_NG_NA_NA_TRLBTU.A</t>
  </si>
  <si>
    <t>Natural Gas</t>
  </si>
  <si>
    <t>AEO.2023.REF2023.CNSM_NA_TRN_LDV_ETH_NA_NA_TRLBTU.A</t>
  </si>
  <si>
    <t>AEO.2023.REF2023.CNSM_NA_TRN_LDV_DFO_NA_NA_TRLBTU.A</t>
  </si>
  <si>
    <t>AEO.2023.REF2023.CNSM_NA_TRN_LDV_MGS_NA_NA_TRLBTU.A</t>
  </si>
  <si>
    <t>Light-Duty Consumption by Fuel Type</t>
  </si>
  <si>
    <t>AEO.2023.REF2023.CNSM_NA_TRN_LDV_NA_NA_NA_TRLBTU.A</t>
  </si>
  <si>
    <t>Transportation Energy Use: Light-Duty Vehicles: Total: Reference case</t>
  </si>
  <si>
    <t>AEO.2023.REF2023.CNSM_NA_TRN_LDV_ALF1_NA_NA_TRLBTU.A</t>
  </si>
  <si>
    <t>Transportation Energy Use: Light-Duty Vehicles: Alternative-Fuel: Total: Reference case</t>
  </si>
  <si>
    <t>Total Alternative</t>
  </si>
  <si>
    <t>AEO.2023.REF2023.CNSM_NA_TRN_LDV_ALF1_FCH_NA_TRLBTU.A</t>
  </si>
  <si>
    <t>Transportation Energy Use: Light-Duty Vehicles: Alternative-Fuel: Fuel Cell Hydrogen: Reference case</t>
  </si>
  <si>
    <t>AEO.2023.REF2023.CNSM_NA_TRN_LDV_ALF1_FCLMTH_NA_TRLBTU.A</t>
  </si>
  <si>
    <t>Transportation Energy Use: Light-Duty Vehicles: Alternative-Fuel: Fuel Cell Methanol: Reference case</t>
  </si>
  <si>
    <t>AEO.2023.REF2023.CNSM_NA_TRN_LDV_ALF1_PBF_NA_TRLBTU.A</t>
  </si>
  <si>
    <t>Transportation Energy Use: Light-Duty Vehicles: Alternative-Fuel: Propane Bi-fuel: Reference case</t>
  </si>
  <si>
    <t>AEO.2023.REF2023.CNSM_NA_TRN_LDV_ALF1_PROP_NA_TRLBTU.A</t>
  </si>
  <si>
    <t>Transportation Energy Use: Light-Duty Vehicles: Alternative-Fuel: Propane ICE: Reference case</t>
  </si>
  <si>
    <t>AEO.2023.REF2023.CNSM_NA_TRN_LDV_ALF1_NBF_NA_TRLBTU.A</t>
  </si>
  <si>
    <t>Transportation Energy Use: Light-Duty Vehicles: Alternative-Fuel: Natural Gas Bi-fuel: Reference case</t>
  </si>
  <si>
    <t>AEO.2023.REF2023.CNSM_NA_TRN_LDV_ALF1_NGI_NA_TRLBTU.A</t>
  </si>
  <si>
    <t>Transportation Energy Use: Light-Duty Vehicles: Alternative-Fuel: Natural Gas ICE: Reference case</t>
  </si>
  <si>
    <t>AEO.2023.REF2023.CNSM_NA_TRN_LDV_ALF1_EGH_NA_TRLBTU.A</t>
  </si>
  <si>
    <t>Transportation Energy Use: Light-Duty Vehicles: Alternative-Fuel: Electric-Gasoline Hybrid: Reference case</t>
  </si>
  <si>
    <t>AEO.2023.REF2023.CNSM_NA_TRN_LDV_ALF1_EDH_NA_TRLBTU.A</t>
  </si>
  <si>
    <t>Transportation Energy Use: Light-Duty Vehicles: Alternative-Fuel: Electric-Diesel Hybrid: Reference case</t>
  </si>
  <si>
    <t>AEO.2023.REF2023.CNSM_NA_TRN_LDV_ALF1_PI50GH_NA_TRLBTU.A</t>
  </si>
  <si>
    <t>Transportation Energy Use: Light-Duty Vehicles: Alternative-Fuel: Plug-in 50 Gasoline Hybrid: Reference case</t>
  </si>
  <si>
    <t>Plug-in 50 Gasoline Hybrid</t>
  </si>
  <si>
    <t>AEO.2023.REF2023.CNSM_NA_TRN_LDV_ALF1_PI20GH_NA_TRLBTU.A</t>
  </si>
  <si>
    <t>Transportation Energy Use: Light-Duty Vehicles: Alternative-Fuel: Plug-in 20 Gasoline Hybrid: Reference case</t>
  </si>
  <si>
    <t>Plug-in 20 Gasoline Hybrid</t>
  </si>
  <si>
    <t>Transportation Energy Use: Light-Duty Vehicles: Alternative-Fuel: 300-Mile Electric Vehicle: Reference case</t>
  </si>
  <si>
    <t>300-Mile Electric Vehicle</t>
  </si>
  <si>
    <t>Transportation Energy Use: Light-Duty Vehicles: Alternative-Fuel: 200-Mile Electric Vehicle: Reference case</t>
  </si>
  <si>
    <t>200-Mile Electric Vehicle</t>
  </si>
  <si>
    <t>Transportation Energy Use: Light-Duty Vehicles: Alternative-Fuel: 100-Mile Electric Vehicle: Reference case</t>
  </si>
  <si>
    <t>100-Mile Electric Vehicle</t>
  </si>
  <si>
    <t>AEO.2023.REF2023.CNSM_NA_TRN_LDV_ALF1_ETHF_NA_TRLBTU.A</t>
  </si>
  <si>
    <t>Transportation Energy Use: Light-Duty Vehicles: Alternative-Fuel: Ethanol Flex: Reference case</t>
  </si>
  <si>
    <t>Alternative-Fuel Vehicles</t>
  </si>
  <si>
    <t>AEO.2023.REF2023.CNSM_NA_TRN_LDV_CNV_NA_NA_TRLBTU.A</t>
  </si>
  <si>
    <t>Transportation Energy Use: Light-Duty Vehicles: Conventional: Total: Reference case</t>
  </si>
  <si>
    <t>Total Conventional</t>
  </si>
  <si>
    <t>AEO.2023.REF2023.CNSM_NA_TRN_LDV_CNV_TDS_NA_TRLBTU.A</t>
  </si>
  <si>
    <t>Transportation Energy Use: Light-Duty Vehicles: Conventional: TDI Diesel: Reference case</t>
  </si>
  <si>
    <t>AEO.2023.REF2023.CNSM_NA_TRN_LDV_CNV_GIC_NA_TRLBTU.A</t>
  </si>
  <si>
    <t>Transportation Energy Use: Light-Duty Vehicles: Conventional: Gasoline: Reference case</t>
  </si>
  <si>
    <t>Conventional Vehicles</t>
  </si>
  <si>
    <t>Light-Duty Consumption by Technology Type</t>
  </si>
  <si>
    <t>Thu Dec 11 2025 13:39:49 GMT-0800 (Pacific Standard Time)</t>
  </si>
  <si>
    <t>https://www.eia.gov/outlooks/aeo/data/browser/#/?id=47-AEO2023&amp;cases=ref2023&amp;sourcekey=0</t>
  </si>
  <si>
    <t xml:space="preserve">  100-Mile Electric Vehicle</t>
  </si>
  <si>
    <t xml:space="preserve">  200-Mile Electric Vehicle</t>
  </si>
  <si>
    <t xml:space="preserve">  300-Mile Electric Vehicle</t>
  </si>
  <si>
    <t xml:space="preserve">  Plug-in 20 Gasoline Hybrid</t>
  </si>
  <si>
    <t xml:space="preserve">  Plug-in 50 Gasoline Hybrid</t>
  </si>
  <si>
    <t>TDI = Turbocharged direct injection</t>
  </si>
  <si>
    <t>Data source: U.S. Energy Information Administration, AEO2023 National Energy Modeling System run ref2023.d020623a.</t>
  </si>
  <si>
    <t>Start Year</t>
  </si>
  <si>
    <t>https://www.eia.gov/outlooks/aeo/data/browser/#/?id=53-AEO2023&amp;cases=ref2023&amp;sourcekey=0</t>
  </si>
  <si>
    <t>Thu Dec 11 2025 14:13:46 GMT-0800 (Pacific Standard Time)</t>
  </si>
  <si>
    <t>Fleet Vehicle Energy Use: Conventional Cars: Gasoline: Reference case</t>
  </si>
  <si>
    <t>AEO.2023.REF2023.CNSM_LDV_CNV_FLC_GSL_NA_NA_TRLBTU.A</t>
  </si>
  <si>
    <t>Fleet Vehicle Energy Use: Conventional Cars: TDI Diesel: Reference case</t>
  </si>
  <si>
    <t>AEO.2023.REF2023.CNSM_LDV_CNV_FLC_TDS_NA_NA_TRLBTU.A</t>
  </si>
  <si>
    <t>Fleet Vehicle Energy Use: Conventional Cars: Total: Reference case</t>
  </si>
  <si>
    <t>AEO.2023.REF2023.CNSM_LDV_CNV_FLC_NA_NA_NA_TRLBTU.A</t>
  </si>
  <si>
    <t>Fleet Vehicle Energy Use: Alternative-Fuel Cars: Ethanol-Flex Fuel ICE: Reference case</t>
  </si>
  <si>
    <t>AEO.2023.REF2023.CNSM_LDV_ALF1_FLC_EFFI_NA_NA_TRLBTU.A</t>
  </si>
  <si>
    <t>Fleet Vehicle Energy Use: Alternative-Fuel Cars: 100-Mile Electric Vehicle: Reference case</t>
  </si>
  <si>
    <t>Fleet Vehicle Energy Use: Alternative-Fuel Cars: 200-Mile Electric Vehicle: Reference case</t>
  </si>
  <si>
    <t>Fleet Vehicle Energy Use: Alternative-Fuel Cars: 300-Mile Electric Vehicle: Reference case</t>
  </si>
  <si>
    <t>Fleet Vehicle Energy Use: Alternative-Fuel Cars: Plug-in 20 Gasoline Hybrid: Reference case</t>
  </si>
  <si>
    <t>AEO.2023.REF2023.CNSM_LDV_ALF1_FLC_PI20GH_NA_NA_TRLBTU.A</t>
  </si>
  <si>
    <t>Fleet Vehicle Energy Use: Alternative-Fuel Cars: Plug-in 50 Gasoline Hybrid: Reference case</t>
  </si>
  <si>
    <t>AEO.2023.REF2023.CNSM_LDV_ALF1_FLC_PI50GH_NA_NA_TRLBTU.A</t>
  </si>
  <si>
    <t>Fleet Vehicle Energy Use: Alternative-Fuel Cars: Electric-Diesel Hybrid: Reference case</t>
  </si>
  <si>
    <t>AEO.2023.REF2023.CNSM_LDV_ALF1_FLC_EDH_NA_NA_TRLBTU.A</t>
  </si>
  <si>
    <t>Fleet Vehicle Energy Use: Alternative-Fuel Cars: Electric-Gasoline Hybrid: Reference case</t>
  </si>
  <si>
    <t>AEO.2023.REF2023.CNSM_LDV_ALF1_FLC_EGH_NA_NA_TRLBTU.A</t>
  </si>
  <si>
    <t>Fleet Vehicle Energy Use: Alternative-Fuel Cars: Natural Gas ICE: Reference case</t>
  </si>
  <si>
    <t>AEO.2023.REF2023.CNSM_LDV_ALF1_FLC_NGI_NA_NA_TRLBTU.A</t>
  </si>
  <si>
    <t>Fleet Vehicle Energy Use: Alternative-Fuel Cars: Natural Gas Bi-fuel: Reference case</t>
  </si>
  <si>
    <t>AEO.2023.REF2023.CNSM_LDV_ALF1_FLC_NBF_NA_NA_TRLBTU.A</t>
  </si>
  <si>
    <t>Fleet Vehicle Energy Use: Alternative-Fuel Cars: Propane ICE: Reference case</t>
  </si>
  <si>
    <t>AEO.2023.REF2023.CNSM_LDV_ALF1_FLC_PROP_NA_NA_TRLBTU.A</t>
  </si>
  <si>
    <t>Fleet Vehicle Energy Use: Alternative-Fuel Cars: Propane Bi-fuel: Reference case</t>
  </si>
  <si>
    <t>AEO.2023.REF2023.CNSM_LDV_ALF1_FLC_PBF_NA_NA_TRLBTU.A</t>
  </si>
  <si>
    <t>Fleet Vehicle Energy Use: Alternative-Fuel Cars: Fuel Cell Methanol: Reference case</t>
  </si>
  <si>
    <t>AEO.2023.REF2023.CNSM_LDV_ALF1_FLC_FCLMTH_NA_NA_TRLBTU.A</t>
  </si>
  <si>
    <t>Fleet Vehicle Energy Use: Alternative-Fuel Cars: Fuel Cell Hydrogen: Reference case</t>
  </si>
  <si>
    <t>AEO.2023.REF2023.CNSM_LDV_ALF1_FLC_FCH_NA_NA_TRLBTU.A</t>
  </si>
  <si>
    <t>Fleet Vehicle Energy Use: Alternative-Fuel Cars: Total Alternative: Reference case</t>
  </si>
  <si>
    <t>AEO.2023.REF2023.CNSM_LDV_ALF1_FLC_NA_NA_NA_TRLBTU.A</t>
  </si>
  <si>
    <t>Fleet Vehicle Energy Use: Total Cars: Reference case</t>
  </si>
  <si>
    <t>AEO.2023.REF2023.CNSM_LDV_FLEET_CAR_NA_NA_NA_TRLBTU.A</t>
  </si>
  <si>
    <t>Fleet Vehicle Energy Use: Conventional Light Trucks: Gasoline: Reference case</t>
  </si>
  <si>
    <t>AEO.2023.REF2023.CNSM_LDV_CNV_FLTR_GSL_NA_NA_TRLBTU.A</t>
  </si>
  <si>
    <t>Fleet Vehicle Energy Use: Conventional Light Trucks: TDI Diesel: Reference case</t>
  </si>
  <si>
    <t>AEO.2023.REF2023.CNSM_LDV_CNV_FLTR_TDS_NA_NA_TRLBTU.A</t>
  </si>
  <si>
    <t>Fleet Vehicle Energy Use: Conventional Light Trucks: Total: Reference case</t>
  </si>
  <si>
    <t>AEO.2023.REF2023.CNSM_LDV_CNV_FLTR_NA_NA_NA_TRLBTU.A</t>
  </si>
  <si>
    <t>Fleet Vehicle Energy Use: Alternative-Fuel Light Trucks: Ethanol-Flex Fuel ICE: Reference case</t>
  </si>
  <si>
    <t>AEO.2023.REF2023.CNSM_LDV_ALF1_FLTR_EFFI_NA_NA_TRLBTU.A</t>
  </si>
  <si>
    <t>Fleet Vehicle Energy Use: Alternative-Fuel Light Trucks: 100-Mile Electric Vehicle: Reference case</t>
  </si>
  <si>
    <t>Fleet Vehicle Energy Use: Alternative-Fuel Light Trucks: 200-Mile Electric Vehicle: Reference case</t>
  </si>
  <si>
    <t>Fleet Vehicle Energy Use: Alternative-Fuel Light Trucks: 300-Mile Electric Vehicle: Reference case</t>
  </si>
  <si>
    <t>Fleet Vehicle Energy Use: Alternative-Fuel Light Trucks: Plug-in 20 Gasoline Hybrid: Reference case</t>
  </si>
  <si>
    <t>AEO.2023.REF2023.CNSM_LDV_ALF1_FLTR_PI20GH_NA_NA_TRLBTU.A</t>
  </si>
  <si>
    <t>Fleet Vehicle Energy Use: Alternative-Fuel Light Trucks: Plug-in 50 Gasoline Hybrid: Reference case</t>
  </si>
  <si>
    <t>AEO.2023.REF2023.CNSM_LDV_ALF1_FLTR_PI50GH_NA_NA_TRLBTU.A</t>
  </si>
  <si>
    <t>Fleet Vehicle Energy Use: Alternative-Fuel Light Trucks: Electric-Diesel Hybrid: Reference case</t>
  </si>
  <si>
    <t>AEO.2023.REF2023.CNSM_LDV_ALF1_FLTR_EDH_NA_NA_TRLBTU.A</t>
  </si>
  <si>
    <t>Fleet Vehicle Energy Use: Alternative-Fuel Light Trucks: Electric-Gasoline Hybrid: Reference case</t>
  </si>
  <si>
    <t>AEO.2023.REF2023.CNSM_LDV_ALF1_FLTR_EGH_NA_NA_TRLBTU.A</t>
  </si>
  <si>
    <t>Fleet Vehicle Energy Use: Alternative-Fuel Light Trucks: Natural Gas ICE: Reference case</t>
  </si>
  <si>
    <t>AEO.2023.REF2023.CNSM_LDV_ALF1_FLTR_NGI_NA_NA_TRLBTU.A</t>
  </si>
  <si>
    <t>Fleet Vehicle Energy Use: Alternative-Fuel Light Trucks: Natural Gas Bi-fuel: Reference case</t>
  </si>
  <si>
    <t>AEO.2023.REF2023.CNSM_LDV_ALF1_FLTR_NBF_NA_NA_TRLBTU.A</t>
  </si>
  <si>
    <t>Fleet Vehicle Energy Use: Alternative-Fuel Light Trucks: Propane ICE: Reference case</t>
  </si>
  <si>
    <t>AEO.2023.REF2023.CNSM_LDV_ALF1_FLTR_PROP_NA_NA_TRLBTU.A</t>
  </si>
  <si>
    <t>Fleet Vehicle Energy Use: Alternative-Fuel Light Trucks: Propane Bi-fuel: Reference case</t>
  </si>
  <si>
    <t>AEO.2023.REF2023.CNSM_LDV_ALF1_FLTR_PBF_NA_NA_TRLBTU.A</t>
  </si>
  <si>
    <t>Fleet Vehicle Energy Use: Alternative-Fuel Light Trucks: Fuel Cell Methanol: Reference case</t>
  </si>
  <si>
    <t>AEO.2023.REF2023.CNSM_LDV_ALF1_FLTR_FCLMTH_NA_NA_TRLBTU.A</t>
  </si>
  <si>
    <t>Fleet Vehicle Energy Use: Alternative-Fuel Light Trucks: Fuel Cell Hydrogen: Reference case</t>
  </si>
  <si>
    <t>AEO.2023.REF2023.CNSM_LDV_ALF1_FLTR_FCH_NA_NA_TRLBTU.A</t>
  </si>
  <si>
    <t>Fleet Vehicle Energy Use: Alternative-Fuel Light Trucks: Total Alternative: Reference case</t>
  </si>
  <si>
    <t>AEO.2023.REF2023.CNSM_LDV_ALF1_FLTR_NA_NA_NA_TRLBTU.A</t>
  </si>
  <si>
    <t>Fleet Vehicle Energy Use: Total Light Trucks: Reference case</t>
  </si>
  <si>
    <t>AEO.2023.REF2023.CNSM_LDV_FLEET_LTK_NA_NA_NA_TRLBTU.A</t>
  </si>
  <si>
    <t>Fleet Vehicle Energy Use: Total Fleet Vehicles: Reference case</t>
  </si>
  <si>
    <t>AEO.2023.REF2023.CNSM_LDV_FLEET_NA_NA_NA_NA_TRLBTU.A</t>
  </si>
  <si>
    <t>Fleet Vehicle Energy Use: Commercial Light Trucks: Gasoline: Reference case</t>
  </si>
  <si>
    <t>AEO.2023.REF2023.CNSM_LDV_TRN_CML_GSL_NA_NA_TRLBTU.A</t>
  </si>
  <si>
    <t>Fleet Vehicle Energy Use: Commercial Light Trucks: TDI Diesel: Reference case</t>
  </si>
  <si>
    <t>AEO.2023.REF2023.CNSM_LDV_TRN_CML_TDS_NA_NA_TRLBTU.A</t>
  </si>
  <si>
    <t>Fleet Vehicle Energy Use: Commercial Light Trucks: Propane: Reference case</t>
  </si>
  <si>
    <t>AEO.2023.REF2023.CNSM_LDV_TRN_CML_PROP_NA_NA_TRLBTU.A</t>
  </si>
  <si>
    <t>Fleet Vehicle Energy Use: Commercial Light Trucks: CNG/LNG: Reference case</t>
  </si>
  <si>
    <t>AEO.2023.REF2023.CNSM_LDV_TRN_CML_NG_NA_NA_TRLBTU.A</t>
  </si>
  <si>
    <t>Fleet Vehicle Energy Use: Commercial Light Trucks: Ethanol Flex: Reference case</t>
  </si>
  <si>
    <t>AEO.2023.REF2023.CNSM_LDV_TRN_CML_EFFI_NA_NA_TRLBTU.A</t>
  </si>
  <si>
    <t>Fleet Vehicle Energy Use: Commercial Light Trucks: Electric: Reference case</t>
  </si>
  <si>
    <t>AEO.2023.REF2023.CNSM_LDV_TRN_CML_ELE_NA_NA_TRLBTU.A</t>
  </si>
  <si>
    <t>Fleet Vehicle Energy Use: Commercial Light Trucks: Plug-in Gasoline: Reference case</t>
  </si>
  <si>
    <t>AEO.2023.REF2023.CNSM_LDV_TRN_CML_EGH_NA_NA_TRLBTU.A</t>
  </si>
  <si>
    <t>Fleet Vehicle Energy Use: Commercial Light Trucks: Plug-in Diesel: Reference case</t>
  </si>
  <si>
    <t>AEO.2023.REF2023.CNSM_LDV_TRN_CML_EDH_NA_NA_TRLBTU.A</t>
  </si>
  <si>
    <t>Fleet Vehicle Energy Use: Commercial Light Trucks: Fuel Cell: Reference case</t>
  </si>
  <si>
    <t>AEO.2023.REF2023.CNSM_LDV_TRN_CML_FUC_NA_NA_TRLBTU.A</t>
  </si>
  <si>
    <t>Fleet Vehicle Energy Use: Commercial Light Trucks: Total: Reference case</t>
  </si>
  <si>
    <t>AEO.2023.REF2023.CNSM_LDV_TRN_CML_NA_NA_NA_TRLBTU.A</t>
  </si>
  <si>
    <t>https://www.eia.gov/outlooks/aeo/data/browser/#/?id=56-AEO2023&amp;cases=ref2023&amp;sourcekey=0</t>
  </si>
  <si>
    <t>Thu Dec 11 2025 14:20:56 GMT-0800 (Pacific Standard Time)</t>
  </si>
  <si>
    <t>Fleet Vehicle Miles Traveled: Conventional Cars: Gasoline: Reference case</t>
  </si>
  <si>
    <t>AEO.2023.REF2023.ECI_VMT_CNV_FLC_GSL_NA_NA_BLNMLS.A</t>
  </si>
  <si>
    <t>Fleet Vehicle Miles Traveled: Conventional Cars: TDI Diesel: Reference case</t>
  </si>
  <si>
    <t>AEO.2023.REF2023.ECI_VMT_CNV_FLC_TDS_NA_NA_BLNMLS.A</t>
  </si>
  <si>
    <t>Fleet Vehicle Miles Traveled: Conventional Cars: Total: Reference case</t>
  </si>
  <si>
    <t>AEO.2023.REF2023.ECI_VMT_CNV_FLC_NA_NA_NA_BLNMLS.A</t>
  </si>
  <si>
    <t>Fleet Vehicle Miles Traveled: Alternative-Fuel Cars: Ethanol-Flex Fuel ICE: Reference case</t>
  </si>
  <si>
    <t>AEO.2023.REF2023.ECI_VMT_ALF1_FLC_EFFI_NA_NA_BLNMLS.A</t>
  </si>
  <si>
    <t>Fleet Vehicle Miles Traveled: Alternative-Fuel Cars: 100-Mile Electric Vehicle: Reference case</t>
  </si>
  <si>
    <t>Fleet Vehicle Miles Traveled: Alternative-Fuel Cars: 200-Mile Electric Vehicle: Reference case</t>
  </si>
  <si>
    <t>Fleet Vehicle Miles Traveled: Alternative-Fuel Cars: 300-Mile Electric Vehicle: Reference case</t>
  </si>
  <si>
    <t>Fleet Vehicle Miles Traveled: Alternative-Fuel Cars: Plug-in 20 Gasoline Hybrid: Reference case</t>
  </si>
  <si>
    <t>AEO.2023.REF2023.ECI_VMT_ALF1_FLC_PI20GH_NA_NA_BLNMLS.A</t>
  </si>
  <si>
    <t>Fleet Vehicle Miles Traveled: Alternative-Fuel Cars: Plug-in 50 Gasoline Hybrid: Reference case</t>
  </si>
  <si>
    <t>AEO.2023.REF2023.ECI_VMT_ALF1_FLC_PI50GH_NA_NA_BLNMLS.A</t>
  </si>
  <si>
    <t>Fleet Vehicle Miles Traveled: Alternative-Fuel Cars: Electric-Diesel Hybrid: Reference case</t>
  </si>
  <si>
    <t>AEO.2023.REF2023.ECI_VMT_ALF1_FLC_EDH_NA_NA_BLNMLS.A</t>
  </si>
  <si>
    <t>Fleet Vehicle Miles Traveled: Alternative-Fuel Cars: Electric-Gasoline Hybrid: Reference case</t>
  </si>
  <si>
    <t>AEO.2023.REF2023.ECI_VMT_ALF1_FLC_EGH_NA_NA_BLNMLS.A</t>
  </si>
  <si>
    <t>Fleet Vehicle Miles Traveled: Alternative-Fuel Cars: Natural Gas ICE: Reference case</t>
  </si>
  <si>
    <t>AEO.2023.REF2023.ECI_VMT_ALF1_FLC_NGI_NA_NA_BLNMLS.A</t>
  </si>
  <si>
    <t>Fleet Vehicle Miles Traveled: Alternative-Fuel Cars: Natural Gas Bi-fuel: Reference case</t>
  </si>
  <si>
    <t>AEO.2023.REF2023.ECI_VMT_ALF1_FLC_NBF_NA_NA_BLNMLS.A</t>
  </si>
  <si>
    <t>Fleet Vehicle Miles Traveled: Alternative-Fuel Cars: Propane ICE: Reference case</t>
  </si>
  <si>
    <t>AEO.2023.REF2023.ECI_VMT_ALF1_FLC_PROP_NA_NA_BLNMLS.A</t>
  </si>
  <si>
    <t>Fleet Vehicle Miles Traveled: Alternative-Fuel Cars: Propane Bi-fuel: Reference case</t>
  </si>
  <si>
    <t>AEO.2023.REF2023.ECI_VMT_ALF1_FLC_PBF_NA_NA_BLNMLS.A</t>
  </si>
  <si>
    <t>Fleet Vehicle Miles Traveled: Alternative-Fuel Cars: Fuel Cell Methanol: Reference case</t>
  </si>
  <si>
    <t>AEO.2023.REF2023.ECI_VMT_ALF1_FLC_FCLMTH_NA_NA_BLNMLS.A</t>
  </si>
  <si>
    <t>Fleet Vehicle Miles Traveled: Alternative-Fuel Cars: Fuel Cell Hydrogen: Reference case</t>
  </si>
  <si>
    <t>AEO.2023.REF2023.ECI_VMT_ALF1_FLC_FCH_NA_NA_BLNMLS.A</t>
  </si>
  <si>
    <t>Fleet Vehicle Miles Traveled: Alternative-Fuel Cars: Total: Reference case</t>
  </si>
  <si>
    <t>AEO.2023.REF2023.ECI_VMT_ALF1_FLC_NA_NA_NA_BLNMLS.A</t>
  </si>
  <si>
    <t>Fleet Vehicle Miles Traveled: Cars: Total: Reference case</t>
  </si>
  <si>
    <t>AEO.2023.REF2023.ECI_VMT_NA_FLC_NA_NA_NA_BLNMLS.A</t>
  </si>
  <si>
    <t>Fleet Vehicle Miles Traveled: Conventional Light Trucks: Gasoline: Reference case</t>
  </si>
  <si>
    <t>AEO.2023.REF2023.ECI_VMT_CNV_FLTR_GSL_NA_NA_BLNMLS.A</t>
  </si>
  <si>
    <t>Fleet Vehicle Miles Traveled: Conventional Light Trucks: TDI Diesel: Reference case</t>
  </si>
  <si>
    <t>AEO.2023.REF2023.ECI_VMT_CNV_FLTR_TDS_NA_NA_BLNMLS.A</t>
  </si>
  <si>
    <t>Fleet Vehicle Miles Traveled: Conventional Light Trucks: Total: Reference case</t>
  </si>
  <si>
    <t>AEO.2023.REF2023.ECI_VMT_CNV_FLTR_NA_NA_NA_BLNMLS.A</t>
  </si>
  <si>
    <t>Fleet Vehicle Miles Traveled: Alternative-Fuel Light Trucks: Ethanol-Flex Fuel ICE: Reference case</t>
  </si>
  <si>
    <t>AEO.2023.REF2023.ECI_VMT_ALF1_FLTR_EFFI_NA_NA_BLNMLS.A</t>
  </si>
  <si>
    <t>Fleet Vehicle Miles Traveled: Alternative-Fuel Light Trucks: 100-Mile Electric Vehicle: Reference case</t>
  </si>
  <si>
    <t>Fleet Vehicle Miles Traveled: Alternative-Fuel Light Trucks: 200-Mile Electric Vehicle: Reference case</t>
  </si>
  <si>
    <t>Fleet Vehicle Miles Traveled: Alternative-Fuel Light Trucks: 300-Mile Electric Vehicle: Reference case</t>
  </si>
  <si>
    <t>Fleet Vehicle Miles Traveled: Alternative-Fuel Light Trucks: Plug-in 20 Gasoline Hybrid: Reference case</t>
  </si>
  <si>
    <t>AEO.2023.REF2023.ECI_VMT_ALF1_FLTR_PI20GH_NA_NA_BLNMLS.A</t>
  </si>
  <si>
    <t>Fleet Vehicle Miles Traveled: Alternative-Fuel Light Trucks: Plug-in 50 Gasoline Hybrid: Reference case</t>
  </si>
  <si>
    <t>AEO.2023.REF2023.ECI_VMT_ALF1_FLTR_PI50GH_NA_NA_BLNMLS.A</t>
  </si>
  <si>
    <t>Fleet Vehicle Miles Traveled: Alternative-Fuel Light Trucks: Electric-Diesel Hybrid: Reference case</t>
  </si>
  <si>
    <t>AEO.2023.REF2023.ECI_VMT_ALF1_FLTR_EDH_NA_NA_BLNMLS.A</t>
  </si>
  <si>
    <t>Fleet Vehicle Miles Traveled: Alternative-Fuel Light Trucks: Electric-Gasoline Hybrid: Reference case</t>
  </si>
  <si>
    <t>AEO.2023.REF2023.ECI_VMT_ALF1_FLTR_EGH_NA_NA_BLNMLS.A</t>
  </si>
  <si>
    <t>Fleet Vehicle Miles Traveled: Alternative-Fuel Light Trucks: Natural Gas ICE: Reference case</t>
  </si>
  <si>
    <t>AEO.2023.REF2023.ECI_VMT_ALF1_FLTR_NGI_NA_NA_BLNMLS.A</t>
  </si>
  <si>
    <t>Fleet Vehicle Miles Traveled: Alternative-Fuel Light Trucks: Natural Gas Bi-fuel: Reference case</t>
  </si>
  <si>
    <t>AEO.2023.REF2023.ECI_VMT_ALF1_FLTR_NBF_NA_NA_BLNMLS.A</t>
  </si>
  <si>
    <t>Fleet Vehicle Miles Traveled: Alternative-Fuel Light Trucks: Propane ICE: Reference case</t>
  </si>
  <si>
    <t>AEO.2023.REF2023.ECI_VMT_ALF1_FLTR_PROP_NA_NA_BLNMLS.A</t>
  </si>
  <si>
    <t>Fleet Vehicle Miles Traveled: Alternative-Fuel Light Trucks: Propane Bi-fuel: Reference case</t>
  </si>
  <si>
    <t>AEO.2023.REF2023.ECI_VMT_ALF1_FLTR_PBF_NA_NA_BLNMLS.A</t>
  </si>
  <si>
    <t>Fleet Vehicle Miles Traveled: Alternative-Fuel Light Trucks: Fuel Cell Methanol: Reference case</t>
  </si>
  <si>
    <t>AEO.2023.REF2023.ECI_VMT_ALF1_FLTR_FCLMTH_NA_NA_BLNMLS.A</t>
  </si>
  <si>
    <t>Fleet Vehicle Miles Traveled: Alternative-Fuel Light Trucks: Fuel Cell Hydrogen: Reference case</t>
  </si>
  <si>
    <t>AEO.2023.REF2023.ECI_VMT_ALF1_FLTR_FCH_NA_NA_BLNMLS.A</t>
  </si>
  <si>
    <t>Fleet Vehicle Miles Traveled: Alternative-Fuel Light Trucks: Total: Reference case</t>
  </si>
  <si>
    <t>AEO.2023.REF2023.ECI_VMT_ALF1_FLTR_NA_NA_NA_BLNMLS.A</t>
  </si>
  <si>
    <t>Fleet Vehicle Miles Traveled: Light Trucks: Total: Reference case</t>
  </si>
  <si>
    <t>AEO.2023.REF2023.ECI_VMT_NA_FLTR_NA_NA_NA_BLNMLS.A</t>
  </si>
  <si>
    <t>Fleet Vehicle Miles Traveled: Total Fleet Vehicles: Reference case</t>
  </si>
  <si>
    <t>AEO.2023.REF2023.ECI_VMT_NA_NA_NA_NA_NA_BLNMLS.A</t>
  </si>
  <si>
    <t>Fleet Vehicle Miles Traveled: Commercial Light Trucks: Gasoline: Reference case</t>
  </si>
  <si>
    <t>AEO.2023.REF2023.ECI_VMT_NA_CLTR_GSL_NA_NA_BLNMLS.A</t>
  </si>
  <si>
    <t>Fleet Vehicle Miles Traveled: Commercial Light Trucks: TDI Diesel: Reference case</t>
  </si>
  <si>
    <t>AEO.2023.REF2023.ECI_VMT_NA_CLTR_TDS_NA_NA_BLNMLS.A</t>
  </si>
  <si>
    <t>Fleet Vehicle Miles Traveled: Commercial Light Trucks: Propane: Reference case</t>
  </si>
  <si>
    <t>AEO.2023.REF2023.ECI_VMT_NA_CLTR_PROP_NA_NA_BLNMLS.A</t>
  </si>
  <si>
    <t>Fleet Vehicle Miles Traveled: Commercial Light Trucks: CNG/LNG: Reference case</t>
  </si>
  <si>
    <t>AEO.2023.REF2023.ECI_VMT_NA_CLTR_NG_NA_NA_BLNMLS.A</t>
  </si>
  <si>
    <t>Fleet Vehicle Miles Traveled: Commercial Light Trucks: Ethanol Flex: Reference case</t>
  </si>
  <si>
    <t>AEO.2023.REF2023.ECI_VMT_NA_CLTR_EFFI_NA_NA_BLNMLS.A</t>
  </si>
  <si>
    <t>Fleet Vehicle Miles Traveled: Commercial Light Trucks: Electric: Reference case</t>
  </si>
  <si>
    <t>AEO.2023.REF2023.ECI_VMT_NA_CLTR_ELE_NA_NA_BLNMLS.A</t>
  </si>
  <si>
    <t>Fleet Vehicle Miles Traveled: Commercial Light Trucks: Plug-in Gas: Reference case</t>
  </si>
  <si>
    <t>AEO.2023.REF2023.ECI_VMT_NA_CLTR_EGH_NA_NA_BLNMLS.A</t>
  </si>
  <si>
    <t>Fleet Vehicle Miles Traveled: Commercial Light Trucks: Plug-in Diesel: Reference case</t>
  </si>
  <si>
    <t>AEO.2023.REF2023.ECI_VMT_NA_CLTR_EDH_NA_NA_BLNMLS.A</t>
  </si>
  <si>
    <t>Fleet Vehicle Miles Traveled: Commercial Light Trucks: Fuel Cell: Reference case</t>
  </si>
  <si>
    <t>AEO.2023.REF2023.ECI_VMT_NA_CLTR_FUC_NA_NA_BLNMLS.A</t>
  </si>
  <si>
    <t>Fleet Vehicle Miles Traveled: Commercial Light Trucks: Total: Reference case</t>
  </si>
  <si>
    <t>AEO.2023.REF2023.ECI_VMT_NA_CLTR_NA_NA_NA_BLNMLS.A</t>
  </si>
  <si>
    <t>https://www.eia.gov/outlooks/aeo/data/browser/#/?id=57-AEO2023&amp;cases=ref2023&amp;sourcekey=0</t>
  </si>
  <si>
    <t>Thu Dec 11 2025 14:24:13 GMT-0800 (Pacific Standard Time)</t>
  </si>
  <si>
    <t>Air Travel: Fuel Cost: Reference case</t>
  </si>
  <si>
    <t>AEO.2023.REF2023.PRCE_FUL_AIRT_NA_NA_NA_NA_87DLRPMBTU.A</t>
  </si>
  <si>
    <t>Air Travel: Load Factor: U.S. Domestic: Reference case</t>
  </si>
  <si>
    <t>AEO.2023.REF2023.CAP_LDFAC_AIRT_DMS_NA_NA_NA_FRAC.A</t>
  </si>
  <si>
    <t>Air Travel: Load Factor: U.S. International: Reference case</t>
  </si>
  <si>
    <t>AEO.2023.REF2023.CAP_LDFAC_AIRT_INTA_NA_NA_NA_FRAC.A</t>
  </si>
  <si>
    <t>Air Travel: Drivers: Population: U.S.: Reference case</t>
  </si>
  <si>
    <t>AEO.2023.REF2023.ECI_POP_NA_NA_NA_NA_USA_MILL.A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</si>
  <si>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</si>
  <si>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</si>
  <si>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</si>
  <si>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</si>
  <si>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</si>
  <si>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</si>
  <si>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</si>
  <si>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</si>
  <si>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</si>
  <si>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</si>
  <si>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</si>
  <si>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</si>
  <si>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</si>
  <si>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</si>
  <si>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</si>
  <si>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</si>
  <si>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</si>
  <si>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</si>
  <si>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</si>
  <si>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</si>
  <si>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</si>
  <si>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</si>
  <si>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</si>
  <si>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</si>
  <si>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</si>
  <si>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</si>
  <si>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</si>
  <si>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</si>
  <si>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</si>
  <si>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</si>
  <si>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</si>
  <si>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</si>
  <si>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</si>
  <si>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</si>
  <si>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</si>
  <si>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</si>
  <si>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</si>
  <si>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</si>
  <si>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</si>
  <si>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</si>
  <si>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</si>
  <si>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</si>
  <si>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Air Travel: Travel Demand: Revenue Passenger Miles: Domestic: U.S.: Reference case</t>
  </si>
  <si>
    <t>AEO.2023.REF2023.ECI_RPM_AIRT_DMS_NA_NA_USA_BLNMLS.A</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</si>
  <si>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</si>
  <si>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</si>
  <si>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</si>
  <si>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</si>
  <si>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</si>
  <si>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</si>
  <si>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</si>
  <si>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</si>
  <si>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</si>
  <si>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</si>
  <si>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</si>
  <si>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</si>
  <si>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</si>
  <si>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</si>
  <si>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</si>
  <si>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</si>
  <si>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</si>
  <si>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</si>
  <si>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</si>
  <si>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</si>
  <si>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</si>
  <si>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</si>
  <si>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</si>
  <si>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</si>
  <si>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</si>
  <si>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</si>
  <si>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</si>
  <si>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</si>
  <si>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</si>
  <si>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</si>
  <si>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</si>
  <si>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</si>
  <si>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</si>
  <si>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</si>
  <si>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</si>
  <si>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</si>
  <si>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</si>
  <si>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</si>
  <si>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</si>
  <si>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</si>
  <si>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</si>
  <si>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</si>
  <si>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</si>
  <si>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</si>
  <si>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</si>
  <si>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</si>
  <si>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</si>
  <si>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</si>
  <si>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</si>
  <si>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</si>
  <si>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</si>
  <si>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</si>
  <si>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</si>
  <si>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</si>
  <si>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</si>
  <si>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</si>
  <si>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</si>
  <si>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</si>
  <si>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</si>
  <si>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</si>
  <si>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</si>
  <si>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</si>
  <si>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</si>
  <si>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</si>
  <si>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</si>
  <si>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</si>
  <si>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</si>
  <si>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</si>
  <si>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Air Travel: Travel Demand: Revenue Passenger Miles: World: Reference case</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</si>
  <si>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</si>
  <si>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</si>
  <si>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</si>
  <si>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</si>
  <si>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</si>
  <si>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</si>
  <si>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</si>
  <si>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</si>
  <si>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</si>
  <si>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</si>
  <si>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</si>
  <si>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</si>
  <si>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</si>
  <si>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</si>
  <si>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</si>
  <si>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</si>
  <si>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</si>
  <si>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</si>
  <si>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</si>
  <si>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</si>
  <si>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</si>
  <si>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</si>
  <si>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</si>
  <si>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</si>
  <si>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</si>
  <si>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</si>
  <si>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</si>
  <si>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</si>
  <si>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</si>
  <si>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</si>
  <si>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</si>
  <si>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</si>
  <si>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</si>
  <si>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</si>
  <si>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</si>
  <si>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</si>
  <si>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Air Travel: Seat Miles Demanded: U.S.: Reference case</t>
  </si>
  <si>
    <t>AEO.2023.REF2023.ECI_SMD_AIRT_NA_NA_NA_USA_BLNMLS.A</t>
  </si>
  <si>
    <t>Air Travel: Seat Miles Demanded: U.S.: Narrow Body Aircraft: Reference case</t>
  </si>
  <si>
    <t>AEO.2023.REF2023.ECI_SMD_AIRT_NBTR_NA_NA_USA_BLNMLS.A</t>
  </si>
  <si>
    <t>Air Travel: Seat Miles Demanded: U.S.: Wide Body Aircraft: Reference case</t>
  </si>
  <si>
    <t>AEO.2023.REF2023.ECI_SMD_AIRT_WBE_NA_NA_USA_BLNMLS.A</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</si>
  <si>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</si>
  <si>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</si>
  <si>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</si>
  <si>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</si>
  <si>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</si>
  <si>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</si>
  <si>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</si>
  <si>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</si>
  <si>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</si>
  <si>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</si>
  <si>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</si>
  <si>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</si>
  <si>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</si>
  <si>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</si>
  <si>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</si>
  <si>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</si>
  <si>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</si>
  <si>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</si>
  <si>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</si>
  <si>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</si>
  <si>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</si>
  <si>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</si>
  <si>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</si>
  <si>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</si>
  <si>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</si>
  <si>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</si>
  <si>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</si>
  <si>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</si>
  <si>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</si>
  <si>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</si>
  <si>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</si>
  <si>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</si>
  <si>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</si>
  <si>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</si>
  <si>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</si>
  <si>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</si>
  <si>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</si>
  <si>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</si>
  <si>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</si>
  <si>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</si>
  <si>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</si>
  <si>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</si>
  <si>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</si>
  <si>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</si>
  <si>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</si>
  <si>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</si>
  <si>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</si>
  <si>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</si>
  <si>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</si>
  <si>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</si>
  <si>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</si>
  <si>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</si>
  <si>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</si>
  <si>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</si>
  <si>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</si>
  <si>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</si>
  <si>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</si>
  <si>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</si>
  <si>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</si>
  <si>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</si>
  <si>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</si>
  <si>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</si>
  <si>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</si>
  <si>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</si>
  <si>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</si>
  <si>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</si>
  <si>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</si>
  <si>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</si>
  <si>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</si>
  <si>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</si>
  <si>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</si>
  <si>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</si>
  <si>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</si>
  <si>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</si>
  <si>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</si>
  <si>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</si>
  <si>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</si>
  <si>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</si>
  <si>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</si>
  <si>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</si>
  <si>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</si>
  <si>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</si>
  <si>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</si>
  <si>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</si>
  <si>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</si>
  <si>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</si>
  <si>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</si>
  <si>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</si>
  <si>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</si>
  <si>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</si>
  <si>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</si>
  <si>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</si>
  <si>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</si>
  <si>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</si>
  <si>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</si>
  <si>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</si>
  <si>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</si>
  <si>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</si>
  <si>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</si>
  <si>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</si>
  <si>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</si>
  <si>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</si>
  <si>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</si>
  <si>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</si>
  <si>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</si>
  <si>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</si>
  <si>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</si>
  <si>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</si>
  <si>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</si>
  <si>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</si>
  <si>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</si>
  <si>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</si>
  <si>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</si>
  <si>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</si>
  <si>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</si>
  <si>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</si>
  <si>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</si>
  <si>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</si>
  <si>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</si>
  <si>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</si>
  <si>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</si>
  <si>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</si>
  <si>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</si>
  <si>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</si>
  <si>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</si>
  <si>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</si>
  <si>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</si>
  <si>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</si>
  <si>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</si>
  <si>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</si>
  <si>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</si>
  <si>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</si>
  <si>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</si>
  <si>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</si>
  <si>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</si>
  <si>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</si>
  <si>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</si>
  <si>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</si>
  <si>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</si>
  <si>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</si>
  <si>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</si>
  <si>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</si>
  <si>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</si>
  <si>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</si>
  <si>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</si>
  <si>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</si>
  <si>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</si>
  <si>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</si>
  <si>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</si>
  <si>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</si>
  <si>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</si>
  <si>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</si>
  <si>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</si>
  <si>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</si>
  <si>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</si>
  <si>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</si>
  <si>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</si>
  <si>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</si>
  <si>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</si>
  <si>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</si>
  <si>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</si>
  <si>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</si>
  <si>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</si>
  <si>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</si>
  <si>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</si>
  <si>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</si>
  <si>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</si>
  <si>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</si>
  <si>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</si>
  <si>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</si>
  <si>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</si>
  <si>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</si>
  <si>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</si>
  <si>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</si>
  <si>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</si>
  <si>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</si>
  <si>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</si>
  <si>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</si>
  <si>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</si>
  <si>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</si>
  <si>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</si>
  <si>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</si>
  <si>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</si>
  <si>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</si>
  <si>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</si>
  <si>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</si>
  <si>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</si>
  <si>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</si>
  <si>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</si>
  <si>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</si>
  <si>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</si>
  <si>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</si>
  <si>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</si>
  <si>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</si>
  <si>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</si>
  <si>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</si>
  <si>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</si>
  <si>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</si>
  <si>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</si>
  <si>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</si>
  <si>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</si>
  <si>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</si>
  <si>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</si>
  <si>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</si>
  <si>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</si>
  <si>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</si>
  <si>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</si>
  <si>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</si>
  <si>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Air Travel: New Aircraft Efficiency: Average Aircraft: Reference case</t>
  </si>
  <si>
    <t>AEO.2023.REF2023.EFI_NEW_AIRT_NA_NA_NA_USA_SEATMPG.A</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</si>
  <si>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</si>
  <si>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</si>
  <si>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</si>
  <si>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</si>
  <si>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</si>
  <si>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</si>
  <si>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</si>
  <si>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</si>
  <si>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</si>
  <si>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</si>
  <si>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</si>
  <si>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</si>
  <si>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</si>
  <si>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</si>
  <si>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</si>
  <si>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</si>
  <si>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</si>
  <si>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</si>
  <si>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</si>
  <si>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</si>
  <si>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</si>
  <si>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</si>
  <si>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</si>
  <si>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</si>
  <si>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</si>
  <si>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</si>
  <si>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</si>
  <si>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</si>
  <si>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</si>
  <si>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</si>
  <si>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</si>
  <si>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</si>
  <si>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</si>
  <si>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</si>
  <si>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</si>
  <si>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</si>
  <si>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</si>
  <si>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</si>
  <si>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</si>
  <si>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</si>
  <si>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</si>
  <si>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</si>
  <si>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Air Travel: Fuel Use: Commercial: Aviation Gasoline: U.S.: Reference case</t>
  </si>
  <si>
    <t>AEO.2023.REF2023.CNSM_NA_AIRT_COMM_AVGA_NA_USA_TRLBTU.A</t>
  </si>
  <si>
    <t>Air Travel: Fuel Use: Military: Jet Fuel: U.S.: Reference case</t>
  </si>
  <si>
    <t>AEO.2023.REF2023.CNSM_NA_AIRT_MILT_JFL_NA_USA_TRLBTU.A</t>
  </si>
  <si>
    <t>https://www.eia.gov/outlooks/aeo/data/browser/#/?id=148-AEO2023&amp;cases=ref2023&amp;sourcekey=0</t>
  </si>
  <si>
    <t>Thu Dec 11 2025 14:47:12 GMT-0800 (Pacific Standard Time)</t>
  </si>
  <si>
    <t>Aircraft Stock: Total: United States: Reference case</t>
  </si>
  <si>
    <t>AEO.2023.REF2023.STK_AIRC_NA_NA_NA_NA_USA_UNIT.A</t>
  </si>
  <si>
    <t>Aircraft Stock: Total: U.S.: Narrow Body: Reference case</t>
  </si>
  <si>
    <t>AEO.2023.REF2023.STK_AIRC_NA_NBTR_NA_NA_USA_UNIT.A</t>
  </si>
  <si>
    <t>Aircraft Stock: Total: U.S.: Wide Body: Reference case</t>
  </si>
  <si>
    <t>AEO.2023.REF2023.STK_AIRC_NA_WBE_NA_NA_USA_UNIT.A</t>
  </si>
  <si>
    <t>Aircraft Stock: Total: U.S.: Regional: Reference case</t>
  </si>
  <si>
    <t>AEO.2023.REF2023.STK_AIRC_NA_REGJ_NA_NA_USA_UNIT.A</t>
  </si>
  <si>
    <t>Aircraft Stock: Total: Canada: Reference case</t>
  </si>
  <si>
    <t>AEO.2023.REF2023.STK_AIRC_NA_NA_NA_NA_CAN_UNIT.A</t>
  </si>
  <si>
    <t>Aircraft Stock: Total: Canada: Narrow Body: Reference case</t>
  </si>
  <si>
    <t>AEO.2023.REF2023.STK_AIRC_NA_NBTR_NA_NA_CAN_UNIT.A</t>
  </si>
  <si>
    <t>Aircraft Stock: Total: Canada: Wide Body: Reference case</t>
  </si>
  <si>
    <t>AEO.2023.REF2023.STK_AIRC_NA_WBE_NA_NA_CAN_UNIT.A</t>
  </si>
  <si>
    <t>Aircraft Stock: Total: Canada: Regional: Reference case</t>
  </si>
  <si>
    <t>AEO.2023.REF2023.STK_AIRC_NA_REGJ_NA_NA_CAN_UNIT.A</t>
  </si>
  <si>
    <t>Aircraft Stock: Total: Central America: Reference case</t>
  </si>
  <si>
    <t>AEO.2023.REF2023.STK_AIRC_NA_NA_NA_NA_CNTA_UNIT.A</t>
  </si>
  <si>
    <t>Aircraft Stock: Total: Central America: Narrow Body: Reference case</t>
  </si>
  <si>
    <t>AEO.2023.REF2023.STK_AIRC_NA_NBTR_NA_NA_CNTA_UNIT.A</t>
  </si>
  <si>
    <t>Aircraft Stock: Total: Central America: Wide Body: Reference case</t>
  </si>
  <si>
    <t>AEO.2023.REF2023.STK_AIRC_NA_WBE_NA_NA_CNTA_UNIT.A</t>
  </si>
  <si>
    <t>Aircraft Stock: Total: Central America: Regional: Reference case</t>
  </si>
  <si>
    <t>AEO.2023.REF2023.STK_AIRC_NA_REGJ_NA_NA_CNTA_UNIT.A</t>
  </si>
  <si>
    <t>Aircraft Stock: Total: South America: Reference case</t>
  </si>
  <si>
    <t>AEO.2023.REF2023.STK_AIRC_NA_NA_NA_NA_SOAM_UNIT.A</t>
  </si>
  <si>
    <t>Aircraft Stock: Total: South America: Narrow Body: Reference case</t>
  </si>
  <si>
    <t>AEO.2023.REF2023.STK_AIRC_NA_NBTR_NA_NA_SOAM_UNIT.A</t>
  </si>
  <si>
    <t>Aircraft Stock: Total: South America: Wide Body: Reference case</t>
  </si>
  <si>
    <t>AEO.2023.REF2023.STK_AIRC_NA_WBE_NA_NA_SOAM_UNIT.A</t>
  </si>
  <si>
    <t>Aircraft Stock: Total: South America: Regional: Reference case</t>
  </si>
  <si>
    <t>AEO.2023.REF2023.STK_AIRC_NA_REGJ_NA_NA_SOAM_UNIT.A</t>
  </si>
  <si>
    <t>Aircraft Stock: Total: Europe: Reference case</t>
  </si>
  <si>
    <t>AEO.2023.REF2023.STK_AIRC_NA_NA_NA_NA_EUR_UNIT.A</t>
  </si>
  <si>
    <t>Aircraft Stock: Total: Europe: Narrow Body: Reference case</t>
  </si>
  <si>
    <t>AEO.2023.REF2023.STK_AIRC_NA_NBTR_NA_NA_EUR_UNIT.A</t>
  </si>
  <si>
    <t>Aircraft Stock: Total: Europe: Wide Body: Reference case</t>
  </si>
  <si>
    <t>AEO.2023.REF2023.STK_AIRC_NA_WBE_NA_NA_EUR_UNIT.A</t>
  </si>
  <si>
    <t>Aircraft Stock: Total: Europe: Regional: Reference case</t>
  </si>
  <si>
    <t>AEO.2023.REF2023.STK_AIRC_NA_REGJ_NA_NA_EUR_UNIT.A</t>
  </si>
  <si>
    <t>Aircraft Stock: Total: Africa: Reference case</t>
  </si>
  <si>
    <t>AEO.2023.REF2023.STK_AIRC_NA_NA_NA_NA_AFR_UNIT.A</t>
  </si>
  <si>
    <t>Aircraft Stock: Total: Africa: Narrow Body: Reference case</t>
  </si>
  <si>
    <t>AEO.2023.REF2023.STK_AIRC_NA_NBTR_NA_NA_AFR_UNIT.A</t>
  </si>
  <si>
    <t>Aircraft Stock: Total: Africa: Wide Body: Reference case</t>
  </si>
  <si>
    <t>AEO.2023.REF2023.STK_AIRC_NA_WBE_NA_NA_AFR_UNIT.A</t>
  </si>
  <si>
    <t>Aircraft Stock: Total: Africa: Regional: Reference case</t>
  </si>
  <si>
    <t>AEO.2023.REF2023.STK_AIRC_NA_REGJ_NA_NA_AFR_UNIT.A</t>
  </si>
  <si>
    <t>Aircraft Stock: Total: Mideast: Reference case</t>
  </si>
  <si>
    <t>AEO.2023.REF2023.STK_AIRC_NA_NA_NA_NA_MDE_UNIT.A</t>
  </si>
  <si>
    <t>Aircraft Stock: Total: Mideast: Narrow Body: Reference case</t>
  </si>
  <si>
    <t>AEO.2023.REF2023.STK_AIRC_NA_NBTR_NA_NA_MDE_UNIT.A</t>
  </si>
  <si>
    <t>Aircraft Stock: Total: Mideast: Wide Body: Reference case</t>
  </si>
  <si>
    <t>AEO.2023.REF2023.STK_AIRC_NA_WBE_NA_NA_MDE_UNIT.A</t>
  </si>
  <si>
    <t>Aircraft Stock: Total: Mideast: Regional: Reference case</t>
  </si>
  <si>
    <t>AEO.2023.REF2023.STK_AIRC_NA_REGJ_NA_NA_MDE_UNIT.A</t>
  </si>
  <si>
    <t>Aircraft Stock: Total: CIS: Reference case</t>
  </si>
  <si>
    <t>AEO.2023.REF2023.STK_AIRC_NA_NA_NA_NA_CWIS_UNIT.A</t>
  </si>
  <si>
    <t>Aircraft Stock: Total: CIS: Narrow Body: Reference case</t>
  </si>
  <si>
    <t>AEO.2023.REF2023.STK_AIRC_NA_NBTR_NA_NA_CWIS_UNIT.A</t>
  </si>
  <si>
    <t>Aircraft Stock: Total: CIS: Wide Body: Reference case</t>
  </si>
  <si>
    <t>AEO.2023.REF2023.STK_AIRC_NA_WBE_NA_NA_CWIS_UNIT.A</t>
  </si>
  <si>
    <t>Aircraft Stock: Total: CIS: Regional: Reference case</t>
  </si>
  <si>
    <t>AEO.2023.REF2023.STK_AIRC_NA_REGJ_NA_NA_CWIS_UNIT.A</t>
  </si>
  <si>
    <t>Aircraft Stock: Total: China: Reference case</t>
  </si>
  <si>
    <t>AEO.2023.REF2023.STK_AIRC_NA_NA_NA_NA_CHN_UNIT.A</t>
  </si>
  <si>
    <t>Aircraft Stock: Total: China: Narrow Body: Reference case</t>
  </si>
  <si>
    <t>AEO.2023.REF2023.STK_AIRC_NA_NBTR_NA_NA_CHN_UNIT.A</t>
  </si>
  <si>
    <t>Aircraft Stock: Total: China: Wide Body: Reference case</t>
  </si>
  <si>
    <t>AEO.2023.REF2023.STK_AIRC_NA_WBE_NA_NA_CHN_UNIT.A</t>
  </si>
  <si>
    <t>Aircraft Stock: Total: China: Regional: Reference case</t>
  </si>
  <si>
    <t>AEO.2023.REF2023.STK_AIRC_NA_REGJ_NA_NA_CHN_UNIT.A</t>
  </si>
  <si>
    <t>Aircraft Stock: Total: Northeast Asia: Reference case</t>
  </si>
  <si>
    <t>AEO.2023.REF2023.STK_AIRC_NA_NA_NA_NA_NEAS_UNIT.A</t>
  </si>
  <si>
    <t>Aircraft Stock: Total: Northeast Asia: Narrow Body: Reference case</t>
  </si>
  <si>
    <t>AEO.2023.REF2023.STK_AIRC_NA_NBTR_NA_NA_NEAS_UNIT.A</t>
  </si>
  <si>
    <t>Aircraft Stock: Total: Northeast Asia: Wide Body: Reference case</t>
  </si>
  <si>
    <t>AEO.2023.REF2023.STK_AIRC_NA_WBE_NA_NA_NEAS_UNIT.A</t>
  </si>
  <si>
    <t>Aircraft Stock: Total: Northeast Asia: Regional: Reference case</t>
  </si>
  <si>
    <t>AEO.2023.REF2023.STK_AIRC_NA_REGJ_NA_NA_NEAS_UNIT.A</t>
  </si>
  <si>
    <t>Aircraft Stock: Total: Southeast Asia: Reference case</t>
  </si>
  <si>
    <t>AEO.2023.REF2023.STK_AIRC_NA_NA_NA_NA_SEAS_UNIT.A</t>
  </si>
  <si>
    <t>Aircraft Stock: Total: Southeast Asia: Narrow Body: Reference case</t>
  </si>
  <si>
    <t>AEO.2023.REF2023.STK_AIRC_NA_NBTR_NA_NA_SEAS_UNIT.A</t>
  </si>
  <si>
    <t>Aircraft Stock: Total: Southeast Asia: Wide Body: Reference case</t>
  </si>
  <si>
    <t>AEO.2023.REF2023.STK_AIRC_NA_WBE_NA_NA_SEAS_UNIT.A</t>
  </si>
  <si>
    <t>Aircraft Stock: Total: Southeast Asia: Regional: Reference case</t>
  </si>
  <si>
    <t>AEO.2023.REF2023.STK_AIRC_NA_REGJ_NA_NA_SEAS_UNIT.A</t>
  </si>
  <si>
    <t>Aircraft Stock: Total: Southwest Asia: Reference case</t>
  </si>
  <si>
    <t>AEO.2023.REF2023.STK_AIRC_NA_NA_NA_NA_SWASIA_UNIT.A</t>
  </si>
  <si>
    <t>Aircraft Stock: Total: Southwest Asia: Narrow Body: Reference case</t>
  </si>
  <si>
    <t>AEO.2023.REF2023.STK_AIRC_NA_NBTR_NA_NA_SWASIA_UNIT.A</t>
  </si>
  <si>
    <t>Aircraft Stock: Total: Southwest Asia: Wide Body: Reference case</t>
  </si>
  <si>
    <t>AEO.2023.REF2023.STK_AIRC_NA_WBE_NA_NA_SWASIA_UNIT.A</t>
  </si>
  <si>
    <t>Aircraft Stock: Total: Southwest Asia: Regional: Reference case</t>
  </si>
  <si>
    <t>AEO.2023.REF2023.STK_AIRC_NA_REGJ_NA_NA_SWASIA_UNIT.A</t>
  </si>
  <si>
    <t>Aircraft Stock: Total: Oceania: Reference case</t>
  </si>
  <si>
    <t>AEO.2023.REF2023.STK_AIRC_NA_NA_NA_NA_OCN_UNIT.A</t>
  </si>
  <si>
    <t>Aircraft Stock: Total: Oceania: Narrow Body: Reference case</t>
  </si>
  <si>
    <t>AEO.2023.REF2023.STK_AIRC_NA_NBTR_NA_NA_OCN_UNIT.A</t>
  </si>
  <si>
    <t>Aircraft Stock: Total: Oceania: Wide Body: Reference case</t>
  </si>
  <si>
    <t>AEO.2023.REF2023.STK_AIRC_NA_WBE_NA_NA_OCN_UNIT.A</t>
  </si>
  <si>
    <t>Aircraft Stock: Total: Oceania: Regional: Reference case</t>
  </si>
  <si>
    <t>AEO.2023.REF2023.STK_AIRC_NA_REGJ_NA_NA_OCN_UNIT.A</t>
  </si>
  <si>
    <t>Aircraft Stock: Total: World: Reference case</t>
  </si>
  <si>
    <t>AEO.2023.REF2023.STK_AIRC_NA_NA_NA_NA_WRLD_UNIT.A</t>
  </si>
  <si>
    <t>Aircraft Stock: Active: United States: Reference case</t>
  </si>
  <si>
    <t>AEO.2023.REF2023.STK_AIRC_ACTV_NA_NA_NA_USA_UNIT.A</t>
  </si>
  <si>
    <t>Aircraft Stock: Active: U.S.: Narrow Body: Reference case</t>
  </si>
  <si>
    <t>AEO.2023.REF2023.STK_AIRC_ACTV_NBTR_NA_NA_USA_UNIT.A</t>
  </si>
  <si>
    <t>Aircraft Stock: Active: U.S.: Wide Body: Reference case</t>
  </si>
  <si>
    <t>AEO.2023.REF2023.STK_AIRC_ACTV_WBE_NA_NA_USA_UNIT.A</t>
  </si>
  <si>
    <t>Aircraft Stock: Active: U.S.: Regional: Reference case</t>
  </si>
  <si>
    <t>AEO.2023.REF2023.STK_AIRC_ACTV_REGJ_NA_NA_USA_UNIT.A</t>
  </si>
  <si>
    <t>Aircraft Stock: Active: Canada: Reference case</t>
  </si>
  <si>
    <t>AEO.2023.REF2023.STK_AIRC_ACTV_NA_NA_NA_CAN_UNIT.A</t>
  </si>
  <si>
    <t>Aircraft Stock: Active: Canada: Narrow Body: Reference case</t>
  </si>
  <si>
    <t>AEO.2023.REF2023.STK_AIRC_ACTV_NBTR_NA_NA_CAN_UNIT.A</t>
  </si>
  <si>
    <t>Aircraft Stock: Active: Canada: Wide Body: Reference case</t>
  </si>
  <si>
    <t>AEO.2023.REF2023.STK_AIRC_ACTV_WBE_NA_NA_CAN_UNIT.A</t>
  </si>
  <si>
    <t>Aircraft Stock: Active: Canada: Regional: Reference case</t>
  </si>
  <si>
    <t>AEO.2023.REF2023.STK_AIRC_ACTV_REGJ_NA_NA_CAN_UNIT.A</t>
  </si>
  <si>
    <t>Aircraft Stock: Active: Central America: Reference case</t>
  </si>
  <si>
    <t>AEO.2023.REF2023.STK_AIRC_ACTV_NA_NA_NA_CNTA_UNIT.A</t>
  </si>
  <si>
    <t>Aircraft Stock: Active: Central America: Narrow Body: Reference case</t>
  </si>
  <si>
    <t>AEO.2023.REF2023.STK_AIRC_ACTV_NBTR_NA_NA_CNTA_UNIT.A</t>
  </si>
  <si>
    <t>Aircraft Stock: Active: Central America: Wide Body: Reference case</t>
  </si>
  <si>
    <t>AEO.2023.REF2023.STK_AIRC_ACTV_WBE_NA_NA_CNTA_UNIT.A</t>
  </si>
  <si>
    <t>Aircraft Stock: Active: Central America: Regional: Reference case</t>
  </si>
  <si>
    <t>AEO.2023.REF2023.STK_AIRC_ACTV_REGJ_NA_NA_CNTA_UNIT.A</t>
  </si>
  <si>
    <t>Aircraft Stock: Active: South America: Reference case</t>
  </si>
  <si>
    <t>AEO.2023.REF2023.STK_AIRC_ACTV_NA_NA_NA_SOAM_UNIT.A</t>
  </si>
  <si>
    <t>Aircraft Stock: Active: South America: Narrow Body: Reference case</t>
  </si>
  <si>
    <t>AEO.2023.REF2023.STK_AIRC_ACTV_NBTR_NA_NA_SOAM_UNIT.A</t>
  </si>
  <si>
    <t>Aircraft Stock: Active: South America: Wide Body: Reference case</t>
  </si>
  <si>
    <t>AEO.2023.REF2023.STK_AIRC_ACTV_WBE_NA_NA_SOAM_UNIT.A</t>
  </si>
  <si>
    <t>Aircraft Stock: Active: South America: Regional: Reference case</t>
  </si>
  <si>
    <t>AEO.2023.REF2023.STK_AIRC_ACTV_REGJ_NA_NA_SOAM_UNIT.A</t>
  </si>
  <si>
    <t>Aircraft Stock: Active: Europe: Reference case</t>
  </si>
  <si>
    <t>AEO.2023.REF2023.STK_AIRC_ACTV_NA_NA_NA_EUR_UNIT.A</t>
  </si>
  <si>
    <t>Aircraft Stock: Active: Europe: Narrow Body: Reference case</t>
  </si>
  <si>
    <t>AEO.2023.REF2023.STK_AIRC_ACTV_NBTR_NA_NA_EUR_UNIT.A</t>
  </si>
  <si>
    <t>Aircraft Stock: Active: Europe: Wide Body: Reference case</t>
  </si>
  <si>
    <t>AEO.2023.REF2023.STK_AIRC_ACTV_WBE_NA_NA_EUR_UNIT.A</t>
  </si>
  <si>
    <t>Aircraft Stock: Active: Europe: Regional: Reference case</t>
  </si>
  <si>
    <t>AEO.2023.REF2023.STK_AIRC_ACTV_REGJ_NA_NA_EUR_UNIT.A</t>
  </si>
  <si>
    <t>Aircraft Stock: Active: Africa: Reference case</t>
  </si>
  <si>
    <t>AEO.2023.REF2023.STK_AIRC_ACTV_NA_NA_NA_AFR_UNIT.A</t>
  </si>
  <si>
    <t>Aircraft Stock: Active: Africa: Narrow Body: Reference case</t>
  </si>
  <si>
    <t>AEO.2023.REF2023.STK_AIRC_ACTV_NBTR_NA_NA_AFR_UNIT.A</t>
  </si>
  <si>
    <t>Aircraft Stock: Active: Africa: Wide Body: Reference case</t>
  </si>
  <si>
    <t>AEO.2023.REF2023.STK_AIRC_ACTV_WBE_NA_NA_AFR_UNIT.A</t>
  </si>
  <si>
    <t>Aircraft Stock: Active: Africa: Regional: Reference case</t>
  </si>
  <si>
    <t>AEO.2023.REF2023.STK_AIRC_ACTV_REGJ_NA_NA_AFR_UNIT.A</t>
  </si>
  <si>
    <t>Aircraft Stock: Active: Mideast: Reference case</t>
  </si>
  <si>
    <t>AEO.2023.REF2023.STK_AIRC_ACTV_NA_NA_NA_MDE_UNIT.A</t>
  </si>
  <si>
    <t>Aircraft Stock: Active: Mideast: Narrow Body: Reference case</t>
  </si>
  <si>
    <t>AEO.2023.REF2023.STK_AIRC_ACTV_NBTR_NA_NA_MDE_UNIT.A</t>
  </si>
  <si>
    <t>Aircraft Stock: Active: Mideast: Wide Body: Reference case</t>
  </si>
  <si>
    <t>AEO.2023.REF2023.STK_AIRC_ACTV_WBE_NA_NA_MDE_UNIT.A</t>
  </si>
  <si>
    <t>Aircraft Stock: Active: Mideast: Regional: Reference case</t>
  </si>
  <si>
    <t>AEO.2023.REF2023.STK_AIRC_ACTV_REGJ_NA_NA_MDE_UNIT.A</t>
  </si>
  <si>
    <t>Aircraft Stock: Active: CIS: Reference case</t>
  </si>
  <si>
    <t>AEO.2023.REF2023.STK_AIRC_ACTV_NA_NA_NA_CWIS_UNIT.A</t>
  </si>
  <si>
    <t>Aircraft Stock: Active: CIS: Narrow Body: Reference case</t>
  </si>
  <si>
    <t>AEO.2023.REF2023.STK_AIRC_ACTV_NBTR_NA_NA_CWIS_UNIT.A</t>
  </si>
  <si>
    <t>Aircraft Stock: Active: CIS: Wide Body: Reference case</t>
  </si>
  <si>
    <t>AEO.2023.REF2023.STK_AIRC_ACTV_WBE_NA_NA_CWIS_UNIT.A</t>
  </si>
  <si>
    <t>Aircraft Stock: Active: CIS: Regional: Reference case</t>
  </si>
  <si>
    <t>AEO.2023.REF2023.STK_AIRC_ACTV_REGJ_NA_NA_CWIS_UNIT.A</t>
  </si>
  <si>
    <t>Aircraft Stock: Active: China: Reference case</t>
  </si>
  <si>
    <t>AEO.2023.REF2023.STK_AIRC_ACTV_NA_NA_NA_CHN_UNIT.A</t>
  </si>
  <si>
    <t>Aircraft Stock: Active: China: Narrow Body: Reference case</t>
  </si>
  <si>
    <t>AEO.2023.REF2023.STK_AIRC_ACTV_NBTR_NA_NA_CHN_UNIT.A</t>
  </si>
  <si>
    <t>Aircraft Stock: Active: China: Wide Body: Reference case</t>
  </si>
  <si>
    <t>AEO.2023.REF2023.STK_AIRC_ACTV_WBE_NA_NA_CHN_UNIT.A</t>
  </si>
  <si>
    <t>Aircraft Stock: Active: China: Regional: Reference case</t>
  </si>
  <si>
    <t>AEO.2023.REF2023.STK_AIRC_ACTV_REGJ_NA_NA_CHN_UNIT.A</t>
  </si>
  <si>
    <t>Aircraft Stock: Active: Northeast Asia: Reference case</t>
  </si>
  <si>
    <t>AEO.2023.REF2023.STK_AIRC_ACTV_NA_NA_NA_NEAS_UNIT.A</t>
  </si>
  <si>
    <t>Aircraft Stock: Active: Northeast Asia: Narrow Body: Reference case</t>
  </si>
  <si>
    <t>AEO.2023.REF2023.STK_AIRC_ACTV_NBTR_NA_NA_NEAS_UNIT.A</t>
  </si>
  <si>
    <t>Aircraft Stock: Active: Northeast Asia: Wide Body: Reference case</t>
  </si>
  <si>
    <t>AEO.2023.REF2023.STK_AIRC_ACTV_WBE_NA_NA_NEAS_UNIT.A</t>
  </si>
  <si>
    <t>Aircraft Stock: Active: Northeast Asia: Regional: Reference case</t>
  </si>
  <si>
    <t>AEO.2023.REF2023.STK_AIRC_ACTV_REGJ_NA_NA_NEAS_UNIT.A</t>
  </si>
  <si>
    <t>Aircraft Stock: Active: Southeast Asia: Reference case</t>
  </si>
  <si>
    <t>AEO.2023.REF2023.STK_AIRC_ACTV_NA_NA_NA_SEAS_UNIT.A</t>
  </si>
  <si>
    <t>Aircraft Stock: Active: Southeast Asia: Narrow Body: Reference case</t>
  </si>
  <si>
    <t>AEO.2023.REF2023.STK_AIRC_ACTV_NBTR_NA_NA_SEAS_UNIT.A</t>
  </si>
  <si>
    <t>Aircraft Stock: Active: Southeast Asia: Wide Body: Reference case</t>
  </si>
  <si>
    <t>AEO.2023.REF2023.STK_AIRC_ACTV_WBE_NA_NA_SEAS_UNIT.A</t>
  </si>
  <si>
    <t>Aircraft Stock: Active: Southeast Asia: Regional: Reference case</t>
  </si>
  <si>
    <t>AEO.2023.REF2023.STK_AIRC_ACTV_REGJ_NA_NA_SEAS_UNIT.A</t>
  </si>
  <si>
    <t>Aircraft Stock: Active: Southwest Asia: Reference case</t>
  </si>
  <si>
    <t>AEO.2023.REF2023.STK_AIRC_ACTV_NA_NA_NA_SWASIA_UNIT.A</t>
  </si>
  <si>
    <t>Aircraft Stock: Active: Southwest Asia: Narrow Body: Reference case</t>
  </si>
  <si>
    <t>AEO.2023.REF2023.STK_AIRC_ACTV_NBTR_NA_NA_SWASIA_UNIT.A</t>
  </si>
  <si>
    <t>Aircraft Stock: Active: Southwest Asia: Wide Body: Reference case</t>
  </si>
  <si>
    <t>AEO.2023.REF2023.STK_AIRC_ACTV_WBE_NA_NA_SWASIA_UNIT.A</t>
  </si>
  <si>
    <t>Aircraft Stock: Active: Southwest Asia: Regional: Reference case</t>
  </si>
  <si>
    <t>AEO.2023.REF2023.STK_AIRC_ACTV_REGJ_NA_NA_SWASIA_UNIT.A</t>
  </si>
  <si>
    <t>Aircraft Stock: Active: Oceania: Reference case</t>
  </si>
  <si>
    <t>AEO.2023.REF2023.STK_AIRC_ACTV_NA_NA_NA_OCN_UNIT.A</t>
  </si>
  <si>
    <t>Aircraft Stock: Active: Oceania: Narrow Body: Reference case</t>
  </si>
  <si>
    <t>AEO.2023.REF2023.STK_AIRC_ACTV_NBTR_NA_NA_OCN_UNIT.A</t>
  </si>
  <si>
    <t>Aircraft Stock: Active: Oceania: Wide Body: Reference case</t>
  </si>
  <si>
    <t>AEO.2023.REF2023.STK_AIRC_ACTV_WBE_NA_NA_OCN_UNIT.A</t>
  </si>
  <si>
    <t>Aircraft Stock: Active: Oceania: Regional: Reference case</t>
  </si>
  <si>
    <t>AEO.2023.REF2023.STK_AIRC_ACTV_REGJ_NA_NA_OCN_UNIT.A</t>
  </si>
  <si>
    <t>Aircraft Stock: Active: World: Reference case</t>
  </si>
  <si>
    <t>AEO.2023.REF2023.STK_AIRC_ACTV_NA_NA_NA_WRLD_UNIT.A</t>
  </si>
  <si>
    <t>Aircraft Stock: Parked: United States: Reference case</t>
  </si>
  <si>
    <t>AEO.2023.REF2023.STK_AIRC_PRKD_NA_NA_NA_USA_UNIT.A</t>
  </si>
  <si>
    <t>Aircraft Stock: Parked: U.S.: Narrow Body: Reference case</t>
  </si>
  <si>
    <t>AEO.2023.REF2023.STK_AIRC_PRKD_NBTR_NA_NA_USA_UNIT.A</t>
  </si>
  <si>
    <t>Aircraft Stock: Parked: U.S.: Wide Body: Reference case</t>
  </si>
  <si>
    <t>AEO.2023.REF2023.STK_AIRC_PRKD_WBE_NA_NA_USA_UNIT.A</t>
  </si>
  <si>
    <t>Aircraft Stock: Parked: U.S.: Regional: Reference case</t>
  </si>
  <si>
    <t>AEO.2023.REF2023.STK_AIRC_PRKD_REGJ_NA_NA_USA_UNIT.A</t>
  </si>
  <si>
    <t>Aircraft Stock: Parked: Canada: Reference case</t>
  </si>
  <si>
    <t>AEO.2023.REF2023.STK_AIRC_PRKD_NA_NA_NA_CAN_UNIT.A</t>
  </si>
  <si>
    <t>Aircraft Stock: Parked: Canada: Narrow Body: Reference case</t>
  </si>
  <si>
    <t>AEO.2023.REF2023.STK_AIRC_PRKD_NBTR_NA_NA_CAN_UNIT.A</t>
  </si>
  <si>
    <t>Aircraft Stock: Parked: Canada: Wide Body: Reference case</t>
  </si>
  <si>
    <t>AEO.2023.REF2023.STK_AIRC_PRKD_WBE_NA_NA_CAN_UNIT.A</t>
  </si>
  <si>
    <t>Aircraft Stock: Parked: Canada: Regional: Reference case</t>
  </si>
  <si>
    <t>AEO.2023.REF2023.STK_AIRC_PRKD_REGJ_NA_NA_CAN_UNIT.A</t>
  </si>
  <si>
    <t>Aircraft Stock: Parked: Central America: Reference case</t>
  </si>
  <si>
    <t>AEO.2023.REF2023.STK_AIRC_PRKD_NA_NA_NA_CNTA_UNIT.A</t>
  </si>
  <si>
    <t>Aircraft Stock: Parked: Central America: Narrow Body: Reference case</t>
  </si>
  <si>
    <t>AEO.2023.REF2023.STK_AIRC_PRKD_NBTR_NA_NA_CNTA_UNIT.A</t>
  </si>
  <si>
    <t>Aircraft Stock: Parked: Central America: Wide Body: Reference case</t>
  </si>
  <si>
    <t>AEO.2023.REF2023.STK_AIRC_PRKD_WBE_NA_NA_CNTA_UNIT.A</t>
  </si>
  <si>
    <t>Aircraft Stock: Parked: Central America: Regional: Reference case</t>
  </si>
  <si>
    <t>AEO.2023.REF2023.STK_AIRC_PRKD_REGJ_NA_NA_CNTA_UNIT.A</t>
  </si>
  <si>
    <t>Aircraft Stock: Parked: South America: Reference case</t>
  </si>
  <si>
    <t>AEO.2023.REF2023.STK_AIRC_PRKD_NA_NA_NA_SOAM_UNIT.A</t>
  </si>
  <si>
    <t>Aircraft Stock: Parked: South America: Narrow Body: Reference case</t>
  </si>
  <si>
    <t>AEO.2023.REF2023.STK_AIRC_PRKD_NBTR_NA_NA_SOAM_UNIT.A</t>
  </si>
  <si>
    <t>Aircraft Stock: Parked: South America: Wide Body: Reference case</t>
  </si>
  <si>
    <t>AEO.2023.REF2023.STK_AIRC_PRKD_WBE_NA_NA_SOAM_UNIT.A</t>
  </si>
  <si>
    <t>Aircraft Stock: Parked: South America: Regional: Reference case</t>
  </si>
  <si>
    <t>AEO.2023.REF2023.STK_AIRC_PRKD_REGJ_NA_NA_SOAM_UNIT.A</t>
  </si>
  <si>
    <t>Aircraft Stock: Parked: Europe: Reference case</t>
  </si>
  <si>
    <t>AEO.2023.REF2023.STK_AIRC_PRKD_NA_NA_NA_EUR_UNIT.A</t>
  </si>
  <si>
    <t>Aircraft Stock: Parked: Europe: Narrow Body: Reference case</t>
  </si>
  <si>
    <t>AEO.2023.REF2023.STK_AIRC_PRKD_NBTR_NA_NA_EUR_UNIT.A</t>
  </si>
  <si>
    <t>Aircraft Stock: Parked: Europe: Wide Body: Reference case</t>
  </si>
  <si>
    <t>AEO.2023.REF2023.STK_AIRC_PRKD_WBE_NA_NA_EUR_UNIT.A</t>
  </si>
  <si>
    <t>Aircraft Stock: Parked: Europe: Regional: Reference case</t>
  </si>
  <si>
    <t>AEO.2023.REF2023.STK_AIRC_PRKD_REGJ_NA_NA_EUR_UNIT.A</t>
  </si>
  <si>
    <t>Aircraft Stock: Parked: Africa: Reference case</t>
  </si>
  <si>
    <t>AEO.2023.REF2023.STK_AIRC_PRKD_NA_NA_NA_AFR_UNIT.A</t>
  </si>
  <si>
    <t>Aircraft Stock: Parked: Africa: Narrow Body: Reference case</t>
  </si>
  <si>
    <t>AEO.2023.REF2023.STK_AIRC_PRKD_NBTR_NA_NA_AFR_UNIT.A</t>
  </si>
  <si>
    <t>Aircraft Stock: Parked: Africa: Wide Body: Reference case</t>
  </si>
  <si>
    <t>AEO.2023.REF2023.STK_AIRC_PRKD_WBE_NA_NA_AFR_UNIT.A</t>
  </si>
  <si>
    <t>Aircraft Stock: Parked: Africa: Regional: Reference case</t>
  </si>
  <si>
    <t>AEO.2023.REF2023.STK_AIRC_PRKD_REGJ_NA_NA_AFR_UNIT.A</t>
  </si>
  <si>
    <t>Aircraft Stock: Parked: Mideast: Reference case</t>
  </si>
  <si>
    <t>AEO.2023.REF2023.STK_AIRC_PRKD_NA_NA_NA_MDE_UNIT.A</t>
  </si>
  <si>
    <t>Aircraft Stock: Parked: Mideast: Narrow Body: Reference case</t>
  </si>
  <si>
    <t>AEO.2023.REF2023.STK_AIRC_PRKD_NBTR_NA_NA_MDE_UNIT.A</t>
  </si>
  <si>
    <t>Aircraft Stock: Parked: Mideast: Wide Body: Reference case</t>
  </si>
  <si>
    <t>AEO.2023.REF2023.STK_AIRC_PRKD_WBE_NA_NA_MDE_UNIT.A</t>
  </si>
  <si>
    <t>Aircraft Stock: Parked: Mideast: Regional: Reference case</t>
  </si>
  <si>
    <t>AEO.2023.REF2023.STK_AIRC_PRKD_REGJ_NA_NA_MDE_UNIT.A</t>
  </si>
  <si>
    <t>Aircraft Stock: Parked: CIS: Reference case</t>
  </si>
  <si>
    <t>AEO.2023.REF2023.STK_AIRC_PRKD_NA_NA_NA_CWIS_UNIT.A</t>
  </si>
  <si>
    <t>Aircraft Stock: Parked: CIS: Narrow Body: Reference case</t>
  </si>
  <si>
    <t>AEO.2023.REF2023.STK_AIRC_PRKD_NBTR_NA_NA_CWIS_UNIT.A</t>
  </si>
  <si>
    <t>Aircraft Stock: Parked: CIS: Wide Body: Reference case</t>
  </si>
  <si>
    <t>AEO.2023.REF2023.STK_AIRC_PRKD_WBE_NA_NA_CWIS_UNIT.A</t>
  </si>
  <si>
    <t>Aircraft Stock: Parked: CIS: Regional: Reference case</t>
  </si>
  <si>
    <t>AEO.2023.REF2023.STK_AIRC_PRKD_REGJ_NA_NA_CWIS_UNIT.A</t>
  </si>
  <si>
    <t>Aircraft Stock: Parked: China: Reference case</t>
  </si>
  <si>
    <t>AEO.2023.REF2023.STK_AIRC_PRKD_NA_NA_NA_CHN_UNIT.A</t>
  </si>
  <si>
    <t>Aircraft Stock: Parked: China: Narrow Body: Reference case</t>
  </si>
  <si>
    <t>AEO.2023.REF2023.STK_AIRC_PRKD_NBTR_NA_NA_CHN_UNIT.A</t>
  </si>
  <si>
    <t>Aircraft Stock: Parked: China: Wide Body: Reference case</t>
  </si>
  <si>
    <t>AEO.2023.REF2023.STK_AIRC_PRKD_WBE_NA_NA_CHN_UNIT.A</t>
  </si>
  <si>
    <t>Aircraft Stock: Parked: China: Regional: Reference case</t>
  </si>
  <si>
    <t>AEO.2023.REF2023.STK_AIRC_PRKD_REGJ_NA_NA_CHN_UNIT.A</t>
  </si>
  <si>
    <t>Aircraft Stock: Parked: Northeast Asia: Reference case</t>
  </si>
  <si>
    <t>AEO.2023.REF2023.STK_AIRC_PRKD_NA_NA_NA_NEAS_UNIT.A</t>
  </si>
  <si>
    <t>Aircraft Stock: Parked: Northeast Asia: Narrow Body: Reference case</t>
  </si>
  <si>
    <t>AEO.2023.REF2023.STK_AIRC_PRKD_NBTR_NA_NA_NEAS_UNIT.A</t>
  </si>
  <si>
    <t>Aircraft Stock: Parked: Northeast Asia: Wide Body: Reference case</t>
  </si>
  <si>
    <t>AEO.2023.REF2023.STK_AIRC_PRKD_WBE_NA_NA_NEAS_UNIT.A</t>
  </si>
  <si>
    <t>Aircraft Stock: Parked: Northeast Asia: Regional: Reference case</t>
  </si>
  <si>
    <t>AEO.2023.REF2023.STK_AIRC_PRKD_REGJ_NA_NA_NEAS_UNIT.A</t>
  </si>
  <si>
    <t>Aircraft Stock: Parked: Southeast Asia: Reference case</t>
  </si>
  <si>
    <t>AEO.2023.REF2023.STK_AIRC_PRKD_NA_NA_NA_SEAS_UNIT.A</t>
  </si>
  <si>
    <t>Aircraft Stock: Parked: Southeast Asia: Narrow Body: Reference case</t>
  </si>
  <si>
    <t>AEO.2023.REF2023.STK_AIRC_PRKD_NBTR_NA_NA_SEAS_UNIT.A</t>
  </si>
  <si>
    <t>Aircraft Stock: Parked: Southeast Asia: Wide Body: Reference case</t>
  </si>
  <si>
    <t>AEO.2023.REF2023.STK_AIRC_PRKD_WBE_NA_NA_SEAS_UNIT.A</t>
  </si>
  <si>
    <t>Aircraft Stock: Parked: Southeast Asia: Regional: Reference case</t>
  </si>
  <si>
    <t>AEO.2023.REF2023.STK_AIRC_PRKD_REGJ_NA_NA_SEAS_UNIT.A</t>
  </si>
  <si>
    <t>Aircraft Stock: Parked: Southwest Asia: Reference case</t>
  </si>
  <si>
    <t>AEO.2023.REF2023.STK_AIRC_PRKD_NA_NA_NA_SWASIA_UNIT.A</t>
  </si>
  <si>
    <t>Aircraft Stock: Parked: Southwest Asia: Narrow Body: Reference case</t>
  </si>
  <si>
    <t>AEO.2023.REF2023.STK_AIRC_PRKD_NBTR_NA_NA_SWASIA_UNIT.A</t>
  </si>
  <si>
    <t>Aircraft Stock: Parked: Southwest Asia: Wide Body: Reference case</t>
  </si>
  <si>
    <t>AEO.2023.REF2023.STK_AIRC_PRKD_WBE_NA_NA_SWASIA_UNIT.A</t>
  </si>
  <si>
    <t>Aircraft Stock: Parked: Southwest Asia: Regional: Reference case</t>
  </si>
  <si>
    <t>AEO.2023.REF2023.STK_AIRC_PRKD_REGJ_NA_NA_SWASIA_UNIT.A</t>
  </si>
  <si>
    <t>Aircraft Stock: Parked: Oceania: Reference case</t>
  </si>
  <si>
    <t>AEO.2023.REF2023.STK_AIRC_PRKD_NA_NA_NA_OCN_UNIT.A</t>
  </si>
  <si>
    <t>Aircraft Stock: Parked: Oceania: Narrow Body: Reference case</t>
  </si>
  <si>
    <t>AEO.2023.REF2023.STK_AIRC_PRKD_NBTR_NA_NA_OCN_UNIT.A</t>
  </si>
  <si>
    <t>Aircraft Stock: Parked: Oceania: Wide Body: Reference case</t>
  </si>
  <si>
    <t>AEO.2023.REF2023.STK_AIRC_PRKD_WBE_NA_NA_OCN_UNIT.A</t>
  </si>
  <si>
    <t>Aircraft Stock: Parked: Oceania: Regional: Reference case</t>
  </si>
  <si>
    <t>AEO.2023.REF2023.STK_AIRC_PRKD_REGJ_NA_NA_OCN_UNIT.A</t>
  </si>
  <si>
    <t>Aircraft Stock: Parked: World: Reference case</t>
  </si>
  <si>
    <t>AEO.2023.REF2023.STK_AIRC_PRKD_NA_NA_NA_WRLD_UNIT.A</t>
  </si>
  <si>
    <t>Aircraft Stock: Cargo: United States: Reference case</t>
  </si>
  <si>
    <t>AEO.2023.REF2023.STK_AIRC_CARG_NA_NA_NA_USA_UNIT.A</t>
  </si>
  <si>
    <t>Aircraft Stock: Cargo: Canada: Reference case</t>
  </si>
  <si>
    <t>AEO.2023.REF2023.STK_AIRC_CARG_NA_NA_NA_CAN_UNIT.A</t>
  </si>
  <si>
    <t>Aircraft Stock: Cargo: Central America: Reference case</t>
  </si>
  <si>
    <t>AEO.2023.REF2023.STK_AIRC_CARG_NA_NA_NA_CNTA_UNIT.A</t>
  </si>
  <si>
    <t>Aircraft Stock: Cargo: South America: Reference case</t>
  </si>
  <si>
    <t>AEO.2023.REF2023.STK_AIRC_CARG_NA_NA_NA_SOAM_UNIT.A</t>
  </si>
  <si>
    <t>Aircraft Stock: Cargo: Europe: Reference case</t>
  </si>
  <si>
    <t>AEO.2023.REF2023.STK_AIRC_CARG_NA_NA_NA_EUR_UNIT.A</t>
  </si>
  <si>
    <t>Aircraft Stock: Cargo: Africa: Reference case</t>
  </si>
  <si>
    <t>AEO.2023.REF2023.STK_AIRC_CARG_NA_NA_NA_AFR_UNIT.A</t>
  </si>
  <si>
    <t>Aircraft Stock: Cargo: Mideast: Reference case</t>
  </si>
  <si>
    <t>AEO.2023.REF2023.STK_AIRC_CARG_NA_NA_NA_MDE_UNIT.A</t>
  </si>
  <si>
    <t>Aircraft Stock: Cargo: CIS: Reference case</t>
  </si>
  <si>
    <t>AEO.2023.REF2023.STK_AIRC_CARG_NA_NA_NA_CWIS_UNIT.A</t>
  </si>
  <si>
    <t>Aircraft Stock: Cargo: China: Reference case</t>
  </si>
  <si>
    <t>AEO.2023.REF2023.STK_AIRC_CARG_NA_NA_NA_CHN_UNIT.A</t>
  </si>
  <si>
    <t>Aircraft Stock: Cargo: Northeast Asia: Reference case</t>
  </si>
  <si>
    <t>AEO.2023.REF2023.STK_AIRC_CARG_NA_NA_NA_NEAS_UNIT.A</t>
  </si>
  <si>
    <t>Aircraft Stock: Cargo: Southeast Asia: Reference case</t>
  </si>
  <si>
    <t>AEO.2023.REF2023.STK_AIRC_CARG_NA_NA_NA_SEAS_UNIT.A</t>
  </si>
  <si>
    <t>Aircraft Stock: Cargo: Southwest Asia: Reference case</t>
  </si>
  <si>
    <t>AEO.2023.REF2023.STK_AIRC_CARG_NA_NA_NA_SWASIA_UNIT.A</t>
  </si>
  <si>
    <t>Aircraft Stock: Cargo: Oceania: Reference case</t>
  </si>
  <si>
    <t>AEO.2023.REF2023.STK_AIRC_CARG_NA_NA_NA_OCN_UNIT.A</t>
  </si>
  <si>
    <t>Aircraft Stock: Cargo: World: Reference case</t>
  </si>
  <si>
    <t>AEO.2023.REF2023.STK_AIRC_CARG_NA_NA_NA_WRLD_UNIT.A</t>
  </si>
  <si>
    <t>https://www.eia.gov/outlooks/aeo/data/browser/#/?id=58-AEO2023&amp;cases=ref2023&amp;sourcekey=0</t>
  </si>
  <si>
    <t>Thu Dec 11 2025 14:59:15 GMT-0800 (Pacific Standard Time)</t>
  </si>
  <si>
    <t>Freight: Truck Stock: Vehicle Miles Traveled: Light Medium: Diesel: Reference case</t>
  </si>
  <si>
    <t>AEO.2023.REF2023.ECI_VMT_FGHT_LITEMEDS_DSL_NA_NA_BLNMLS.A</t>
  </si>
  <si>
    <t>Freight: Truck Stock: Vehicle Miles Traveled: Light Medium: Motor Gasoline: Reference case</t>
  </si>
  <si>
    <t>AEO.2023.REF2023.ECI_VMT_FGHT_LITEMEDS_MGS_NA_NA_BLNMLS.A</t>
  </si>
  <si>
    <t>Freight: Truck Stock: Vehicle Miles Traveled: Light Medium: Propane: Reference case</t>
  </si>
  <si>
    <t>AEO.2023.REF2023.ECI_VMT_FGHT_LITEMEDS_PROP_NA_NA_BLNMLS.A</t>
  </si>
  <si>
    <t>Freight: Truck Stock: Vehicle Miles Traveled: Light Medium: Natural Gas: Reference case</t>
  </si>
  <si>
    <t>AEO.2023.REF2023.ECI_VMT_FGHT_LITEMEDS_NG_NA_NA_BLNMLS.A</t>
  </si>
  <si>
    <t>Freight: Truck Stock: Vehicle Miles Traveled: Light Medium: Ethanol-Flex Fuel: Reference case</t>
  </si>
  <si>
    <t>AEO.2023.REF2023.ECI_VMT_FGHT_LITEMEDS_EFFI_NA_NA_BLNMLS.A</t>
  </si>
  <si>
    <t>Freight: Truck Stock: Vehicle Miles Traveled: Light Medium: Electric: Reference case</t>
  </si>
  <si>
    <t>AEO.2023.REF2023.ECI_VMT_FGHT_LITEMEDS_ELE_NA_NA_BLNMLS.A</t>
  </si>
  <si>
    <t>Freight: Truck Stock: Vehicle Miles Traveled: Light Medium: Plug-in Diesel Hybrid: Reference case</t>
  </si>
  <si>
    <t>AEO.2023.REF2023.ECI_VMT_FGHT_LITEMEDS_EDH_NA_NA_BLNMLS.A</t>
  </si>
  <si>
    <t>Freight: Truck Stock: Vehicle Miles Traveled: Light Medium: Plug-in Gasoline Hybrid: Reference case</t>
  </si>
  <si>
    <t>AEO.2023.REF2023.ECI_VMT_FGHT_LITEMEDS_EGH_NA_NA_BLNMLS.A</t>
  </si>
  <si>
    <t>Freight: Truck Stock: Vehicle Miles Traveled: Light Medium: Fuel Cell: Reference case</t>
  </si>
  <si>
    <t>AEO.2023.REF2023.ECI_VMT_FGHT_LITEMEDS_FUC_NA_NA_BLNMLS.A</t>
  </si>
  <si>
    <t>Freight: Truck Stock: Vehicle Miles Traveled: Light Medium: Reference case</t>
  </si>
  <si>
    <t>AEO.2023.REF2023.ECI_VMT_FGHT_LITEMEDS_NA_NA_NA_BLNMLS.A</t>
  </si>
  <si>
    <t>Freight: Truck Stock: Vehicle Miles Traveled: Medium: Diesel: Reference case</t>
  </si>
  <si>
    <t>AEO.2023.REF2023.ECI_VMT_FGHT_SOSOS_DSL_NA_NA_BLNMLS.A</t>
  </si>
  <si>
    <t>Freight: Truck Stock: Vehicle Miles Traveled: Medium: Motor Gasoline: Reference case</t>
  </si>
  <si>
    <t>AEO.2023.REF2023.ECI_VMT_FGHT_SOSOS_MGS_NA_NA_BLNMLS.A</t>
  </si>
  <si>
    <t>Freight: Truck Stock: Vehicle Miles Traveled: Medium: Propane: Reference case</t>
  </si>
  <si>
    <t>AEO.2023.REF2023.ECI_VMT_FGHT_SOSOS_PROP_NA_NA_BLNMLS.A</t>
  </si>
  <si>
    <t>Freight: Truck Stock: Vehicle Miles Traveled: Medium: Natural Gas: Reference case</t>
  </si>
  <si>
    <t>AEO.2023.REF2023.ECI_VMT_FGHT_SOSOS_NG_NA_NA_BLNMLS.A</t>
  </si>
  <si>
    <t>Freight: Truck Stock: Vehicle Miles Traveled: Medium: Ethanol-Flex Fuel: Reference case</t>
  </si>
  <si>
    <t>AEO.2023.REF2023.ECI_VMT_FGHT_SOSOS_EFFI_NA_NA_BLNMLS.A</t>
  </si>
  <si>
    <t>Freight: Truck Stock: Vehicle Miles Traveled: Medium: Electric: Reference case</t>
  </si>
  <si>
    <t>AEO.2023.REF2023.ECI_VMT_FGHT_SOSOS_ELE_NA_NA_BLNMLS.A</t>
  </si>
  <si>
    <t>Freight: Truck Stock: Vehicle Miles Traveled: Medium: Plug-in Diesel Hybrid: Reference case</t>
  </si>
  <si>
    <t>AEO.2023.REF2023.ECI_VMT_FGHT_SOSOS_EDH_NA_NA_BLNMLS.A</t>
  </si>
  <si>
    <t>Freight: Truck Stock: Vehicle Miles Traveled: Medium: Plug-in Gasoline Hybrid: Reference case</t>
  </si>
  <si>
    <t>AEO.2023.REF2023.ECI_VMT_FGHT_SOSOS_EGH_NA_NA_BLNMLS.A</t>
  </si>
  <si>
    <t>Freight: Truck Stock: Vehicle Miles Traveled: Medium: Fuel Cell: Reference case</t>
  </si>
  <si>
    <t>AEO.2023.REF2023.ECI_VMT_FGHT_SOSOS_FUC_NA_NA_BLNMLS.A</t>
  </si>
  <si>
    <t>Freight: Truck Stock: Vehicle Miles Traveled: Medium: Reference case</t>
  </si>
  <si>
    <t>AEO.2023.REF2023.ECI_VMT_FGHT_SOSOS_NA_NA_NA_BLNMLS.A</t>
  </si>
  <si>
    <t>Freight: Truck Stock: Vehicle Miles Traveled: Heavy: Diesel: Reference case</t>
  </si>
  <si>
    <t>AEO.2023.REF2023.ECI_VMT_FGHT_RADS_DSL_NA_NA_BLNMLS.A</t>
  </si>
  <si>
    <t>Freight: Truck Stock: Vehicle Miles Traveled: Heavy: Motor Gasoline: Reference case</t>
  </si>
  <si>
    <t>AEO.2023.REF2023.ECI_VMT_FGHT_RADS_MGS_NA_NA_BLNMLS.A</t>
  </si>
  <si>
    <t>Freight: Truck Stock: Vehicle Miles Traveled: Heavy: Propane: Reference case</t>
  </si>
  <si>
    <t>AEO.2023.REF2023.ECI_VMT_FGHT_RADS_PROP_NA_NA_BLNMLS.A</t>
  </si>
  <si>
    <t>Freight: Truck Stock: Vehicle Miles Traveled: Heavy: Natural Gas: Reference case</t>
  </si>
  <si>
    <t>AEO.2023.REF2023.ECI_VMT_FGHT_RADS_NG_NA_NA_BLNMLS.A</t>
  </si>
  <si>
    <t>Freight: Truck Stock: Vehicle Miles Traveled: Heavy: Ethanol-Flex Fuel: Reference case</t>
  </si>
  <si>
    <t>AEO.2023.REF2023.ECI_VMT_FGHT_RADS_EFFI_NA_NA_BLNMLS.A</t>
  </si>
  <si>
    <t>Freight: Truck Stock: Vehicle Miles Traveled: Heavy: Electric: Reference case</t>
  </si>
  <si>
    <t>AEO.2023.REF2023.ECI_VMT_FGHT_RADS_ELE_NA_NA_BLNMLS.A</t>
  </si>
  <si>
    <t>Freight: Truck Stock: Vehicle Miles Traveled: Heavy: Plug-in Diesel Hybrid: Reference case</t>
  </si>
  <si>
    <t>AEO.2023.REF2023.ECI_VMT_FGHT_RADS_EDH_NA_NA_BLNMLS.A</t>
  </si>
  <si>
    <t>Freight: Truck Stock: Vehicle Miles Traveled: Heavy: Plug-in Gasoline Hybrid: Reference case</t>
  </si>
  <si>
    <t>AEO.2023.REF2023.ECI_VMT_FGHT_RADS_EGH_NA_NA_BLNMLS.A</t>
  </si>
  <si>
    <t>Freight: Truck Stock: Vehicle Miles Traveled: Heavy: Fuel Cell: Reference case</t>
  </si>
  <si>
    <t>AEO.2023.REF2023.ECI_VMT_FGHT_RADS_FUC_NA_NA_BLNMLS.A</t>
  </si>
  <si>
    <t>Freight: Truck Stock: Vehicle Miles Traveled: Heavy: Reference case</t>
  </si>
  <si>
    <t>AEO.2023.REF2023.ECI_VMT_FGHT_RADS_NA_NA_NA_BLNMLS.A</t>
  </si>
  <si>
    <t>Freight: Truck Stock: Vehicle Miles Traveled: Reference case</t>
  </si>
  <si>
    <t>AEO.2023.REF2023.ECI_VMT_FGHT_STK_NA_NA_NA_BLNMLS.A</t>
  </si>
  <si>
    <t>Freight: Truck Stock: Use: Light Medium: Diesel: Reference case</t>
  </si>
  <si>
    <t>AEO.2023.REF2023.CNSM_NA_FGHT_LITEMEDS_DSL_NA_NA_TRLBTU.A</t>
  </si>
  <si>
    <t>Freight: Truck Stock: Use: Light Medium: Motor Gasoline: Reference case</t>
  </si>
  <si>
    <t>AEO.2023.REF2023.CNSM_NA_FGHT_LITEMEDS_MGS_NA_NA_TRLBTU.A</t>
  </si>
  <si>
    <t>Freight: Truck Stock: Use: Light Medium: Propane: Reference case</t>
  </si>
  <si>
    <t>AEO.2023.REF2023.CNSM_NA_FGHT_LITEMEDS_PROP_NA_NA_TRLBTU.A</t>
  </si>
  <si>
    <t>Freight: Truck Stock: Use: Light Medium: Natural Gas: Reference case</t>
  </si>
  <si>
    <t>AEO.2023.REF2023.CNSM_NA_FGHT_LITEMEDS_NG_NA_NA_TRLBTU.A</t>
  </si>
  <si>
    <t>Freight: Truck Stock: Use: Light Medium: Ethanol-Flex Fuel: Reference case</t>
  </si>
  <si>
    <t>AEO.2023.REF2023.CNSM_NA_FGHT_LITEMEDS_EFFI_NA_NA_TRLBTU.A</t>
  </si>
  <si>
    <t>Freight: Truck Stock: Use: Light Medium: Electric: Reference case</t>
  </si>
  <si>
    <t>AEO.2023.REF2023.CNSM_NA_FGHT_LITEMEDS_ELE_NA_NA_TRLBTU.A</t>
  </si>
  <si>
    <t>Freight: Truck Stock: Use: Light Medium: Plug-in Diesel Hybrid: Reference case</t>
  </si>
  <si>
    <t>AEO.2023.REF2023.CNSM_NA_FGHT_LITEMEDS_EDH_NA_NA_TRLBTU.A</t>
  </si>
  <si>
    <t>Freight: Truck Stock: Use: Light Medium: Plug-in Gasoline Hybrid: Reference case</t>
  </si>
  <si>
    <t>AEO.2023.REF2023.CNSM_NA_FGHT_LITEMEDS_EGH_NA_NA_TRLBTU.A</t>
  </si>
  <si>
    <t>Freight: Truck Stock: Use: Light Medium: Fuel Cell: Reference case</t>
  </si>
  <si>
    <t>AEO.2023.REF2023.CNSM_NA_FGHT_LITEMEDS_FUC_NA_NA_TRLBTU.A</t>
  </si>
  <si>
    <t>Freight: Truck Stock: Use: Light Medium: Reference case</t>
  </si>
  <si>
    <t>AEO.2023.REF2023.CNSM_NA_FGHT_LITEMEDS_NA_NA_NA_TRLBTU.A</t>
  </si>
  <si>
    <t>Freight: Truck Stock: Use: Medium: Diesel: Reference case</t>
  </si>
  <si>
    <t>AEO.2023.REF2023.CNSM_NA_FGHT_SOSOS_DSL_NA_NA_TRLBTU.A</t>
  </si>
  <si>
    <t>Freight: Truck Stock: Use: Medium: Motor Gasoline: Reference case</t>
  </si>
  <si>
    <t>AEO.2023.REF2023.CNSM_NA_FGHT_SOSOS_MGS_NA_NA_TRLBTU.A</t>
  </si>
  <si>
    <t>Freight: Truck Stock: Use: Medium: Propane: Reference case</t>
  </si>
  <si>
    <t>AEO.2023.REF2023.CNSM_NA_FGHT_SOSOS_PROP_NA_NA_TRLBTU.A</t>
  </si>
  <si>
    <t>Freight: Truck Stock: Use: Medium: Natural Gas: Reference case</t>
  </si>
  <si>
    <t>AEO.2023.REF2023.CNSM_NA_FGHT_SOSOS_NG_NA_NA_TRLBTU.A</t>
  </si>
  <si>
    <t>Freight: Truck Stock: Use: Medium: Ethanol-Flex Fuel: Reference case</t>
  </si>
  <si>
    <t>AEO.2023.REF2023.CNSM_NA_FGHT_SOSOS_EFFI_NA_NA_TRLBTU.A</t>
  </si>
  <si>
    <t>Freight: Truck Stock: Use: Medium: Electric: Reference case</t>
  </si>
  <si>
    <t>AEO.2023.REF2023.CNSM_NA_FGHT_SOSOS_ELE_NA_NA_TRLBTU.A</t>
  </si>
  <si>
    <t>Freight: Truck Stock: Use: Medium: Plug-in Diesel Hybrid: Reference case</t>
  </si>
  <si>
    <t>AEO.2023.REF2023.CNSM_NA_FGHT_SOSOS_EDH_NA_NA_TRLBTU.A</t>
  </si>
  <si>
    <t>Freight: Truck Stock: Use: Medium: Plug-in Gasoline Hybrid: Reference case</t>
  </si>
  <si>
    <t>AEO.2023.REF2023.CNSM_NA_FGHT_SOSOS_EGH_NA_NA_TRLBTU.A</t>
  </si>
  <si>
    <t>Freight: Truck Stock: Use: Medium: Fuel Cell: Reference case</t>
  </si>
  <si>
    <t>AEO.2023.REF2023.CNSM_NA_FGHT_SOSOS_FUC_NA_NA_TRLBTU.A</t>
  </si>
  <si>
    <t>Freight: Truck Stock: Use: Medium: Reference case</t>
  </si>
  <si>
    <t>AEO.2023.REF2023.CNSM_NA_FGHT_SOSOS_NA_NA_NA_TRLBTU.A</t>
  </si>
  <si>
    <t>Freight: Truck Stock: Use: Heavy: Diesel: Reference case</t>
  </si>
  <si>
    <t>AEO.2023.REF2023.CNSM_NA_FGHT_RADS_DSL_NA_NA_TRLBTU.A</t>
  </si>
  <si>
    <t>Freight: Truck Stock: Use: Heavy: Motor Gasoline: Reference case</t>
  </si>
  <si>
    <t>AEO.2023.REF2023.CNSM_NA_FGHT_RADS_MGS_NA_NA_TRLBTU.A</t>
  </si>
  <si>
    <t>Freight: Truck Stock: Use: Heavy: Propane: Reference case</t>
  </si>
  <si>
    <t>AEO.2023.REF2023.CNSM_NA_FGHT_RADS_PROP_NA_NA_TRLBTU.A</t>
  </si>
  <si>
    <t>Freight: Truck Stock: Use: Heavy: Natural Gas: Reference case</t>
  </si>
  <si>
    <t>AEO.2023.REF2023.CNSM_NA_FGHT_RADS_NG_NA_NA_TRLBTU.A</t>
  </si>
  <si>
    <t>Freight: Truck Stock: Use: Heavy: Ethanol-Flex Fuel: Reference case</t>
  </si>
  <si>
    <t>AEO.2023.REF2023.CNSM_NA_FGHT_RADS_EFFI_NA_NA_TRLBTU.A</t>
  </si>
  <si>
    <t>Freight: Truck Stock: Use: Heavy: Electric: Reference case</t>
  </si>
  <si>
    <t>AEO.2023.REF2023.CNSM_NA_FGHT_RADS_ELE_NA_NA_TRLBTU.A</t>
  </si>
  <si>
    <t>Freight: Truck Stock: Use: Heavy: Plug-in Diesel Hybrid: Reference case</t>
  </si>
  <si>
    <t>AEO.2023.REF2023.CNSM_NA_FGHT_RADS_EDH_NA_NA_TRLBTU.A</t>
  </si>
  <si>
    <t>Freight: Truck Stock: Use: Heavy: Plug-in Gasoline Hybrid: Reference case</t>
  </si>
  <si>
    <t>AEO.2023.REF2023.CNSM_NA_FGHT_RADS_EGH_NA_NA_TRLBTU.A</t>
  </si>
  <si>
    <t>Freight: Truck Stock: Use: Heavy: Fuel Cell: Reference case</t>
  </si>
  <si>
    <t>AEO.2023.REF2023.CNSM_NA_FGHT_RADS_FUC_NA_NA_TRLBTU.A</t>
  </si>
  <si>
    <t>Freight: Truck Stock: Use: Heavy: Reference case</t>
  </si>
  <si>
    <t>AEO.2023.REF2023.CNSM_NA_FGHT_RADS_NA_NA_NA_TRLBTU.A</t>
  </si>
  <si>
    <t>Freight: Truck Stock: Use: Light Medium, Medium, and Heavy: Diesel: Reference case</t>
  </si>
  <si>
    <t>AEO.2023.REF2023.CNSM_NA_FGHT_STK_DSL_NA_NA_TRLBTU.A</t>
  </si>
  <si>
    <t>Freight: Truck Stock: Use: Light Medium, Medium, and Heavy: Motor Gasoline: Reference case</t>
  </si>
  <si>
    <t>AEO.2023.REF2023.CNSM_NA_FGHT_STK_MGS_NA_NA_TRLBTU.A</t>
  </si>
  <si>
    <t>Freight: Truck Stock: Use: Light Medium, Medium, and Heavy: Propane: Reference case</t>
  </si>
  <si>
    <t>AEO.2023.REF2023.CNSM_NA_FGHT_STK_PROP_NA_NA_TRLBTU.A</t>
  </si>
  <si>
    <t>Freight: Truck Stock: Use: Light Medium, Medium, and Heavy: Natural Gas: Reference case</t>
  </si>
  <si>
    <t>AEO.2023.REF2023.CNSM_NA_FGHT_STK_NG_NA_NA_TRLBTU.A</t>
  </si>
  <si>
    <t>Freight: Truck Stock: Use: Light Medium, Medium, and Heavy: Ethanol-Flex Fuel: Reference case</t>
  </si>
  <si>
    <t>AEO.2023.REF2023.CNSM_NA_FGHT_STK_EFFI_NA_NA_TRLBTU.A</t>
  </si>
  <si>
    <t>Freight: Truck Stock: Use: Light Medium, Medium, and Heavy: Electric: Reference case</t>
  </si>
  <si>
    <t>AEO.2023.REF2023.CNSM_NA_FGHT_STK_ELE_NA_NA_TRLBTU.A</t>
  </si>
  <si>
    <t>Freight: Truck Stock: Use: Light Medium, Medium, and Heavy: Plug-in Diesel Hybrid: Reference case</t>
  </si>
  <si>
    <t>AEO.2023.REF2023.CNSM_NA_FGHT_STK_EDH_NA_NA_TRLBTU.A</t>
  </si>
  <si>
    <t>Freight: Truck Stock: Use: Light Medium, Medium, and Heavy: Plug-in Gasoline Hybrid: Reference case</t>
  </si>
  <si>
    <t>AEO.2023.REF2023.CNSM_NA_FGHT_STK_EGH_NA_NA_TRLBTU.A</t>
  </si>
  <si>
    <t>Freight: Truck Stock: Use: Light Medium, Medium, and Heavy: Fuel Cell: Reference case</t>
  </si>
  <si>
    <t>AEO.2023.REF2023.CNSM_NA_FGHT_STK_FUC_NA_NA_TRLBTU.A</t>
  </si>
  <si>
    <t>Freight: Truck Stock: Use: Light Medium, Medium, and Heavy: Reference case</t>
  </si>
  <si>
    <t>AEO.2023.REF2023.CNSM_NA_FGHT_STK_NA_NA_NA_TRLBTU.A</t>
  </si>
  <si>
    <t>Freight: Truck Stock: Fuel Efficiency: Light Medium: Diesel: Reference case</t>
  </si>
  <si>
    <t>AEO.2023.REF2023.EFI_NA_FGHT_LITEMEDS_DSL_NA_NA_MPGDSEQ.A</t>
  </si>
  <si>
    <t>Freight: Truck Stock: Fuel Efficiency: Light Medium: Motor Gasoline: Reference case</t>
  </si>
  <si>
    <t>AEO.2023.REF2023.EFI_NA_FGHT_LITEMEDS_MGS_NA_NA_MPGGASEQ.A</t>
  </si>
  <si>
    <t>Freight: Truck Stock: Fuel Efficiency: Light Medium: Propane: Reference case</t>
  </si>
  <si>
    <t>AEO.2023.REF2023.EFI_NA_FGHT_LITEMEDS_PROP_NA_NA_MPGGASEQ.A</t>
  </si>
  <si>
    <t>Freight: Truck Stock: Fuel Efficiency: Light Medium: Natural Gas: Reference case</t>
  </si>
  <si>
    <t>AEO.2023.REF2023.EFI_NA_FGHT_LITEMEDS_NG_NA_NA_MPGGASEQ.A</t>
  </si>
  <si>
    <t>Freight: Truck Stock: Fuel Efficiency: Light Medium: Ethanol-Flex Fuel: Reference case</t>
  </si>
  <si>
    <t>AEO.2023.REF2023.EFI_NA_FGHT_LITEMEDS_EFFI_NA_NA_MPGGASEQ.A</t>
  </si>
  <si>
    <t>Freight: Truck Stock: Fuel Efficiency: Light Medium: Electric: Reference case</t>
  </si>
  <si>
    <t>AEO.2023.REF2023.EFI_NA_FGHT_LITEMEDS_ELE_NA_NA_MPGDSEQ.A</t>
  </si>
  <si>
    <t>Freight: Truck Stock: Fuel Efficiency: Light Medium: Plug-in Diesel Hybrid: Reference case</t>
  </si>
  <si>
    <t>AEO.2023.REF2023.EFI_NA_FGHT_LITEMEDS_EDH_NA_NA_MPGDSEQ.A</t>
  </si>
  <si>
    <t>Freight: Truck Stock: Fuel Efficiency: Light Medium: Plug-in Gasoline Hybrid: Reference case</t>
  </si>
  <si>
    <t>AEO.2023.REF2023.EFI_NA_FGHT_LITEMEDS_EGH_NA_NA_MPGGASEQ.A</t>
  </si>
  <si>
    <t>Freight: Truck Stock: Fuel Efficiency: Light Medium: Fuel Cell: Reference case</t>
  </si>
  <si>
    <t>AEO.2023.REF2023.EFI_NA_FGHT_LITEMEDS_FUC_NA_NA_MPGDSEQ.A</t>
  </si>
  <si>
    <t>Freight: Truck Stock: Fuel Efficiency: Light Medium: Average: Reference case</t>
  </si>
  <si>
    <t>AEO.2023.REF2023.EFI_NA_FGHT_LITEMEDS_NA_NA_NA_NA.A</t>
  </si>
  <si>
    <t>Freight: Truck Stock: Fuel Efficiency: Medium: Diesel: Reference case</t>
  </si>
  <si>
    <t>AEO.2023.REF2023.EFI_NA_FGHT_SOSOS_DSL_NA_NA_MPGDSEQ.A</t>
  </si>
  <si>
    <t>Freight: Truck Stock: Fuel Efficiency: Medium: Motor Gasoline: Reference case</t>
  </si>
  <si>
    <t>AEO.2023.REF2023.EFI_NA_FGHT_SOSOS_MGS_NA_NA_MPGGASEQ.A</t>
  </si>
  <si>
    <t>Freight: Truck Stock: Fuel Efficiency: Medium: Propane: Reference case</t>
  </si>
  <si>
    <t>AEO.2023.REF2023.EFI_NA_FGHT_SOSOS_PROP_NA_NA_MPGGASEQ.A</t>
  </si>
  <si>
    <t>Freight: Truck Stock: Fuel Efficiency: Medium: Natural Gas: Reference case</t>
  </si>
  <si>
    <t>AEO.2023.REF2023.EFI_NA_FGHT_SOSOS_NG_NA_NA_MPGGASEQ.A</t>
  </si>
  <si>
    <t>Freight: Truck Stock: Fuel Efficiency: Medium: Ethanol-Flex Fuel: Reference case</t>
  </si>
  <si>
    <t>AEO.2023.REF2023.EFI_NA_FGHT_SOSOS_EFFI_NA_NA_MPG.A</t>
  </si>
  <si>
    <t>Freight: Truck Stock: Fuel Efficiency: Medium: Electric: Reference case</t>
  </si>
  <si>
    <t>AEO.2023.REF2023.EFI_NA_FGHT_SOSOS_ELE_NA_NA_MPGGASEQ.A</t>
  </si>
  <si>
    <t>Freight: Truck Stock: Fuel Efficiency: Medium: Plug-in Diesel Hybrid: Reference case</t>
  </si>
  <si>
    <t>AEO.2023.REF2023.EFI_NA_FGHT_SOSOS_EDH_NA_NA_MPGGASEQ.A</t>
  </si>
  <si>
    <t>Freight: Truck Stock: Fuel Efficiency: Medium: Plug-in Gasoline Hybrid: Reference case</t>
  </si>
  <si>
    <t>AEO.2023.REF2023.EFI_NA_FGHT_SOSOS_EGH_NA_NA_MPGGASEQ.A</t>
  </si>
  <si>
    <t>Freight: Truck Stock: Fuel Efficiency: Medium: Fuel Cell: Reference case</t>
  </si>
  <si>
    <t>AEO.2023.REF2023.EFI_NA_FGHT_SOSOS_FUC_NA_NA_MPGGASEQ.A</t>
  </si>
  <si>
    <t>Freight: Truck Stock: Fuel Efficiency: Medium: Average: Reference case</t>
  </si>
  <si>
    <t>AEO.2023.REF2023.EFI_NA_FGHT_SOSOS_NA_NA_NA_NA.A</t>
  </si>
  <si>
    <t>Freight: Truck Stock: Fuel Efficiency: Heavy: Diesel: Reference case</t>
  </si>
  <si>
    <t>AEO.2023.REF2023.EFI_NA_FGHT_RADS_DSL_NA_NA_MPGDSEQ.A</t>
  </si>
  <si>
    <t>Freight: Truck Stock: Fuel Efficiency: Heavy: Motor Gasoline: Reference case</t>
  </si>
  <si>
    <t>AEO.2023.REF2023.EFI_NA_FGHT_RADS_MGS_NA_NA_MPGGASEQ.A</t>
  </si>
  <si>
    <t>Freight: Truck Stock: Fuel Efficiency: Heavy: Propane: Reference case</t>
  </si>
  <si>
    <t>AEO.2023.REF2023.EFI_NA_FGHT_RADS_PROP_NA_NA_MPGGASEQ.A</t>
  </si>
  <si>
    <t>Freight: Truck Stock: Fuel Efficiency: Heavy: Natural Gas: Reference case</t>
  </si>
  <si>
    <t>AEO.2023.REF2023.EFI_NA_FGHT_RADS_NG_NA_NA_MPGDSEQ.A</t>
  </si>
  <si>
    <t>Freight: Truck Stock: Fuel Efficiency: Heavy: Ethanol-Flex Fuel: Reference case</t>
  </si>
  <si>
    <t>AEO.2023.REF2023.EFI_NA_FGHT_RADS_EFFI_NA_NA_MPGGASEQ.A</t>
  </si>
  <si>
    <t>Freight: Truck Stock: Fuel Efficiency: Heavy: Electric: Reference case</t>
  </si>
  <si>
    <t>AEO.2023.REF2023.EFI_NA_FGHT_RADS_ELE_NA_NA_MPGDSEQ.A</t>
  </si>
  <si>
    <t>Freight: Truck Stock: Fuel Efficiency: Heavy: Plug-in Diesel Hybrid: Reference case</t>
  </si>
  <si>
    <t>AEO.2023.REF2023.EFI_NA_FGHT_RADS_EDH_NA_NA_MPGDSEQ.A</t>
  </si>
  <si>
    <t>Freight: Truck Stock: Fuel Efficiency: Heavy: Plug-in Gasoline Hybrid: Reference case</t>
  </si>
  <si>
    <t>AEO.2023.REF2023.EFI_NA_FGHT_RADS_EGH_NA_NA_MPGGASEQ.A</t>
  </si>
  <si>
    <t>Freight: Truck Stock: Fuel Efficiency: Heavy: Fuel Cell: Reference case</t>
  </si>
  <si>
    <t>AEO.2023.REF2023.EFI_NA_FGHT_RADS_FUC_NA_NA_MPGDSEQ.A</t>
  </si>
  <si>
    <t>Freight: Truck Stock: Fuel Efficiency: Heavy: Average: Reference case</t>
  </si>
  <si>
    <t>AEO.2023.REF2023.EFI_NA_FGHT_RADS_NA_NA_NA_NA.A</t>
  </si>
  <si>
    <t>Freight: Truck Stock: Fuel Efficiency: Reference case</t>
  </si>
  <si>
    <t>AEO.2023.REF2023.EFI_NA_FGHT_STK_NA_NA_NA_NA.A</t>
  </si>
  <si>
    <t>Freight: Truck Stock: Light Medium: Diesel: Reference case</t>
  </si>
  <si>
    <t>AEO.2023.REF2023.ECI_STK_FGHT_LITEMEDS_DSL_NA_NA_MILL.A</t>
  </si>
  <si>
    <t>Freight: Truck Stock: Light Medium: Motor Gasoline: Reference case</t>
  </si>
  <si>
    <t>AEO.2023.REF2023.ECI_STK_FGHT_LITEMEDS_MGS_NA_NA_MILL.A</t>
  </si>
  <si>
    <t>Freight: Truck Stock: Light Medium: Propane: Reference case</t>
  </si>
  <si>
    <t>AEO.2023.REF2023.ECI_STK_FGHT_LITEMEDS_PROP_NA_NA_MILL.A</t>
  </si>
  <si>
    <t>Freight: Truck Stock: Light Medium: Natural Gas: Reference case</t>
  </si>
  <si>
    <t>AEO.2023.REF2023.ECI_STK_FGHT_LITEMEDS_NG_NA_NA_MILL.A</t>
  </si>
  <si>
    <t>Freight: Truck Stock: Light Medium: Ethanol-Flex Fuel: Reference case</t>
  </si>
  <si>
    <t>AEO.2023.REF2023.ECI_STK_FGHT_LITEMEDS_EFFI_NA_NA_MILL.A</t>
  </si>
  <si>
    <t>Freight: Truck Stock: Light Medium: Electric: Reference case</t>
  </si>
  <si>
    <t>AEO.2023.REF2023.ECI_STK_FGHT_LITEMEDS_ELE_NA_NA_MILL.A</t>
  </si>
  <si>
    <t>Freight: Truck Stock: Light Medium: Plug-in Diesel Hybrid: Reference case</t>
  </si>
  <si>
    <t>AEO.2023.REF2023.ECI_STK_FGHT_LITEMEDS_EDH_NA_NA_MILL.A</t>
  </si>
  <si>
    <t>Freight: Truck Stock: Light Medium: Plug-in Gasoline Hybrid: Reference case</t>
  </si>
  <si>
    <t>AEO.2023.REF2023.ECI_STK_FGHT_LITEMEDS_EGH_NA_NA_MILL.A</t>
  </si>
  <si>
    <t>Freight: Truck Stock: Light Medium: Fuel Cell: Reference case</t>
  </si>
  <si>
    <t>AEO.2023.REF2023.ECI_STK_FGHT_LITEMEDS_FUC_NA_NA_MILL.A</t>
  </si>
  <si>
    <t>Freight: Truck Stock: Light Medium: Reference case</t>
  </si>
  <si>
    <t>AEO.2023.REF2023.ECI_STK_FGHT_LITEMEDS_NA_NA_NA_MILL.A</t>
  </si>
  <si>
    <t>Freight: Truck Stock: Medium: Diesel: Reference case</t>
  </si>
  <si>
    <t>AEO.2023.REF2023.ECI_STK_FGHT_SOSOS_DSL_NA_NA_MILL.A</t>
  </si>
  <si>
    <t>Freight: Truck Stock: Medium: Motor Gasoline: Reference case</t>
  </si>
  <si>
    <t>AEO.2023.REF2023.ECI_STK_FGHT_SOSOS_MGS_NA_NA_MILL.A</t>
  </si>
  <si>
    <t>Freight: Truck Stock: Medium: Propane: Reference case</t>
  </si>
  <si>
    <t>AEO.2023.REF2023.ECI_STK_FGHT_SOSOS_PROP_NA_NA_MILL.A</t>
  </si>
  <si>
    <t>Freight: Truck Stock: Medium: Natural Gas: Reference case</t>
  </si>
  <si>
    <t>AEO.2023.REF2023.ECI_STK_FGHT_SOSOS_NG_NA_NA_MILL.A</t>
  </si>
  <si>
    <t>Freight: Truck Stock: Medium: Ethanol-Flex Fuel: Reference case</t>
  </si>
  <si>
    <t>AEO.2023.REF2023.ECI_STK_FGHT_SOSOS_EFFI_NA_NA_MILL.A</t>
  </si>
  <si>
    <t>Freight: Truck Stock: Medium: Electric: Reference case</t>
  </si>
  <si>
    <t>AEO.2023.REF2023.ECI_STK_FGHT_SOSOS_ELE_NA_NA_MILL.A</t>
  </si>
  <si>
    <t>Freight: Truck Stock: Medium: Plug-in Diesel Hybrid: Reference case</t>
  </si>
  <si>
    <t>AEO.2023.REF2023.ECI_STK_FGHT_SOSOS_EDH_NA_NA_MILL.A</t>
  </si>
  <si>
    <t>Freight: Truck Stock: Medium: Plug-in Gasoline Hybrid: Reference case</t>
  </si>
  <si>
    <t>AEO.2023.REF2023.ECI_STK_FGHT_SOSOS_EGH_NA_NA_MILL.A</t>
  </si>
  <si>
    <t>Freight: Truck Stock: Medium: Fuel Cell: Reference case</t>
  </si>
  <si>
    <t>AEO.2023.REF2023.ECI_STK_FGHT_SOSOS_FUC_NA_NA_MILL.A</t>
  </si>
  <si>
    <t>Freight: Truck Stock: Medium: Reference case</t>
  </si>
  <si>
    <t>AEO.2023.REF2023.ECI_STK_FGHT_SOSOS_NA_NA_NA_MILL.A</t>
  </si>
  <si>
    <t>Freight: Truck Stock: Heavy: Diesel: Reference case</t>
  </si>
  <si>
    <t>AEO.2023.REF2023.ECI_STK_FGHT_RADS_DSL_NA_NA_MILL.A</t>
  </si>
  <si>
    <t>Freight: Truck Stock: Heavy: Motor Gasoline: Reference case</t>
  </si>
  <si>
    <t>AEO.2023.REF2023.ECI_STK_FGHT_RADS_MGS_NA_NA_MILL.A</t>
  </si>
  <si>
    <t>Freight: Truck Stock: Heavy: Propane: Reference case</t>
  </si>
  <si>
    <t>AEO.2023.REF2023.ECI_STK_FGHT_RADS_PROP_NA_NA_MILL.A</t>
  </si>
  <si>
    <t>Freight: Truck Stock: Heavy: Natural Gas: Reference case</t>
  </si>
  <si>
    <t>AEO.2023.REF2023.ECI_STK_FGHT_RADS_NG_NA_NA_MILL.A</t>
  </si>
  <si>
    <t>Freight: Truck Stock: Heavy: Ethanol-Flex Fuel: Reference case</t>
  </si>
  <si>
    <t>AEO.2023.REF2023.ECI_STK_FGHT_RADS_EFFI_NA_NA_MILL.A</t>
  </si>
  <si>
    <t>Freight: Truck Stock: Heavy: Electric: Reference case</t>
  </si>
  <si>
    <t>AEO.2023.REF2023.ECI_STK_FGHT_RADS_ELE_NA_NA_MILL.A</t>
  </si>
  <si>
    <t>Freight: Truck Stock: Heavy: Plug-in Diesel Hybrid: Reference case</t>
  </si>
  <si>
    <t>AEO.2023.REF2023.ECI_STK_FGHT_RADS_EDH_NA_NA_MILL.A</t>
  </si>
  <si>
    <t>Freight: Truck Stock: Heavy: Plug-in Gasoline Hybrid: Reference case</t>
  </si>
  <si>
    <t>AEO.2023.REF2023.ECI_STK_FGHT_RADS_EGH_NA_NA_MILL.A</t>
  </si>
  <si>
    <t>Freight: Truck Stock: Heavy: Fuel Cell: Reference case</t>
  </si>
  <si>
    <t>AEO.2023.REF2023.ECI_STK_FGHT_RADS_FUC_NA_NA_MILL.A</t>
  </si>
  <si>
    <t>Freight: Truck Stock: Heavy: Reference case</t>
  </si>
  <si>
    <t>AEO.2023.REF2023.ECI_STK_FGHT_RADS_NA_NA_NA_MILL.A</t>
  </si>
  <si>
    <t>Freight: Truck Stock: Reference case</t>
  </si>
  <si>
    <t>AEO.2023.REF2023.ECI_STK_FGHT_STK_NA_NA_NA_MILL.A</t>
  </si>
  <si>
    <t>Freight: New Trucks: Fuel Efficiency: Light Medium: Diesel: Reference case</t>
  </si>
  <si>
    <t>AEO.2023.REF2023.EFI_NA_FGHT_LITEMEDN_DSL_NA_NA_MPGDSEQ.A</t>
  </si>
  <si>
    <t>Freight: New Trucks: Fuel Efficiency: Light Medium: Motor Gasoline: Reference case</t>
  </si>
  <si>
    <t>AEO.2023.REF2023.EFI_NA_FGHT_LITEMEDN_MGS_NA_NA_MPGGASEQ.A</t>
  </si>
  <si>
    <t>Freight: New Trucks: Fuel Efficiency: Light Medium: Propane: Reference case</t>
  </si>
  <si>
    <t>AEO.2023.REF2023.EFI_NA_FGHT_LITEMEDN_PROP_NA_NA_MPGGASEQ.A</t>
  </si>
  <si>
    <t>Freight: New Trucks: Fuel Efficiency: Light Medium: Natural Gas: Reference case</t>
  </si>
  <si>
    <t>AEO.2023.REF2023.EFI_NA_FGHT_LITEMEDN_NG_NA_NA_MPGGASEQ.A</t>
  </si>
  <si>
    <t>Freight: New Trucks: Fuel Efficiency: Light Medium: Ethanol-Flex Fuel: Reference case</t>
  </si>
  <si>
    <t>AEO.2023.REF2023.EFI_NA_FGHT_LITEMEDN_EFFI_NA_NA_MPGGASEQ.A</t>
  </si>
  <si>
    <t>Freight: New Trucks: Fuel Efficiency: Light Medium: Electric: Reference case</t>
  </si>
  <si>
    <t>AEO.2023.REF2023.EFI_NA_FGHT_LITEMEDN_ELE_NA_NA_MPGDSEQ.A</t>
  </si>
  <si>
    <t>Freight: New Trucks: Fuel Efficiency: Light Medium: Plug-in Diesel Hybrid: Reference case</t>
  </si>
  <si>
    <t>AEO.2023.REF2023.EFI_NA_FGHT_LITEMEDN_EDH_NA_NA_MPGDSEQ.A</t>
  </si>
  <si>
    <t>Freight: New Trucks: Fuel Efficiency: Light Medium: Plug-in Gasoline Hybrid: Reference case</t>
  </si>
  <si>
    <t>AEO.2023.REF2023.EFI_NA_FGHT_LITEMEDN_EGH_NA_NA_MPGGASEQ.A</t>
  </si>
  <si>
    <t>Freight: New Trucks: Fuel Efficiency: Light Medium: Fuel Cell: Reference case</t>
  </si>
  <si>
    <t>AEO.2023.REF2023.EFI_NA_FGHT_LITEMEDN_FUC_NA_NA_MPGDSEQ.A</t>
  </si>
  <si>
    <t>Freight: New Trucks: Fuel Efficiency: Light Medium: Average: Reference case</t>
  </si>
  <si>
    <t>AEO.2023.REF2023.EFI_NA_FGHT_LITEMEDN_NA_NA_NA_NA.A</t>
  </si>
  <si>
    <t>Freight: New Trucks: Fuel Efficiency: Medium: Diesel: Reference case</t>
  </si>
  <si>
    <t>AEO.2023.REF2023.EFI_NA_FGHT_SOSON_DSL_NA_NA_MPGDSEQ.A</t>
  </si>
  <si>
    <t>Freight: New Trucks: Fuel Efficiency: Medium: Motor Gasoline: Reference case</t>
  </si>
  <si>
    <t>AEO.2023.REF2023.EFI_NA_FGHT_SOSON_MGS_NA_NA_MPGGASEQ.A</t>
  </si>
  <si>
    <t>Freight: New Trucks: Fuel Efficiency: Medium: Propane: Reference case</t>
  </si>
  <si>
    <t>AEO.2023.REF2023.EFI_NA_FGHT_SOSON_PROP_NA_NA_MPGGASEQ.A</t>
  </si>
  <si>
    <t>Freight: New Trucks: Fuel Efficiency: Medium: Natural Gas: Reference case</t>
  </si>
  <si>
    <t>AEO.2023.REF2023.EFI_NA_FGHT_SOSON_NG_NA_NA_MPGGASEQ.A</t>
  </si>
  <si>
    <t>Freight: New Trucks: Fuel Efficiency: Medium: Ethanol-Flex Fuel: Reference case</t>
  </si>
  <si>
    <t>AEO.2023.REF2023.EFI_NA_FGHT_SOSON_EFFI_NA_NA_MPG.A</t>
  </si>
  <si>
    <t>Freight: New Trucks: Fuel Efficiency: Medium: Electric: Reference case</t>
  </si>
  <si>
    <t>AEO.2023.REF2023.EFI_NA_FGHT_SOSON_ELE_NA_NA_MPGGASEQ.A</t>
  </si>
  <si>
    <t>Freight: New Trucks: Fuel Efficiency: Medium: Plug-in Diesel Hybrid: Reference case</t>
  </si>
  <si>
    <t>AEO.2023.REF2023.EFI_NA_FGHT_SOSON_EDH_NA_NA_MPGGASEQ.A</t>
  </si>
  <si>
    <t>Freight: New Trucks: Fuel Efficiency: Medium: Plug-in Gasoline Hybrid: Reference case</t>
  </si>
  <si>
    <t>AEO.2023.REF2023.EFI_NA_FGHT_SOSON_EGH_NA_NA_MPGGASEQ.A</t>
  </si>
  <si>
    <t>Freight: New Trucks: Fuel Efficiency: Medium: Fuel Cell: Reference case</t>
  </si>
  <si>
    <t>AEO.2023.REF2023.EFI_NA_FGHT_SOSON_FUC_NA_NA_MPGGASEQ.A</t>
  </si>
  <si>
    <t>Freight: New Trucks: Fuel Efficiency: Medium: Average: Reference case</t>
  </si>
  <si>
    <t>AEO.2023.REF2023.EFI_NA_FGHT_SOSON_NA_NA_NA_NA.A</t>
  </si>
  <si>
    <t>Freight: New Trucks: Fuel Efficiency: Heavy: Diesel: Reference case</t>
  </si>
  <si>
    <t>AEO.2023.REF2023.EFI_NA_FGHT_RADN_DSL_NA_NA_MPGDSEQ.A</t>
  </si>
  <si>
    <t>Freight: New Trucks: Fuel Efficiency: Heavy: Motor Gasoline: Reference case</t>
  </si>
  <si>
    <t>AEO.2023.REF2023.EFI_NA_FGHT_RADN_MGS_NA_NA_MPGGASEQ.A</t>
  </si>
  <si>
    <t>Freight: New Trucks: Fuel Efficiency: Heavy: Propane: Reference case</t>
  </si>
  <si>
    <t>AEO.2023.REF2023.EFI_NA_FGHT_RADN_PROP_NA_NA_MPGGASEQ.A</t>
  </si>
  <si>
    <t>Freight: New Trucks: Fuel Efficiency: Heavy: Natural Gas: Reference case</t>
  </si>
  <si>
    <t>AEO.2023.REF2023.EFI_NA_FGHT_RADN_NG_NA_NA_MPGDSEQ.A</t>
  </si>
  <si>
    <t>Freight: New Trucks: Fuel Efficiency: Heavy: Ethanol-Flex Fuel: Reference case</t>
  </si>
  <si>
    <t>AEO.2023.REF2023.EFI_NA_FGHT_RADN_EFFI_NA_NA_MPGGASEQ.A</t>
  </si>
  <si>
    <t>Freight: New Trucks: Fuel Efficiency: Heavy: Electric: Reference case</t>
  </si>
  <si>
    <t>AEO.2023.REF2023.EFI_NA_FGHT_RADN_ELE_NA_NA_MPGDSEQ.A</t>
  </si>
  <si>
    <t>Freight: New Trucks: Fuel Efficiency: Heavy: Plug-in Diesel Hybrid: Reference case</t>
  </si>
  <si>
    <t>AEO.2023.REF2023.EFI_NA_FGHT_RADN_EDH_NA_NA_MPGDSEQ.A</t>
  </si>
  <si>
    <t>Freight: New Trucks: Fuel Efficiency: Heavy: Plug-in Gasoline Hybrid: Reference case</t>
  </si>
  <si>
    <t>AEO.2023.REF2023.EFI_NA_FGHT_RADN_EGH_NA_NA_MPGGASEQ.A</t>
  </si>
  <si>
    <t>Freight: New Trucks: Fuel Efficiency: Heavy: Fuel Cell: Reference case</t>
  </si>
  <si>
    <t>AEO.2023.REF2023.EFI_NA_FGHT_RADN_FUC_NA_NA_MPGDSEQ.A</t>
  </si>
  <si>
    <t>Freight: New Trucks: Fuel Efficiency: Heavy: Average: Reference case</t>
  </si>
  <si>
    <t>AEO.2023.REF2023.EFI_NA_FGHT_RADN_NA_NA_NA_NA.A</t>
  </si>
  <si>
    <t>Freight: New Trucks: Fuel Efficiency: Reference case</t>
  </si>
  <si>
    <t>AEO.2023.REF2023.EFI_NA_FGHT_NEW_NA_NA_NA_NA.A</t>
  </si>
  <si>
    <t>Freight: New Trucks: Sales: Light Medium: Diesel: Reference case</t>
  </si>
  <si>
    <t>AEO.2023.REF2023.ECI_SAL_FGHT_LITEMED_DSL_NA_NA_TH.A</t>
  </si>
  <si>
    <t>Freight: New Trucks: Sales: Light Medium: Motor Gasoline: Reference case</t>
  </si>
  <si>
    <t>AEO.2023.REF2023.ECI_SAL_FGHT_LITEMED_MGS_NA_NA_TH.A</t>
  </si>
  <si>
    <t>Freight: New Trucks: Sales: Light Medium: Propane: Reference case</t>
  </si>
  <si>
    <t>AEO.2023.REF2023.ECI_SAL_FGHT_LITEMED_PROP_NA_NA_TH.A</t>
  </si>
  <si>
    <t>Freight: New Trucks: Sales: Light Medium: Natural Gas: Reference case</t>
  </si>
  <si>
    <t>AEO.2023.REF2023.ECI_SAL_FGHT_LITEMED_NG_NA_NA_TH.A</t>
  </si>
  <si>
    <t>Freight: New Trucks: Sales: Light Medium: Ethanol-Flex Fuel: Reference case</t>
  </si>
  <si>
    <t>AEO.2023.REF2023.ECI_SAL_FGHT_LITEMED_EFFI_NA_NA_TH.A</t>
  </si>
  <si>
    <t>Freight: New Trucks: Sales: Light Medium: Electric: Reference case</t>
  </si>
  <si>
    <t>AEO.2023.REF2023.ECI_SAL_FGHT_LITEMED_ELE_NA_NA_TH.A</t>
  </si>
  <si>
    <t>Freight: New Trucks: Sales: Light Medium: Plug-in Diesel Hybrid: Reference case</t>
  </si>
  <si>
    <t>AEO.2023.REF2023.ECI_SAL_FGHT_LITEMED_EDH_NA_NA_TH.A</t>
  </si>
  <si>
    <t>Freight: New Trucks: Sales: Light Medium: Plug-in Gasoline Hybrid: Reference case</t>
  </si>
  <si>
    <t>AEO.2023.REF2023.ECI_SAL_FGHT_LITEMED_EGH_NA_NA_TH.A</t>
  </si>
  <si>
    <t>Freight: New Trucks: Sales: Light Medium: Fuel Cell: Reference case</t>
  </si>
  <si>
    <t>AEO.2023.REF2023.ECI_SAL_FGHT_LITEMED_FUC_NA_NA_TH.A</t>
  </si>
  <si>
    <t>Freight: New Trucks: Sales: Light Medium: Reference case</t>
  </si>
  <si>
    <t>AEO.2023.REF2023.ECI_SAL_FGHT_LITEMED_NA_NA_NA_TH.A</t>
  </si>
  <si>
    <t>Freight: New Trucks: Sales: Medium: Diesel: Reference case</t>
  </si>
  <si>
    <t>AEO.2023.REF2023.ECI_SAL_FGHT_SOSO_DSL_NA_NA_TH.A</t>
  </si>
  <si>
    <t>Freight: New Trucks: Sales: Medium: Motor Gasoline: Reference case</t>
  </si>
  <si>
    <t>AEO.2023.REF2023.ECI_SAL_FGHT_SOSO_MGS_NA_NA_TH.A</t>
  </si>
  <si>
    <t>Freight: New Trucks: Sales: Medium: Propane: Reference case</t>
  </si>
  <si>
    <t>AEO.2023.REF2023.ECI_SAL_FGHT_SOSO_PROP_NA_NA_TH.A</t>
  </si>
  <si>
    <t>Freight: New Trucks: Sales: Medium: Natural Gas: Reference case</t>
  </si>
  <si>
    <t>AEO.2023.REF2023.ECI_SAL_FGHT_SOSO_NG_NA_NA_TH.A</t>
  </si>
  <si>
    <t>Freight: New Trucks: Sales: Medium: Ethanol-Flex Fuel: Reference case</t>
  </si>
  <si>
    <t>AEO.2023.REF2023.ECI_SAL_FGHT_SOSO_EFFI_NA_NA_TH.A</t>
  </si>
  <si>
    <t>Freight: New Trucks: Sales: Medium: Electric: Reference case</t>
  </si>
  <si>
    <t>AEO.2023.REF2023.ECI_SAL_FGHT_SOSO_ELE_NA_NA_TH.A</t>
  </si>
  <si>
    <t>Freight: New Trucks: Sales: Medium: Plug-in Diesel Hybrid: Reference case</t>
  </si>
  <si>
    <t>AEO.2023.REF2023.ECI_SAL_FGHT_SOSO_EDH_NA_NA_TH.A</t>
  </si>
  <si>
    <t>Freight: New Trucks: Sales: Medium: Plug-in Gasoline Hybrid: Reference case</t>
  </si>
  <si>
    <t>AEO.2023.REF2023.ECI_SAL_FGHT_SOSO_EGH_NA_NA_TH.A</t>
  </si>
  <si>
    <t>Freight: New Trucks: Sales: Medium: Fuel Cell: Reference case</t>
  </si>
  <si>
    <t>AEO.2023.REF2023.ECI_SAL_FGHT_SOSO_FUC_NA_NA_TH.A</t>
  </si>
  <si>
    <t>Freight: New Trucks: Sales: Medium: Reference case</t>
  </si>
  <si>
    <t>AEO.2023.REF2023.ECI_SAL_FGHT_SOSO_NA_NA_NA_TH.A</t>
  </si>
  <si>
    <t>Freight: New Trucks: Sales: Heavy: Diesel: Reference case</t>
  </si>
  <si>
    <t>AEO.2023.REF2023.ECI_SAL_FGHT_RAD_DSL_NA_NA_TH.A</t>
  </si>
  <si>
    <t>Freight: New Trucks: Sales: Heavy: Motor Gasoline: Reference case</t>
  </si>
  <si>
    <t>AEO.2023.REF2023.ECI_SAL_FGHT_RAD_MGS_NA_NA_TH.A</t>
  </si>
  <si>
    <t>Freight: New Trucks: Sales: Heavy: Propane: Reference case</t>
  </si>
  <si>
    <t>AEO.2023.REF2023.ECI_SAL_FGHT_RAD_PROP_NA_NA_TH.A</t>
  </si>
  <si>
    <t>Freight: New Trucks: Sales: Heavy: Natural Gas: Reference case</t>
  </si>
  <si>
    <t>AEO.2023.REF2023.ECI_SAL_FGHT_RAD_NG_NA_NA_TH.A</t>
  </si>
  <si>
    <t>Freight: New Trucks: Sales: Heavy: Ethanol-Flex Fuel: Reference case</t>
  </si>
  <si>
    <t>AEO.2023.REF2023.ECI_SAL_FGHT_RAD_EFFI_NA_NA_TH.A</t>
  </si>
  <si>
    <t>Freight: New Trucks: Sales: Heavy: Electric: Reference case</t>
  </si>
  <si>
    <t>AEO.2023.REF2023.ECI_SAL_FGHT_RAD_ELE_NA_NA_TH.A</t>
  </si>
  <si>
    <t>Freight: New Trucks: Sales: Heavy: Plug-in Diesel Hybrid: Reference case</t>
  </si>
  <si>
    <t>AEO.2023.REF2023.ECI_SAL_FGHT_RAD_EDH_NA_NA_TH.A</t>
  </si>
  <si>
    <t>Freight: New Trucks: Sales: Heavy: Plug-in Gasoline Hybrid: Reference case</t>
  </si>
  <si>
    <t>AEO.2023.REF2023.ECI_SAL_FGHT_RAD_EGH_NA_NA_TH.A</t>
  </si>
  <si>
    <t>Freight: New Trucks: Sales: Heavy: Fuel Cell: Reference case</t>
  </si>
  <si>
    <t>AEO.2023.REF2023.ECI_SAL_FGHT_RAD_FUC_NA_NA_TH.A</t>
  </si>
  <si>
    <t>Freight: New Trucks: Sales: Heavy: Reference case</t>
  </si>
  <si>
    <t>AEO.2023.REF2023.ECI_SAL_FGHT_RAD_NA_NA_NA_TH.A</t>
  </si>
  <si>
    <t>Freight: New Trucks: Sales: Reference case</t>
  </si>
  <si>
    <t>AEO.2023.REF2023.ECI_SAL_FGHT_NA_NA_NA_NA_TH.A</t>
  </si>
  <si>
    <t>Freight: Railroads: Ton Miles by Rail: Reference case</t>
  </si>
  <si>
    <t>AEO.2023.REF2023.ECI_FTM_TRN_RAIL_NA_NA_NA_BLN.A</t>
  </si>
  <si>
    <t>Freight: Railroads: Fuel Efficiency: Reference case</t>
  </si>
  <si>
    <t>AEO.2023.REF2023.EFI_NA_TRN_RAIL_NA_NA_NA_TONMLPTHBTU.A</t>
  </si>
  <si>
    <t>Freight: Railroads: Fuel Use: Distillate Fuel Oil: Reference case</t>
  </si>
  <si>
    <t>AEO.2023.REF2023.CNSM_NA_TRN_RAIL_DFO_NA_NA_TRLBTU.A</t>
  </si>
  <si>
    <t>Freight: Railroads: Fuel Use: Residual Fuel Oil: Reference case</t>
  </si>
  <si>
    <t>AEO.2023.REF2023.CNSM_NA_TRN_RAIL_RFO_NA_NA_TRLBTU.A</t>
  </si>
  <si>
    <t>Freight: Railroads: Fuel Use: CNG: Reference case</t>
  </si>
  <si>
    <t>AEO.2023.REF2023.CNSM_NA_TRN_RAIL_CNG_NA_NA_TRLBTU.A</t>
  </si>
  <si>
    <t>Freight: Railroads: Fuel Use: LNG: Reference case</t>
  </si>
  <si>
    <t>AEO.2023.REF2023.CNSM_NA_TRN_RAIL_LNG_NA_NA_TRLBTU.A</t>
  </si>
  <si>
    <t>Freight: Domestic Shipping: Ton Miles Shipping: Reference case</t>
  </si>
  <si>
    <t>AEO.2023.REF2023.ECI_FTM_TRN_DMT_NA_NA_NA_BLN.A</t>
  </si>
  <si>
    <t>Freight: Domestic Shipping: Fuel Efficiency: Reference case</t>
  </si>
  <si>
    <t>AEO.2023.REF2023.EFI_NA_TRN_DMT_NA_NA_NA_TONMLPTHBTU.A</t>
  </si>
  <si>
    <t>Freight: Domestic Shipping: Fuel Use: Distillate Fuel Oil: Reference case</t>
  </si>
  <si>
    <t>Freight: Domestic Shipping: Fuel Use: Residual Fuel Oil: Reference case</t>
  </si>
  <si>
    <t>Freight: Domestic Shipping: Fuel Use: CNG: Reference case</t>
  </si>
  <si>
    <t>Freight: Domestic Shipping: Fuel Use: LNG: Reference case</t>
  </si>
  <si>
    <t>Freight: International Shipping: Gross Trade: Reference case</t>
  </si>
  <si>
    <t>AEO.2023.REF2023.ECI_UGHT_TRN_INTS_NA_NA_NA_BLNY09DLR.A</t>
  </si>
  <si>
    <t>Freight: International Shipping: Exports: Reference case</t>
  </si>
  <si>
    <t>AEO.2023.REF2023.ECI_EXPT_TRN_INTS_NA_NA_NA_BLNY09DLR.A</t>
  </si>
  <si>
    <t>Freight: International Shipping: Imports: Reference case</t>
  </si>
  <si>
    <t>AEO.2023.REF2023.ECI_IMP_TRN_INTS_NA_NA_NA_BLNY09DLR.A</t>
  </si>
  <si>
    <t>Freight: International Shipping: Fuel Use: Distillate Fuel Oil: Reference case</t>
  </si>
  <si>
    <t>Freight: International Shipping: Fuel Use: Residual Fuel Oil: Reference case</t>
  </si>
  <si>
    <t>Freight: International Shipping: Fuel Use: CNG: Reference case</t>
  </si>
  <si>
    <t>Freight: International Shipping: Fuel Use: LNG: Reference case</t>
  </si>
  <si>
    <t>use 2024</t>
  </si>
  <si>
    <t>Table 7.  Transportation Sector Key Indicators and Delivered Energy Consumption</t>
  </si>
  <si>
    <t>https://www.eia.gov/outlooks/aeo/data/browser/#/?id=7-AEO2025&amp;cases=alttrnp&amp;sourcekey=0</t>
  </si>
  <si>
    <t>Fri Dec 05 2025 14:42:41 GMT-0800 (Pacific Standard Time)</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</si>
  <si>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</si>
  <si>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</si>
  <si>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</si>
  <si>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</si>
  <si>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</si>
  <si>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</si>
  <si>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</si>
  <si>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</si>
  <si>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</si>
  <si>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</si>
  <si>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</si>
  <si>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</si>
  <si>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</si>
  <si>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</si>
  <si>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</si>
  <si>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</si>
  <si>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</si>
  <si>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</si>
  <si>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</si>
  <si>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Transportation: Travel Indicators: Air: Alternative Transportation</t>
  </si>
  <si>
    <t>AEO.2025.ALTTRNP.KEI_TRV_TRN_NA_AIR_NA_NA_BLNSEATMLS.A</t>
  </si>
  <si>
    <t>billion seat miles</t>
  </si>
  <si>
    <t>(billion ton miles traveled)</t>
  </si>
  <si>
    <t>Transportation: Travel Indicators: Rail: Alternative Transportation</t>
  </si>
  <si>
    <t>AEO.2025.ALTTRNP.KEI_TRV_TRN_NA_RAIL_NA_NA_BLNTNMLS.A</t>
  </si>
  <si>
    <t>billion ton miles</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</si>
  <si>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</si>
  <si>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</si>
  <si>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</si>
  <si>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</si>
  <si>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</si>
  <si>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</si>
  <si>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</si>
  <si>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</si>
  <si>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</si>
  <si>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</si>
  <si>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</si>
  <si>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</si>
  <si>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</si>
  <si>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</si>
  <si>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</si>
  <si>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</si>
  <si>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</si>
  <si>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</si>
  <si>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</si>
  <si>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</si>
  <si>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</si>
  <si>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</si>
  <si>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</si>
  <si>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</si>
  <si>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</si>
  <si>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</si>
  <si>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</si>
  <si>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</si>
  <si>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</si>
  <si>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</si>
  <si>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</si>
  <si>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</si>
  <si>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</si>
  <si>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</si>
  <si>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</si>
  <si>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</si>
  <si>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</si>
  <si>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</si>
  <si>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</si>
  <si>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</si>
  <si>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</si>
  <si>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</si>
  <si>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</si>
  <si>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</si>
  <si>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</si>
  <si>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</si>
  <si>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</si>
  <si>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</si>
  <si>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</si>
  <si>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</si>
  <si>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</si>
  <si>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</si>
  <si>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</si>
  <si>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</si>
  <si>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</si>
  <si>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</si>
  <si>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</si>
  <si>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</si>
  <si>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</si>
  <si>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</si>
  <si>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</si>
  <si>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</si>
  <si>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</si>
  <si>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</si>
  <si>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</si>
  <si>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</si>
  <si>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</si>
  <si>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</si>
  <si>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</si>
  <si>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</si>
  <si>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</si>
  <si>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</si>
  <si>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</si>
  <si>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</si>
  <si>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Transportation: Energy Use by Mode: Recreational Boats: Alternative Transportation</t>
  </si>
  <si>
    <t>AEO.2025.ALTTRNP.CNSM_NA_TRN_RBT_USE_NA_NA_QBTU.A</t>
  </si>
  <si>
    <t>Transportation: Energy Use by Mode: Air: Alternative Transportation</t>
  </si>
  <si>
    <t>AEO.2025.ALTTRNP.CNSM_NA_TRN_AIR_USE_NA_NA_QBTU.A</t>
  </si>
  <si>
    <t>Transportation: Energy Use by Mode: Military Use: Alternative Transportation</t>
  </si>
  <si>
    <t>AEO.2025.ALTTRNP.CNSM_NA_TRN_MILU_USE_NA_NA_QBTU.A</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</si>
  <si>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</si>
  <si>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</si>
  <si>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</si>
  <si>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</si>
  <si>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</si>
  <si>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Transportation: Energy Use by Mode: Natural Gas for Liquefaction: Alternative Transportation</t>
  </si>
  <si>
    <t>AEO.2025.ALTTRNP.CNSM_NA_TRN_IDEI_LQFCT_NA_USA_QBTU.A</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</si>
  <si>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</si>
  <si>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</si>
  <si>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</si>
  <si>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</si>
  <si>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</si>
  <si>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</si>
  <si>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</si>
  <si>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</si>
  <si>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</si>
  <si>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</si>
  <si>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</si>
  <si>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</si>
  <si>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</si>
  <si>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</si>
  <si>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</si>
  <si>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</si>
  <si>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</si>
  <si>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</si>
  <si>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</si>
  <si>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</si>
  <si>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</si>
  <si>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</si>
  <si>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</si>
  <si>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</si>
  <si>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</si>
  <si>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</si>
  <si>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</si>
  <si>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</si>
  <si>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</si>
  <si>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</si>
  <si>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</si>
  <si>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</si>
  <si>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</si>
  <si>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</si>
  <si>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</si>
  <si>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</si>
  <si>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</si>
  <si>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</si>
  <si>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</si>
  <si>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</si>
  <si>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</si>
  <si>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</si>
  <si>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</si>
  <si>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</si>
  <si>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</si>
  <si>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</si>
  <si>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</si>
  <si>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</si>
  <si>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</si>
  <si>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</si>
  <si>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</si>
  <si>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</si>
  <si>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</si>
  <si>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</si>
  <si>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</si>
  <si>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Transportation: Electricity Prices: School Bus: Alternative Transportation</t>
  </si>
  <si>
    <t>Transportation: Electricity Prices: Transit Bus: Alternative Transportation</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</si>
  <si>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</si>
  <si>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</si>
  <si>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</si>
  <si>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</si>
  <si>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</si>
  <si>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</si>
  <si>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</si>
  <si>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</si>
  <si>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</si>
  <si>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</si>
  <si>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</si>
  <si>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</si>
  <si>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</si>
  <si>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</si>
  <si>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</si>
  <si>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</si>
  <si>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</si>
  <si>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</si>
  <si>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</si>
  <si>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</si>
  <si>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</si>
  <si>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</si>
  <si>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</si>
  <si>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</si>
  <si>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</si>
  <si>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</si>
  <si>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</si>
  <si>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Transportation: Natural Gas Prices: Compressed: Shipping: Domestic: Alternative Transportation</t>
  </si>
  <si>
    <t>AEO.2025.ALTTRNP.PRCE_NA_TRN_NA_CNG_DMS_NA_Y13DLRPMMBTU.A</t>
  </si>
  <si>
    <t>Transportation: Natural Gas Prices: Compressed: Shipping: International: Alternative Transportation</t>
  </si>
  <si>
    <t>AEO.2025.ALTTRNP.PRCE_NA_TRN_NA_CNG_INTA_NA_Y13DLRPMMBTU.A</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</si>
  <si>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</si>
  <si>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</si>
  <si>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</si>
  <si>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</si>
  <si>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</si>
  <si>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</si>
  <si>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</si>
  <si>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</si>
  <si>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</si>
  <si>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</si>
  <si>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</si>
  <si>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</si>
  <si>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</si>
  <si>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</si>
  <si>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PSGR STOCK</t>
  </si>
  <si>
    <t>FRGT STOCK</t>
  </si>
  <si>
    <t>PSGR AVLO</t>
  </si>
  <si>
    <t>FRGT AVLO</t>
  </si>
  <si>
    <t>PSGR BAADTVBT</t>
  </si>
  <si>
    <t>FRGT BAADTVBT</t>
  </si>
  <si>
    <t>PSGR fuel</t>
  </si>
  <si>
    <t>PSGR FUEL ECONOMY</t>
  </si>
  <si>
    <t>FRGT FUEL ECONOMY</t>
  </si>
  <si>
    <t>Table A-94: Commercial Aviation Fuel Burn for the United States and Territories</t>
  </si>
  <si>
    <t>Year</t>
  </si>
  <si>
    <t>Region</t>
  </si>
  <si>
    <t>Distance Flown (nmi)</t>
  </si>
  <si>
    <t>Fuel Burn (Mgal)</t>
  </si>
  <si>
    <t>Fuel Burn (TBtu)</t>
  </si>
  <si>
    <t>Fuel Burn (Kg)</t>
  </si>
  <si>
    <t>CO2 (Tg)</t>
  </si>
  <si>
    <t>Domestic U.S. 50 States and U.S. Territories</t>
  </si>
  <si>
    <t>International U.S. 50 States and U.S. Territories</t>
  </si>
  <si>
    <t>Domestic U.S. 50 States</t>
  </si>
  <si>
    <t xml:space="preserve">International U.S. 50 States </t>
  </si>
  <si>
    <t>1995*</t>
  </si>
  <si>
    <t>N/A</t>
  </si>
  <si>
    <t>1996*</t>
  </si>
  <si>
    <t>1997*</t>
  </si>
  <si>
    <t>1998*</t>
  </si>
  <si>
    <t>1999*</t>
  </si>
  <si>
    <t>2001*</t>
  </si>
  <si>
    <t>2002*</t>
  </si>
  <si>
    <t>2003*</t>
  </si>
  <si>
    <t>2004*</t>
  </si>
  <si>
    <t>2006*</t>
  </si>
  <si>
    <t>2007*</t>
  </si>
  <si>
    <t>2008*</t>
  </si>
  <si>
    <t>2009*</t>
  </si>
  <si>
    <t>International U.S. 50 States</t>
  </si>
  <si>
    <t>*Estimates for these years were derived from previously reported tools and methods.</t>
  </si>
  <si>
    <t>% DOMESTIC</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</si>
  <si>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</si>
  <si>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</si>
  <si>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</si>
  <si>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</si>
  <si>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</si>
  <si>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</si>
  <si>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</si>
  <si>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</si>
  <si>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</si>
  <si>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</si>
  <si>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</si>
  <si>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</si>
  <si>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</si>
  <si>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</si>
  <si>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</si>
  <si>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</si>
  <si>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</si>
  <si>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</si>
  <si>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</si>
  <si>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</si>
  <si>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</si>
  <si>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</si>
  <si>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</si>
  <si>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</si>
  <si>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</si>
  <si>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</si>
  <si>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</si>
  <si>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</si>
  <si>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</si>
  <si>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</si>
  <si>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</si>
  <si>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</si>
  <si>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</si>
  <si>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</si>
  <si>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</si>
  <si>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</si>
  <si>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</si>
  <si>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</si>
  <si>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</si>
  <si>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</si>
  <si>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</si>
  <si>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</si>
  <si>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</si>
  <si>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</si>
  <si>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</si>
  <si>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</si>
  <si>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</si>
  <si>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</si>
  <si>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</si>
  <si>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</si>
  <si>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</si>
  <si>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</si>
  <si>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</si>
  <si>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</si>
  <si>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</si>
  <si>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</si>
  <si>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</si>
  <si>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</si>
  <si>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</si>
  <si>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</si>
  <si>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</si>
  <si>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</si>
  <si>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</si>
  <si>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</si>
  <si>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</si>
  <si>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</si>
  <si>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</si>
  <si>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</si>
  <si>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</si>
  <si>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</si>
  <si>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</si>
  <si>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</si>
  <si>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</si>
  <si>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</si>
  <si>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</si>
  <si>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</si>
  <si>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</si>
  <si>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</si>
  <si>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</si>
  <si>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</si>
  <si>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</si>
  <si>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</si>
  <si>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</si>
  <si>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</si>
  <si>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</si>
  <si>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</si>
  <si>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</si>
  <si>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</si>
  <si>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</si>
  <si>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</si>
  <si>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</si>
  <si>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</si>
  <si>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</si>
  <si>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</si>
  <si>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</si>
  <si>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</si>
  <si>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</si>
  <si>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</si>
  <si>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</si>
  <si>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</si>
  <si>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</si>
  <si>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</si>
  <si>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</si>
  <si>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</si>
  <si>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</si>
  <si>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</si>
  <si>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</si>
  <si>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</si>
  <si>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</si>
  <si>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</si>
  <si>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</si>
  <si>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</si>
  <si>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</si>
  <si>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</si>
  <si>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</si>
  <si>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</si>
  <si>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</si>
  <si>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</si>
  <si>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</si>
  <si>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</si>
  <si>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</si>
  <si>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</si>
  <si>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</si>
  <si>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</si>
  <si>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</si>
  <si>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</si>
  <si>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</si>
  <si>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</si>
  <si>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</si>
  <si>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</si>
  <si>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</si>
  <si>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</si>
  <si>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</si>
  <si>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</si>
  <si>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</si>
  <si>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</si>
  <si>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</si>
  <si>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</si>
  <si>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</si>
  <si>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</si>
  <si>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</si>
  <si>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</si>
  <si>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</si>
  <si>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</si>
  <si>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</si>
  <si>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</si>
  <si>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</si>
  <si>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</si>
  <si>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</si>
  <si>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</si>
  <si>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</si>
  <si>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</si>
  <si>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</si>
  <si>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</si>
  <si>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</si>
  <si>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</si>
  <si>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</si>
  <si>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</si>
  <si>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</si>
  <si>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</si>
  <si>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</si>
  <si>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</si>
  <si>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</si>
  <si>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</si>
  <si>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</si>
  <si>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</si>
  <si>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</si>
  <si>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</si>
  <si>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</si>
  <si>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</si>
  <si>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</si>
  <si>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</si>
  <si>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</si>
  <si>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</si>
  <si>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</si>
  <si>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</si>
  <si>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</si>
  <si>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</si>
  <si>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</si>
  <si>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</si>
  <si>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</si>
  <si>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</si>
  <si>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</si>
  <si>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</si>
  <si>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AEO Energy Consumption</t>
  </si>
  <si>
    <t>Freight: International Shipping: Fuel Use: LNG: Alternative Transportation</t>
  </si>
  <si>
    <t>Freight: International Shipping: Fuel Use: CNG: Alternative Transportation</t>
  </si>
  <si>
    <t>Freight: International Shipping: Fuel Use: Residual Fuel Oil: Alternative Transportation</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</si>
  <si>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</si>
  <si>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</si>
  <si>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</si>
  <si>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</si>
  <si>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</si>
  <si>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</si>
  <si>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</si>
  <si>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Freight: Domestic Shipping: Fuel Use: LNG: Alternative Transportation</t>
  </si>
  <si>
    <t>Freight: Domestic Shipping: Fuel Use: CNG: Alternative Transportation</t>
  </si>
  <si>
    <t>Freight: Domestic Shipping: Fuel Use: Residual Fuel Oil: Alternative Transportation</t>
  </si>
  <si>
    <t>Freight: Domestic Shipping: Fuel Use: Distillate Fuel Oil: Alternative Transportation</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</si>
  <si>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</si>
  <si>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</si>
  <si>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</si>
  <si>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</si>
  <si>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</si>
  <si>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</si>
  <si>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</si>
  <si>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</si>
  <si>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</si>
  <si>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</si>
  <si>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</si>
  <si>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</si>
  <si>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</si>
  <si>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</si>
  <si>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</si>
  <si>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</si>
  <si>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</si>
  <si>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</si>
  <si>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</si>
  <si>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</si>
  <si>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</si>
  <si>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</si>
  <si>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Hydrogen ICE</t>
  </si>
  <si>
    <t>AEO.2025.ALTTRNP.ECI_SAL_FGHT_RAD_GASHEV_NA_NA_MPGGASEQ.A</t>
  </si>
  <si>
    <t>Freight: New Trucks: Sales: Heavy: Gasoline Hybrid: Alternative Transportation</t>
  </si>
  <si>
    <t>Gasoline Hybrid</t>
  </si>
  <si>
    <t>AEO.2025.ALTTRNP.ECI_SAL_FGHT_RAD_FEUCELBATDOM_NA_NA_MPGDSEQ.A</t>
  </si>
  <si>
    <t>Freight: New Trucks: Sales: Heavy: Fuel Cell Battery Dominant: Alternative Transportation</t>
  </si>
  <si>
    <t>Fuel Cell Battery Dominant</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</si>
  <si>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</si>
  <si>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</si>
  <si>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</si>
  <si>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</si>
  <si>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</si>
  <si>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</si>
  <si>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</si>
  <si>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</si>
  <si>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</si>
  <si>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</si>
  <si>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</si>
  <si>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</si>
  <si>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</si>
  <si>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</si>
  <si>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</si>
  <si>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</si>
  <si>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</si>
  <si>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</si>
  <si>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</si>
  <si>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</si>
  <si>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</si>
  <si>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</si>
  <si>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</si>
  <si>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</si>
  <si>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</si>
  <si>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</si>
  <si>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</si>
  <si>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</si>
  <si>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</si>
  <si>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</si>
  <si>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</si>
  <si>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</si>
  <si>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</si>
  <si>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</si>
  <si>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</si>
  <si>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</si>
  <si>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</si>
  <si>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</si>
  <si>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</si>
  <si>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</si>
  <si>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</si>
  <si>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</si>
  <si>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</si>
  <si>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</si>
  <si>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</si>
  <si>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</si>
  <si>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</si>
  <si>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</si>
  <si>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</si>
  <si>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</si>
  <si>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</si>
  <si>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</si>
  <si>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</si>
  <si>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</si>
  <si>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</si>
  <si>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</si>
  <si>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</si>
  <si>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</si>
  <si>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</si>
  <si>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</si>
  <si>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</si>
  <si>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</si>
  <si>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</si>
  <si>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</si>
  <si>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</si>
  <si>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</si>
  <si>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</si>
  <si>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</si>
  <si>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</si>
  <si>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</si>
  <si>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</si>
  <si>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</si>
  <si>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</si>
  <si>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</si>
  <si>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</si>
  <si>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</si>
  <si>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</si>
  <si>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</si>
  <si>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</si>
  <si>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</si>
  <si>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</si>
  <si>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</si>
  <si>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</si>
  <si>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</si>
  <si>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</si>
  <si>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</si>
  <si>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</si>
  <si>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</si>
  <si>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</si>
  <si>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</si>
  <si>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</si>
  <si>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</si>
  <si>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</si>
  <si>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</si>
  <si>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</si>
  <si>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</si>
  <si>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</si>
  <si>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</si>
  <si>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</si>
  <si>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</si>
  <si>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</si>
  <si>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</si>
  <si>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</si>
  <si>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</si>
  <si>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</si>
  <si>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</si>
  <si>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</si>
  <si>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</si>
  <si>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</si>
  <si>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</si>
  <si>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</si>
  <si>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</si>
  <si>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</si>
  <si>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</si>
  <si>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</si>
  <si>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</si>
  <si>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</si>
  <si>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</si>
  <si>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</si>
  <si>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</si>
  <si>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</si>
  <si>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</si>
  <si>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</si>
  <si>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</si>
  <si>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</si>
  <si>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</si>
  <si>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</si>
  <si>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</si>
  <si>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</si>
  <si>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</si>
  <si>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</si>
  <si>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</si>
  <si>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</si>
  <si>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</si>
  <si>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</si>
  <si>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</si>
  <si>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</si>
  <si>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</si>
  <si>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</si>
  <si>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</si>
  <si>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</si>
  <si>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</si>
  <si>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</si>
  <si>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</si>
  <si>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</si>
  <si>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</si>
  <si>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</si>
  <si>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</si>
  <si>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</si>
  <si>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</si>
  <si>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</si>
  <si>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</si>
  <si>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</si>
  <si>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</si>
  <si>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</si>
  <si>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</si>
  <si>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</si>
  <si>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</si>
  <si>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</si>
  <si>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</si>
  <si>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</si>
  <si>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</si>
  <si>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</si>
  <si>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</si>
  <si>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</si>
  <si>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</si>
  <si>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</si>
  <si>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</si>
  <si>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</si>
  <si>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</si>
  <si>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</si>
  <si>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</si>
  <si>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</si>
  <si>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</si>
  <si>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</si>
  <si>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</si>
  <si>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</si>
  <si>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</si>
  <si>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</si>
  <si>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</si>
  <si>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</si>
  <si>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</si>
  <si>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</si>
  <si>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</si>
  <si>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</si>
  <si>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</si>
  <si>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</si>
  <si>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</si>
  <si>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</si>
  <si>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</si>
  <si>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</si>
  <si>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</si>
  <si>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</si>
  <si>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</si>
  <si>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</si>
  <si>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</si>
  <si>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</si>
  <si>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</si>
  <si>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</si>
  <si>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</si>
  <si>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</si>
  <si>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</si>
  <si>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</si>
  <si>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</si>
  <si>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</si>
  <si>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</si>
  <si>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</si>
  <si>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</si>
  <si>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</si>
  <si>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</si>
  <si>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</si>
  <si>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</si>
  <si>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</si>
  <si>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</si>
  <si>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</si>
  <si>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</si>
  <si>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</si>
  <si>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</si>
  <si>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</si>
  <si>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</si>
  <si>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</si>
  <si>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</si>
  <si>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</si>
  <si>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</si>
  <si>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</si>
  <si>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</si>
  <si>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</si>
  <si>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</si>
  <si>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</si>
  <si>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</si>
  <si>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</si>
  <si>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</si>
  <si>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</si>
  <si>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</si>
  <si>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</si>
  <si>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</si>
  <si>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</si>
  <si>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</si>
  <si>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</si>
  <si>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</si>
  <si>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</si>
  <si>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</si>
  <si>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</si>
  <si>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</si>
  <si>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</si>
  <si>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</si>
  <si>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</si>
  <si>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</si>
  <si>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</si>
  <si>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</si>
  <si>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</si>
  <si>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</si>
  <si>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</si>
  <si>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</si>
  <si>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</si>
  <si>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</si>
  <si>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</si>
  <si>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</si>
  <si>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</si>
  <si>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</si>
  <si>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</si>
  <si>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</si>
  <si>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</si>
  <si>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</si>
  <si>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</si>
  <si>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</si>
  <si>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</si>
  <si>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</si>
  <si>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</si>
  <si>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</si>
  <si>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</si>
  <si>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</si>
  <si>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</si>
  <si>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</si>
  <si>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</si>
  <si>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</si>
  <si>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</si>
  <si>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</si>
  <si>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</si>
  <si>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</si>
  <si>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</si>
  <si>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</si>
  <si>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</si>
  <si>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</si>
  <si>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</si>
  <si>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</si>
  <si>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</si>
  <si>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</si>
  <si>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</si>
  <si>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</si>
  <si>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</si>
  <si>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</si>
  <si>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</si>
  <si>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</si>
  <si>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</si>
  <si>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</si>
  <si>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</si>
  <si>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</si>
  <si>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</si>
  <si>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</si>
  <si>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</si>
  <si>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</si>
  <si>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</si>
  <si>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</si>
  <si>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</si>
  <si>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</si>
  <si>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</si>
  <si>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</si>
  <si>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</si>
  <si>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</si>
  <si>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</si>
  <si>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</si>
  <si>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</si>
  <si>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</si>
  <si>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</si>
  <si>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</si>
  <si>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</si>
  <si>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</si>
  <si>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</si>
  <si>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</si>
  <si>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</si>
  <si>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</si>
  <si>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</si>
  <si>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</si>
  <si>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</si>
  <si>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</si>
  <si>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</si>
  <si>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</si>
  <si>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</si>
  <si>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</si>
  <si>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</si>
  <si>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</si>
  <si>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</si>
  <si>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</si>
  <si>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</si>
  <si>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</si>
  <si>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</si>
  <si>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</si>
  <si>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</si>
  <si>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</si>
  <si>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</si>
  <si>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</si>
  <si>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</si>
  <si>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</si>
  <si>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</si>
  <si>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</si>
  <si>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</si>
  <si>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</si>
  <si>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</si>
  <si>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</si>
  <si>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</si>
  <si>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</si>
  <si>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</si>
  <si>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</si>
  <si>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</si>
  <si>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</si>
  <si>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</si>
  <si>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</si>
  <si>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</si>
  <si>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</si>
  <si>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</si>
  <si>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</si>
  <si>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</si>
  <si>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</si>
  <si>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</si>
  <si>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</si>
  <si>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</si>
  <si>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</si>
  <si>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</si>
  <si>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</si>
  <si>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</si>
  <si>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</si>
  <si>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</si>
  <si>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</si>
  <si>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</si>
  <si>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</si>
  <si>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</si>
  <si>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</si>
  <si>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</si>
  <si>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</si>
  <si>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</si>
  <si>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</si>
  <si>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</si>
  <si>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</si>
  <si>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</si>
  <si>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</si>
  <si>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</si>
  <si>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</si>
  <si>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</si>
  <si>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</si>
  <si>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</si>
  <si>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</si>
  <si>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</si>
  <si>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</si>
  <si>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</si>
  <si>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</si>
  <si>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</si>
  <si>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</si>
  <si>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</si>
  <si>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</si>
  <si>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</si>
  <si>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</si>
  <si>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</si>
  <si>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</si>
  <si>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</si>
  <si>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</si>
  <si>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</si>
  <si>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</si>
  <si>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</si>
  <si>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</si>
  <si>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</si>
  <si>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</si>
  <si>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</si>
  <si>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</si>
  <si>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</si>
  <si>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</si>
  <si>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</si>
  <si>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</si>
  <si>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</si>
  <si>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</si>
  <si>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</si>
  <si>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</si>
  <si>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</si>
  <si>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</si>
  <si>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</si>
  <si>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</si>
  <si>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</si>
  <si>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</si>
  <si>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</si>
  <si>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</si>
  <si>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</si>
  <si>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</si>
  <si>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</si>
  <si>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</si>
  <si>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</si>
  <si>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</si>
  <si>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</si>
  <si>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</si>
  <si>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</si>
  <si>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</si>
  <si>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</si>
  <si>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</si>
  <si>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</si>
  <si>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</si>
  <si>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</si>
  <si>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</si>
  <si>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</si>
  <si>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</si>
  <si>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</si>
  <si>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</si>
  <si>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</si>
  <si>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</si>
  <si>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</si>
  <si>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</si>
  <si>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</si>
  <si>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</si>
  <si>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</si>
  <si>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</si>
  <si>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</si>
  <si>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</si>
  <si>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</si>
  <si>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</si>
  <si>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</si>
  <si>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</si>
  <si>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</si>
  <si>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</si>
  <si>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</si>
  <si>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</si>
  <si>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</si>
  <si>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</si>
  <si>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</si>
  <si>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</si>
  <si>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</si>
  <si>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</si>
  <si>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</si>
  <si>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</si>
  <si>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</si>
  <si>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</si>
  <si>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</si>
  <si>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</si>
  <si>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</si>
  <si>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</si>
  <si>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</si>
  <si>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</si>
  <si>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</si>
  <si>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</si>
  <si>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</si>
  <si>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</si>
  <si>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</si>
  <si>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</si>
  <si>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</si>
  <si>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</si>
  <si>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</si>
  <si>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</si>
  <si>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</si>
  <si>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</si>
  <si>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AEO.2025.ALTTRNP.CNSM_LDV_TRN_CML_NA_NA_NA_TRLBTU.A</t>
  </si>
  <si>
    <t>Fleet Vehicle Energy Use: Commercial Light Trucks: Total: Alternative Transportation</t>
  </si>
  <si>
    <t>AEO.2025.ALTTRNP.CNSM_LDV_TRN_CML_HYDICE_NA_NA_TRLBTU.A</t>
  </si>
  <si>
    <t>Fleet Vehicle Energy Use: Commercial Light Trucks: Hydrogen ICE: Alternative Transportation</t>
  </si>
  <si>
    <t>AEO.2025.ALTTRNP.CNSM_LDV_TRN_CML_GASHEV_NA_NA_TRLBTU.A</t>
  </si>
  <si>
    <t>Fleet Vehicle Energy Use: Commercial Light Trucks: Gasoline Hybrid: Alternative Transportation</t>
  </si>
  <si>
    <t>AEO.2025.ALTTRNP.CNSM_LDV_TRN_CML_FEUCELBATDOM_NA_NA_TRLBTU.A</t>
  </si>
  <si>
    <t>Fleet Vehicle Energy Use: Commercial Light Trucks: Fuel Cell Battery Dominant: Alternative Transportation</t>
  </si>
  <si>
    <t>AEO.2025.ALTTRNP.CNSM_LDV_TRN_CML_FUC_NA_NA_TRLBTU.A</t>
  </si>
  <si>
    <t>Fleet Vehicle Energy Use: Commercial Light Trucks: Fuel Cell: Alternative Transportation</t>
  </si>
  <si>
    <t>AEO.2025.ALTTRNP.CNSM_LDV_TRN_CML_EDH_NA_NA_TRLBTU.A</t>
  </si>
  <si>
    <t>Fleet Vehicle Energy Use: Commercial Light Trucks: Plug-in Diesel: Alternative Transportation</t>
  </si>
  <si>
    <t>AEO.2025.ALTTRNP.CNSM_LDV_TRN_CML_EGH_NA_NA_TRLBTU.A</t>
  </si>
  <si>
    <t>Fleet Vehicle Energy Use: Commercial Light Trucks: Plug-in Gasoline: Alternative Transportation</t>
  </si>
  <si>
    <t>AEO.2025.ALTTRNP.CNSM_LDV_TRN_CML_ELE_NA_NA_TRLBTU.A</t>
  </si>
  <si>
    <t>Fleet Vehicle Energy Use: Commercial Light Trucks: Electric: Alternative Transportation</t>
  </si>
  <si>
    <t>AEO.2025.ALTTRNP.CNSM_LDV_TRN_CML_EFFI_NA_NA_TRLBTU.A</t>
  </si>
  <si>
    <t>Fleet Vehicle Energy Use: Commercial Light Trucks: Ethanol Flex: Alternative Transportation</t>
  </si>
  <si>
    <t>AEO.2025.ALTTRNP.CNSM_LDV_TRN_CML_NG_NA_NA_TRLBTU.A</t>
  </si>
  <si>
    <t>Fleet Vehicle Energy Use: Commercial Light Trucks: CNG/LNG: Alternative Transportation</t>
  </si>
  <si>
    <t>AEO.2025.ALTTRNP.CNSM_LDV_TRN_CML_PROP_NA_NA_TRLBTU.A</t>
  </si>
  <si>
    <t>Fleet Vehicle Energy Use: Commercial Light Trucks: Propane: Alternative Transportation</t>
  </si>
  <si>
    <t>AEO.2025.ALTTRNP.CNSM_LDV_TRN_CML_TDS_NA_NA_TRLBTU.A</t>
  </si>
  <si>
    <t>Fleet Vehicle Energy Use: Commercial Light Trucks: TDI Diesel: Alternative Transportation</t>
  </si>
  <si>
    <t>AEO.2025.ALTTRNP.CNSM_LDV_TRN_CML_GSL_NA_NA_TRLBTU.A</t>
  </si>
  <si>
    <t>Fleet Vehicle Energy Use: Commercial Light Trucks: Gasoline: Alternative Transportation</t>
  </si>
  <si>
    <t>AEO.2025.ALTTRNP.CNSM_LDV_FLEET_NA_NA_NA_NA_TRLBTU.A</t>
  </si>
  <si>
    <t>Fleet Vehicle Energy Use: Total Fleet Vehicles: Alternative Transportation</t>
  </si>
  <si>
    <t>AEO.2025.ALTTRNP.CNSM_LDV_FLEET_LTK_NA_NA_NA_TRLBTU.A</t>
  </si>
  <si>
    <t>Fleet Vehicle Energy Use: Total Light Trucks: Alternative Transportation</t>
  </si>
  <si>
    <t>AEO.2025.ALTTRNP.CNSM_LDV_ALF1_FLTR_NA_NA_NA_TRLBTU.A</t>
  </si>
  <si>
    <t>Fleet Vehicle Energy Use: Alternative-Fuel Light Trucks: Total Alternative: Alternative Transportation</t>
  </si>
  <si>
    <t>AEO.2025.ALTTRNP.CNSM_LDV_ALF1_FLTR_FCH_NA_NA_TRLBTU.A</t>
  </si>
  <si>
    <t>Fleet Vehicle Energy Use: Alternative-Fuel Light Trucks: Fuel Cell Hydrogen: Alternative Transportation</t>
  </si>
  <si>
    <t>AEO.2025.ALTTRNP.CNSM_LDV_ALF1_FLTR_FCLMTH_NA_NA_TRLBTU.A</t>
  </si>
  <si>
    <t>Fleet Vehicle Energy Use: Alternative-Fuel Light Trucks: Fuel Cell Methanol: Alternative Transportation</t>
  </si>
  <si>
    <t>AEO.2025.ALTTRNP.CNSM_LDV_ALF1_FLTR_PBF_NA_NA_TRLBTU.A</t>
  </si>
  <si>
    <t>Fleet Vehicle Energy Use: Alternative-Fuel Light Trucks: Propane Bi-fuel: Alternative Transportation</t>
  </si>
  <si>
    <t>AEO.2025.ALTTRNP.CNSM_LDV_ALF1_FLTR_PROP_NA_NA_TRLBTU.A</t>
  </si>
  <si>
    <t>Fleet Vehicle Energy Use: Alternative-Fuel Light Trucks: Propane ICE: Alternative Transportation</t>
  </si>
  <si>
    <t>AEO.2025.ALTTRNP.CNSM_LDV_ALF1_FLTR_NBF_NA_NA_TRLBTU.A</t>
  </si>
  <si>
    <t>Fleet Vehicle Energy Use: Alternative-Fuel Light Trucks: Natural Gas Bi-fuel: Alternative Transportation</t>
  </si>
  <si>
    <t>AEO.2025.ALTTRNP.CNSM_LDV_ALF1_FLTR_NGI_NA_NA_TRLBTU.A</t>
  </si>
  <si>
    <t>Fleet Vehicle Energy Use: Alternative-Fuel Light Trucks: Natural Gas ICE: Alternative Transportation</t>
  </si>
  <si>
    <t>AEO.2025.ALTTRNP.CNSM_LDV_ALF1_FLTR_EGH_NA_NA_TRLBTU.A</t>
  </si>
  <si>
    <t>Fleet Vehicle Energy Use: Alternative-Fuel Light Trucks: Electric-Gasoline Hybrid: Alternative Transportation</t>
  </si>
  <si>
    <t>AEO.2025.ALTTRNP.CNSM_LDV_ALF1_FLTR_EDH_NA_NA_TRLBTU.A</t>
  </si>
  <si>
    <t>Fleet Vehicle Energy Use: Alternative-Fuel Light Trucks: Electric-Diesel Hybrid: Alternative Transportation</t>
  </si>
  <si>
    <t>AEO.2025.ALTTRNP.CNSM_LDV_ALF1_FLTR_PI50GH_NA_NA_TRLBTU.A</t>
  </si>
  <si>
    <t>Fleet Vehicle Energy Use: Alternative-Fuel Light Trucks: Plug-in 50 Gasoline Hybrid: Alternative Transportation</t>
  </si>
  <si>
    <t>AEO.2025.ALTTRNP.CNSM_LDV_ALF1_FLTR_PI20GH_NA_NA_TRLBTU.A</t>
  </si>
  <si>
    <t>Fleet Vehicle Energy Use: Alternative-Fuel Light Trucks: Plug-in 20 Gasoline Hybrid: Alternative Transportation</t>
  </si>
  <si>
    <t>AEO.2025.ALTTRNP.CNSM_LDV_ALF1_FLTR_300MIEV_NA_NA_TRLBTU.A</t>
  </si>
  <si>
    <t>Fleet Vehicle Energy Use: Alternative-Fuel Light Trucks: 300-Mile Electric Vehicle: Alternative Transportation</t>
  </si>
  <si>
    <t>AEO.2025.ALTTRNP.CNSM_LDV_ALF1_FLTR_200MIEV_NA_NA_TRLBTU.A</t>
  </si>
  <si>
    <t>Fleet Vehicle Energy Use: Alternative-Fuel Light Trucks: 200-Mile Electric Vehicle: Alternative Transportation</t>
  </si>
  <si>
    <t>AEO.2025.ALTTRNP.CNSM_LDV_ALF1_FLTR_100MIEV_NA_NA_TRLBTU.A</t>
  </si>
  <si>
    <t>Fleet Vehicle Energy Use: Alternative-Fuel Light Trucks: 100-Mile Electric Vehicle: Alternative Transportation</t>
  </si>
  <si>
    <t>AEO.2025.ALTTRNP.CNSM_LDV_ALF1_FLTR_EFFI_NA_NA_TRLBTU.A</t>
  </si>
  <si>
    <t>Fleet Vehicle Energy Use: Alternative-Fuel Light Trucks: Ethanol-Flex Fuel ICE: Alternative Transportation</t>
  </si>
  <si>
    <t>AEO.2025.ALTTRNP.CNSM_LDV_CNV_FLTR_NA_NA_NA_TRLBTU.A</t>
  </si>
  <si>
    <t>Fleet Vehicle Energy Use: Conventional Light Trucks: Total: Alternative Transportation</t>
  </si>
  <si>
    <t>AEO.2025.ALTTRNP.CNSM_LDV_CNV_FLTR_TDS_NA_NA_TRLBTU.A</t>
  </si>
  <si>
    <t>Fleet Vehicle Energy Use: Conventional Light Trucks: TDI Diesel: Alternative Transportation</t>
  </si>
  <si>
    <t>AEO.2025.ALTTRNP.CNSM_LDV_CNV_FLTR_GSL_NA_NA_TRLBTU.A</t>
  </si>
  <si>
    <t>Fleet Vehicle Energy Use: Conventional Light Trucks: Gasoline: Alternative Transportation</t>
  </si>
  <si>
    <t>AEO.2025.ALTTRNP.CNSM_LDV_FLEET_CAR_NA_NA_NA_TRLBTU.A</t>
  </si>
  <si>
    <t>Fleet Vehicle Energy Use: Total Cars: Alternative Transportation</t>
  </si>
  <si>
    <t>AEO.2025.ALTTRNP.CNSM_LDV_ALF1_FLC_NA_NA_NA_TRLBTU.A</t>
  </si>
  <si>
    <t>Fleet Vehicle Energy Use: Alternative-Fuel Cars: Total Alternative: Alternative Transportation</t>
  </si>
  <si>
    <t>AEO.2025.ALTTRNP.CNSM_LDV_ALF1_FLC_FCH_NA_NA_TRLBTU.A</t>
  </si>
  <si>
    <t>Fleet Vehicle Energy Use: Alternative-Fuel Cars: Fuel Cell Hydrogen: Alternative Transportation</t>
  </si>
  <si>
    <t>AEO.2025.ALTTRNP.CNSM_LDV_ALF1_FLC_FCLMTH_NA_NA_TRLBTU.A</t>
  </si>
  <si>
    <t>Fleet Vehicle Energy Use: Alternative-Fuel Cars: Fuel Cell Methanol: Alternative Transportation</t>
  </si>
  <si>
    <t>AEO.2025.ALTTRNP.CNSM_LDV_ALF1_FLC_PBF_NA_NA_TRLBTU.A</t>
  </si>
  <si>
    <t>Fleet Vehicle Energy Use: Alternative-Fuel Cars: Propane Bi-fuel: Alternative Transportation</t>
  </si>
  <si>
    <t>AEO.2025.ALTTRNP.CNSM_LDV_ALF1_FLC_PROP_NA_NA_TRLBTU.A</t>
  </si>
  <si>
    <t>Fleet Vehicle Energy Use: Alternative-Fuel Cars: Propane ICE: Alternative Transportation</t>
  </si>
  <si>
    <t>AEO.2025.ALTTRNP.CNSM_LDV_ALF1_FLC_NBF_NA_NA_TRLBTU.A</t>
  </si>
  <si>
    <t>Fleet Vehicle Energy Use: Alternative-Fuel Cars: Natural Gas Bi-fuel: Alternative Transportation</t>
  </si>
  <si>
    <t>AEO.2025.ALTTRNP.CNSM_LDV_ALF1_FLC_NGI_NA_NA_TRLBTU.A</t>
  </si>
  <si>
    <t>Fleet Vehicle Energy Use: Alternative-Fuel Cars: Natural Gas ICE: Alternative Transportation</t>
  </si>
  <si>
    <t>AEO.2025.ALTTRNP.CNSM_LDV_ALF1_FLC_EGH_NA_NA_TRLBTU.A</t>
  </si>
  <si>
    <t>Fleet Vehicle Energy Use: Alternative-Fuel Cars: Electric-Gasoline Hybrid: Alternative Transportation</t>
  </si>
  <si>
    <t>AEO.2025.ALTTRNP.CNSM_LDV_ALF1_FLC_EDH_NA_NA_TRLBTU.A</t>
  </si>
  <si>
    <t>Fleet Vehicle Energy Use: Alternative-Fuel Cars: Electric-Diesel Hybrid: Alternative Transportation</t>
  </si>
  <si>
    <t>AEO.2025.ALTTRNP.CNSM_LDV_ALF1_FLC_PI50GH_NA_NA_TRLBTU.A</t>
  </si>
  <si>
    <t>Fleet Vehicle Energy Use: Alternative-Fuel Cars: Plug-in 50 Gasoline Hybrid: Alternative Transportation</t>
  </si>
  <si>
    <t>AEO.2025.ALTTRNP.CNSM_LDV_ALF1_FLC_PI20GH_NA_NA_TRLBTU.A</t>
  </si>
  <si>
    <t>Fleet Vehicle Energy Use: Alternative-Fuel Cars: Plug-in 20 Gasoline Hybrid: Alternative Transportation</t>
  </si>
  <si>
    <t>AEO.2025.ALTTRNP.CNSM_LDV_ALF1_FLC_300MIEV_NA_NA_TRLBTU.A</t>
  </si>
  <si>
    <t>Fleet Vehicle Energy Use: Alternative-Fuel Cars: 300-Mile Electric Vehicle: Alternative Transportation</t>
  </si>
  <si>
    <t>AEO.2025.ALTTRNP.CNSM_LDV_ALF1_FLC_200MIEV_NA_NA_TRLBTU.A</t>
  </si>
  <si>
    <t>Fleet Vehicle Energy Use: Alternative-Fuel Cars: 200-Mile Electric Vehicle: Alternative Transportation</t>
  </si>
  <si>
    <t>AEO.2025.ALTTRNP.CNSM_LDV_ALF1_FLC_100MIEV_NA_NA_TRLBTU.A</t>
  </si>
  <si>
    <t>Fleet Vehicle Energy Use: Alternative-Fuel Cars: 100-Mile Electric Vehicle: Alternative Transportation</t>
  </si>
  <si>
    <t>AEO.2025.ALTTRNP.CNSM_LDV_ALF1_FLC_EFFI_NA_NA_TRLBTU.A</t>
  </si>
  <si>
    <t>Fleet Vehicle Energy Use: Alternative-Fuel Cars: Ethanol-Flex Fuel ICE: Alternative Transportation</t>
  </si>
  <si>
    <t>AEO.2025.ALTTRNP.CNSM_LDV_CNV_FLC_NA_NA_NA_TRLBTU.A</t>
  </si>
  <si>
    <t>Fleet Vehicle Energy Use: Conventional Cars: Total: Alternative Transportation</t>
  </si>
  <si>
    <t>AEO.2025.ALTTRNP.CNSM_LDV_CNV_FLC_TDS_NA_NA_TRLBTU.A</t>
  </si>
  <si>
    <t>Fleet Vehicle Energy Use: Conventional Cars: TDI Diesel: Alternative Transportation</t>
  </si>
  <si>
    <t>AEO.2025.ALTTRNP.CNSM_LDV_CNV_FLC_GSL_NA_NA_TRLBTU.A</t>
  </si>
  <si>
    <t>Fleet Vehicle Energy Use: Conventional Cars: Gasoline: Alternative Transportation</t>
  </si>
  <si>
    <t>Fri Dec 05 2025 14:50:33 GMT-0800 (Pacific Standard Time)</t>
  </si>
  <si>
    <t>https://www.eia.gov/outlooks/aeo/data/browser/#/?id=53-AEO2025&amp;cases=alttrnp&amp;sourcekey=0</t>
  </si>
  <si>
    <t>AIR</t>
  </si>
  <si>
    <t>FREIGHT LDV</t>
  </si>
  <si>
    <t>FINAL</t>
  </si>
  <si>
    <t>FREIGHT HDV</t>
  </si>
  <si>
    <t>total energy</t>
  </si>
  <si>
    <t>thing miles</t>
  </si>
  <si>
    <t>miles</t>
  </si>
  <si>
    <t>percent</t>
  </si>
  <si>
    <t>AEO.2025.ALTTRNP.UNC_NA_TRN_NA_NA_NA_NA_PCT.A</t>
  </si>
  <si>
    <t>Light-Duty Vehicle Miles Traveled: Price Effects: Licensing Rate: Alternative Transportation</t>
  </si>
  <si>
    <t>Licensing Rate</t>
  </si>
  <si>
    <t>1987 $/mi</t>
  </si>
  <si>
    <t>AEO.2025.ALTTRNP.ECI_COD_TRN_NA_NA_NA_NA_87DLRPMII.A</t>
  </si>
  <si>
    <t>Light-Duty Vehicle Miles Traveled: Price Effects: Real Cost of Driving per Mile: Alternative Transportation</t>
  </si>
  <si>
    <t>Real Cost of Driving per Mile (1987 cents)</t>
  </si>
  <si>
    <t>AEO.2025.ALTTRNP.EFI_HOUS_TRN_LDV_NA_NA_NA_MPGGASEQ.A</t>
  </si>
  <si>
    <t>Light-Duty Vehicle Miles Traveled: Price Effects: Household Stock Miles per Gallon: Alternative Transportation</t>
  </si>
  <si>
    <t>Household Stock Miles per Gallon</t>
  </si>
  <si>
    <t>AEO.2025.ALTTRNP.PRCE_NA_TRN_NA_MGS_NA_NA_87DLRPMBTU.A</t>
  </si>
  <si>
    <t>Light-Duty Vehicle Miles Traveled: Price Effects: Motor Gasoline Price: Alternative Transportation</t>
  </si>
  <si>
    <t>Motor Gasoline Price (1987 $/MMBtu)</t>
  </si>
  <si>
    <t>AEO.2025.ALTTRNP.DMG_NA_TRN_LIC_NA_NA_NA_MILL.A</t>
  </si>
  <si>
    <t>Light-Duty Vehicle Miles Traveled: VMT Equation Components: Driving Population: Alternative Transportation</t>
  </si>
  <si>
    <t>Licensed Drivers (million)</t>
  </si>
  <si>
    <t>thousand miles</t>
  </si>
  <si>
    <t>AEO.2025.ALTTRNP.DMG_NA_TRN_VMT_NA_NA_NA_THMLS.A</t>
  </si>
  <si>
    <t>Light-Duty Vehicle Miles Traveled: VMT Equation Components: VMT/Driving Population: Alternative Transportation</t>
  </si>
  <si>
    <t>VMT/Licensed Driver (thousand miles)</t>
  </si>
  <si>
    <t>AEO.2025.ALTTRNP.ECI_LDV_TRN_VMT_NA_NA_NA_BLNMLS.A</t>
  </si>
  <si>
    <t>Light-Duty Vehicle Miles Traveled: VMT Equation Components: Total VMT: Alternative Transportation</t>
  </si>
  <si>
    <t>Total VMT (billion miles)</t>
  </si>
  <si>
    <t>AEO.2025.ALTTRNP.ECI_LDV_TRN_VMT_FCH_NA_NA_BLNMLS.A</t>
  </si>
  <si>
    <t>Light-Duty Vehicle Miles Traveled: Alternative-Fuel Vehicles: Fuel Cell Hydrogen: Alternative Transportation</t>
  </si>
  <si>
    <t>AEO.2025.ALTTRNP.ECI_LDV_TRN_VMT_FCLMTH_NA_NA_BLNMLS.A</t>
  </si>
  <si>
    <t>Light-Duty Vehicle Miles Traveled: Alternative-Fuel Vehicles: Fuel Cell Methanol: Alternative Transportation</t>
  </si>
  <si>
    <t>AEO.2025.ALTTRNP.ECI_LDV_TRN_VMT_PBF_NA_NA_BLNMLS.A</t>
  </si>
  <si>
    <t>Light-Duty Vehicle Miles Traveled: Alternative-Fuel Vehicles: Propane Bi-fuel: Alternative Transportation</t>
  </si>
  <si>
    <t>AEO.2025.ALTTRNP.ECI_LDV_TRN_VMT_PROP_NA_NA_BLNMLS.A</t>
  </si>
  <si>
    <t>Light-Duty Vehicle Miles Traveled: Alternative-Fuel Vehicles: Propane ICE: Alternative Transportation</t>
  </si>
  <si>
    <t>AEO.2025.ALTTRNP.ECI_LDV_TRN_VMT_NBF_NA_NA_BLNMLS.A</t>
  </si>
  <si>
    <t>Light-Duty Vehicle Miles Traveled: Alternative-Fuel Vehicles: Natural Gas Bi-fuel: Alternative Transportation</t>
  </si>
  <si>
    <t>AEO.2025.ALTTRNP.ECI_LDV_TRN_VMT_NGI_NA_NA_BLNMLS.A</t>
  </si>
  <si>
    <t>Light-Duty Vehicle Miles Traveled: Alternative-Fuel Vehicles: Natural Gas ICE: Alternative Transportation</t>
  </si>
  <si>
    <t>AEO.2025.ALTTRNP.ECI_LDV_TRN_VMT_EGH_NA_NA_BLNMLS.A</t>
  </si>
  <si>
    <t>Light-Duty Vehicle Miles Traveled: Alternative-Fuel Vehicles: Electric-Gasoline Hybrid: Alternative Transportation</t>
  </si>
  <si>
    <t>AEO.2025.ALTTRNP.ECI_LDV_TRN_VMT_EDH_NA_NA_BLNMLS.A</t>
  </si>
  <si>
    <t>Light-Duty Vehicle Miles Traveled: Alternative-Fuel Vehicles: Electric-Diesel Hybrid: Alternative Transportation</t>
  </si>
  <si>
    <t>AEO.2025.ALTTRNP.ECI_LDV_TRN_VMT_PI50GH_NA_NA_BLNMLS.A</t>
  </si>
  <si>
    <t>Light-Duty Vehicle Miles Traveled: Alternative-Fuel Vehicles: Plug-in 50 Gasoline Hybrid: Alternative Transportation</t>
  </si>
  <si>
    <t>AEO.2025.ALTTRNP.ECI_LDV_TRN_VMT_PI20GH_NA_NA_BLNMLS.A</t>
  </si>
  <si>
    <t>Light-Duty Vehicle Miles Traveled: Alternative-Fuel Vehicles: Plug-in 20 Gasoline Hybrid: Alternative Transportation</t>
  </si>
  <si>
    <t>AEO.2025.ALTTRNP.ECI_LDV_TRN_VMT_300MIEV_NA_NA_BLNMLS.A</t>
  </si>
  <si>
    <t>Light-Duty Vehicle Miles Traveled: Alternative-Fuel Vehicles: 300-Mile Electric Vehicle: Alternative Transportation</t>
  </si>
  <si>
    <t>AEO.2025.ALTTRNP.ECI_LDV_TRN_VMT_200MIEV_NA_NA_BLNMLS.A</t>
  </si>
  <si>
    <t>Light-Duty Vehicle Miles Traveled: Alternative-Fuel Vehicles: 200-Mile Electric Vehicle: Alternative Transportation</t>
  </si>
  <si>
    <t>AEO.2025.ALTTRNP.ECI_LDV_TRN_VMT_100MIEV_NA_NA_BLNMLS.A</t>
  </si>
  <si>
    <t>Light-Duty Vehicle Miles Traveled: Alternative-Fuel Vehicles: 100-Mile Electric Vehicle: Alternative Transportation</t>
  </si>
  <si>
    <t>AEO.2025.ALTTRNP.ECI_LDV_TRN_VMT_EFFI_NA_NA_BLNMLS.A</t>
  </si>
  <si>
    <t>Light-Duty Vehicle Miles Traveled: Alternative-Fuel Vehicles: Ethanol-Flex Fuel ICE: Alternative Transportation</t>
  </si>
  <si>
    <t>AEO.2025.ALTTRNP.ECI_LDV_TRN_VMT_TDS_NA_NA_BLNMLS.A</t>
  </si>
  <si>
    <t>Light-Duty Vehicle Miles Traveled: Conventional Vehicles: TDI Diesel: Alternative Transportation</t>
  </si>
  <si>
    <t>AEO.2025.ALTTRNP.ECI_LDV_TRN_VMT_GSL_NA_NA_BLNMLS.A</t>
  </si>
  <si>
    <t>Light-Duty Vehicle Miles Traveled: Conventional Vehicles: Gasoline: Alternative Transportation</t>
  </si>
  <si>
    <t>Fri Dec 05 2025 14:50:12 GMT-0800 (Pacific Standard Time)</t>
  </si>
  <si>
    <t>https://www.eia.gov/outlooks/aeo/data/browser/#/?id=51-AEO2025&amp;cases=alttrnp&amp;sourcekey=0</t>
  </si>
  <si>
    <t>Table 41.  Light-Duty Vehicle Miles Traveled by Technology Type</t>
  </si>
  <si>
    <t>AEO.2025.ALTTRNP.CNSM_NA_TRN_LDV_NA_NA_NA_TRLBTU.A</t>
  </si>
  <si>
    <t>Transportation Energy Use: Light-Duty Vehicles: Total: Alternative Transportation</t>
  </si>
  <si>
    <t>AEO.2025.ALTTRNP.CNSM_NA_TRN_LDV_ALF1_NA_NA_TRLBTU.A</t>
  </si>
  <si>
    <t>Transportation Energy Use: Light-Duty Vehicles: Alternative-Fuel: Total: Alternative Transportation</t>
  </si>
  <si>
    <t>AEO.2025.ALTTRNP.CNSM_NA_TRN_LDV_ALF1_FCH_NA_TRLBTU.A</t>
  </si>
  <si>
    <t>Transportation Energy Use: Light-Duty Vehicles: Alternative-Fuel: Fuel Cell Hydrogen: Alternative Transportation</t>
  </si>
  <si>
    <t>AEO.2025.ALTTRNP.CNSM_NA_TRN_LDV_ALF1_FCLMTH_NA_TRLBTU.A</t>
  </si>
  <si>
    <t>Transportation Energy Use: Light-Duty Vehicles: Alternative-Fuel: Fuel Cell Methanol: Alternative Transportation</t>
  </si>
  <si>
    <t>AEO.2025.ALTTRNP.CNSM_NA_TRN_LDV_ALF1_PBF_NA_TRLBTU.A</t>
  </si>
  <si>
    <t>Transportation Energy Use: Light-Duty Vehicles: Alternative-Fuel: Propane Bi-fuel: Alternative Transportation</t>
  </si>
  <si>
    <t>AEO.2025.ALTTRNP.CNSM_NA_TRN_LDV_ALF1_PROP_NA_TRLBTU.A</t>
  </si>
  <si>
    <t>Transportation Energy Use: Light-Duty Vehicles: Alternative-Fuel: Propane ICE: Alternative Transportation</t>
  </si>
  <si>
    <t>AEO.2025.ALTTRNP.CNSM_NA_TRN_LDV_ALF1_NBF_NA_TRLBTU.A</t>
  </si>
  <si>
    <t>Transportation Energy Use: Light-Duty Vehicles: Alternative-Fuel: Natural Gas Bi-fuel: Alternative Transportation</t>
  </si>
  <si>
    <t>AEO.2025.ALTTRNP.CNSM_NA_TRN_LDV_ALF1_NGI_NA_TRLBTU.A</t>
  </si>
  <si>
    <t>Transportation Energy Use: Light-Duty Vehicles: Alternative-Fuel: Natural Gas ICE: Alternative Transportation</t>
  </si>
  <si>
    <t>AEO.2025.ALTTRNP.CNSM_NA_TRN_LDV_ALF1_EGH_NA_TRLBTU.A</t>
  </si>
  <si>
    <t>Transportation Energy Use: Light-Duty Vehicles: Alternative-Fuel: Electric-Gasoline Hybrid: Alternative Transportation</t>
  </si>
  <si>
    <t>AEO.2025.ALTTRNP.CNSM_NA_TRN_LDV_ALF1_EDH_NA_TRLBTU.A</t>
  </si>
  <si>
    <t>Transportation Energy Use: Light-Duty Vehicles: Alternative-Fuel: Electric-Diesel Hybrid: Alternative Transportation</t>
  </si>
  <si>
    <t>AEO.2025.ALTTRNP.CNSM_NA_TRN_LDV_ALF1_PI50GH_NA_TRLBTU.A</t>
  </si>
  <si>
    <t>Transportation Energy Use: Light-Duty Vehicles: Alternative-Fuel: Plug-in 50 Gasoline Hybrid: Alternative Transportation</t>
  </si>
  <si>
    <t>AEO.2025.ALTTRNP.CNSM_NA_TRN_LDV_ALF1_PI20GH_NA_TRLBTU.A</t>
  </si>
  <si>
    <t>Transportation Energy Use: Light-Duty Vehicles: Alternative-Fuel: Plug-in 20 Gasoline Hybrid: Alternative Transportation</t>
  </si>
  <si>
    <t>AEO.2025.ALTTRNP.CNSM_NA_TRN_LDV_ALF1_300EV_NA_TRLBTU.A</t>
  </si>
  <si>
    <t>Transportation Energy Use: Light-Duty Vehicles: Alternative-Fuel: 300-Mile Electric Vehicle: Alternative Transportation</t>
  </si>
  <si>
    <t>AEO.2025.ALTTRNP.CNSM_NA_TRN_LDV_ALF1_200EV_NA_TRLBTU.A</t>
  </si>
  <si>
    <t>Transportation Energy Use: Light-Duty Vehicles: Alternative-Fuel: 200-Mile Electric Vehicle: Alternative Transportation</t>
  </si>
  <si>
    <t>AEO.2025.ALTTRNP.CNSM_NA_TRN_LDV_ALF1_100EV_NA_TRLBTU.A</t>
  </si>
  <si>
    <t>Transportation Energy Use: Light-Duty Vehicles: Alternative-Fuel: 100-Mile Electric Vehicle: Alternative Transportation</t>
  </si>
  <si>
    <t>AEO.2025.ALTTRNP.CNSM_NA_TRN_LDV_ALF1_ETHF_NA_TRLBTU.A</t>
  </si>
  <si>
    <t>Transportation Energy Use: Light-Duty Vehicles: Alternative-Fuel: Ethanol Flex: Alternative Transportation</t>
  </si>
  <si>
    <t>AEO.2025.ALTTRNP.CNSM_NA_TRN_LDV_CNV_NA_NA_TRLBTU.A</t>
  </si>
  <si>
    <t>Transportation Energy Use: Light-Duty Vehicles: Conventional: Total: Alternative Transportation</t>
  </si>
  <si>
    <t>AEO.2025.ALTTRNP.CNSM_NA_TRN_LDV_CNV_TDS_NA_TRLBTU.A</t>
  </si>
  <si>
    <t>Transportation Energy Use: Light-Duty Vehicles: Conventional: TDI Diesel: Alternative Transportation</t>
  </si>
  <si>
    <t>AEO.2025.ALTTRNP.CNSM_NA_TRN_LDV_CNV_GIC_NA_TRLBTU.A</t>
  </si>
  <si>
    <t>Transportation Energy Use: Light-Duty Vehicles: Conventional: Gasoline: Alternative Transportation</t>
  </si>
  <si>
    <t>Fri Dec 05 2025 14:49:19 GMT-0800 (Pacific Standard Time)</t>
  </si>
  <si>
    <t>https://www.eia.gov/outlooks/aeo/data/browser/#/?id=47-AEO2025&amp;cases=alttrnp&amp;sourcekey=0</t>
  </si>
  <si>
    <t>Transportation: Total Energy Use: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</si>
  <si>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</si>
  <si>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</si>
  <si>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</si>
  <si>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</si>
  <si>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</si>
  <si>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</si>
  <si>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</si>
  <si>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</si>
  <si>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</si>
  <si>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</si>
  <si>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</si>
  <si>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</si>
  <si>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</si>
  <si>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</si>
  <si>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</si>
  <si>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</si>
  <si>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</si>
  <si>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</si>
  <si>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</si>
  <si>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</si>
  <si>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</si>
  <si>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</si>
  <si>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</si>
  <si>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</si>
  <si>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</si>
  <si>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</si>
  <si>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</si>
  <si>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</si>
  <si>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</si>
  <si>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</si>
  <si>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</si>
  <si>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</si>
  <si>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</si>
  <si>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</si>
  <si>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</si>
  <si>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</si>
  <si>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</si>
  <si>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</si>
  <si>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</si>
  <si>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</si>
  <si>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</si>
  <si>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</si>
  <si>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</si>
  <si>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</si>
  <si>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</si>
  <si>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</si>
  <si>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</si>
  <si>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</si>
  <si>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</si>
  <si>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</si>
  <si>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</si>
  <si>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</si>
  <si>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</si>
  <si>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</si>
  <si>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</si>
  <si>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</si>
  <si>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</si>
  <si>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</si>
  <si>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</si>
  <si>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</si>
  <si>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</si>
  <si>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</si>
  <si>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</si>
  <si>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</si>
  <si>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</si>
  <si>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</si>
  <si>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</si>
  <si>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</si>
  <si>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</si>
  <si>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</si>
  <si>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</si>
  <si>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</si>
  <si>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</si>
  <si>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</si>
  <si>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</si>
  <si>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</si>
  <si>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</si>
  <si>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</si>
  <si>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</si>
  <si>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</si>
  <si>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</si>
  <si>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</si>
  <si>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</si>
  <si>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</si>
  <si>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</si>
  <si>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</si>
  <si>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</si>
  <si>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</si>
  <si>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</si>
  <si>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</si>
  <si>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</si>
  <si>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</si>
  <si>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</si>
  <si>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</si>
  <si>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</si>
  <si>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</si>
  <si>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AEO.2026.ELECTRNP.CNSM_NA_TRN_NA_NA_NA_NA_TRLBTU.A</t>
  </si>
  <si>
    <t>Transportation: Total Energy Use: Alternative Electricity and Transportation</t>
  </si>
  <si>
    <t>AEO.2026.ELECTRNP.CNSM_NA_NMFG_LQFCT_DELE_NA_NA_TRLBTU.A</t>
  </si>
  <si>
    <t>Transportation Energy Use: Natural Gas for Liquefaction: Alternative Electricity and Transportation</t>
  </si>
  <si>
    <t>AEO.2026.ELECTRNP.CNSM_NA_TRN_PIPL_NG_NA_NA_TRLBTU.A</t>
  </si>
  <si>
    <t>Transportation Energy Use: Pipeline Fuel Natural Gas: Alternative Electricity and Transportation</t>
  </si>
  <si>
    <t>AEO.2026.ELECTRNP.CNSM_NA_TRN_NA_HDG_NA_NA_TRLBTU.A</t>
  </si>
  <si>
    <t>Transportation Energy Use: Hydrogen: Alternative Electricity and Transportation</t>
  </si>
  <si>
    <t>AEO.2026.ELECTRNP.CNSM_NA_TRN_NA_NG_NA_NA_TRLBTU.A</t>
  </si>
  <si>
    <t>Transportation Energy Use: Natural Gas: Alternative Electricity and Transportation</t>
  </si>
  <si>
    <t>AEO.2026.ELECTRNP.CNSM_NA_TRN_NA_ELC_NA_NA_TRLBTU.A</t>
  </si>
  <si>
    <t>Transportation Energy Use: Electricity: Alternative Electricity and Transportation</t>
  </si>
  <si>
    <t>AEO.2026.ELECTRNP.CNSM_NA_TRN_NA_PET_NA_NA_TRLBTU.A</t>
  </si>
  <si>
    <t>Transportation Energy Use: Petroleum Subtotal: Alternative Electricity and Transportation</t>
  </si>
  <si>
    <t>AEO.2026.ELECTRNP.CNSM_NA_TRN_NA_PET_LBC_NA_TRLBTU.A</t>
  </si>
  <si>
    <t>Transportation Energy Use: Petroleum: Lubricants: Alternative Electricity and Transportation</t>
  </si>
  <si>
    <t>AEO.2026.ELECTRNP.CNSM_NA_TRN_NA_PET_PROP_NA_TRLBTU.A</t>
  </si>
  <si>
    <t>Transportation Energy Use: Petroleum: Propane: Alternative Electricity and Transportation</t>
  </si>
  <si>
    <t>AEO.2026.ELECTRNP.CNSM_NA_TRN_NA_PET_AVGA_NA_TRLBTU.A</t>
  </si>
  <si>
    <t>Transportation Energy Use: Petroleum: Aviation Gasoline: Alternative Electricity and Transportation</t>
  </si>
  <si>
    <t>AEO.2026.ELECTRNP.CNSM_NA_TRN_NA_PET_RFO_NA_TRLBTU.A</t>
  </si>
  <si>
    <t>Transportation Energy Use: Petroleum: Residual Fuel Oil: Alternative Electricity and Transportation</t>
  </si>
  <si>
    <t>AEO.2026.ELECTRNP.UNC_NA_TRN_NA_PET_JFL_NA_TRLBTU.A</t>
  </si>
  <si>
    <t>Transportation Energy Use: Petroleum: Jet Fuel: Alternative Electricity and Transportation</t>
  </si>
  <si>
    <t>AEO.2026.ELECTRNP.CNSM_NA_TRN_NA_PET_DSL_NA_TRLBTU.A</t>
  </si>
  <si>
    <t>Transportation Energy Use: Petroleum: Diesel: Alternative Electricity and Transportation</t>
  </si>
  <si>
    <t>AEO.2026.ELECTRNP.CNSM_NA_TRN_NA_E85_NA_NA_TRLBTU.A</t>
  </si>
  <si>
    <t>Transportation Energy Use: E85: Alternative Electricity and Transportation</t>
  </si>
  <si>
    <t>AEO.2026.ELECTRNP.CNSM_NA_TRN_NA_PET_MGS_NA_TRLBTU.A</t>
  </si>
  <si>
    <t>Transportation Energy Use: Petroleum: Motor Gasoline: Alternative Electricity and Transportation</t>
  </si>
  <si>
    <t>AEO.2026.ELECTRNP.CNSM_NA_TRN_NA_TOT_NA_NA_TRLBTU.A</t>
  </si>
  <si>
    <t>Transportation Energy Use: Total: Alternative Electricity and Transportation</t>
  </si>
  <si>
    <t>AEO.2026.ELECTRNP.CNSM_NA_TRN_MLU_DFO_NA_NA_TRLBTU.A</t>
  </si>
  <si>
    <t>Transportation Energy Use: Military Use: Distillate Fuel Oil: Alternative Electricity and Transportation</t>
  </si>
  <si>
    <t>AEO.2026.ELECTRNP.CNSM_NA_TRN_MLU_RFO_NA_NA_TRLBTU.A</t>
  </si>
  <si>
    <t>Transportation Energy Use: Military Use: Residual Fuel Oil: Alternative Electricity and Transportation</t>
  </si>
  <si>
    <t>AEO.2026.ELECTRNP.CNSM_NA_TRN_MLU_AVI_NA_NA_TRLBTU.A</t>
  </si>
  <si>
    <t>Transportation Energy Use: Military Use: Aviation: Alternative Electricity and Transportation</t>
  </si>
  <si>
    <t>AEO.2026.ELECTRNP.CNSM_NA_TRN_MLU_MILU_NA_NA_TRLBTU.A</t>
  </si>
  <si>
    <t>Transportation Energy Use: Military Use: Alternative Electricity and Transportation</t>
  </si>
  <si>
    <t>Transportation Energy Use: Non-Highway: Natural Gas for Liquefaction: Alternative Electricity and Transportation</t>
  </si>
  <si>
    <t>Transportation Energy Use: Non-Highway: Pipeline Fuel Natural Gas: Alternative Electricity and Transportation</t>
  </si>
  <si>
    <t>AEO.2026.ELECTRNP.CNSM_NA_TRN_NA_LBC_NA_NA_TRLBTU.A</t>
  </si>
  <si>
    <t>Transportation Energy Use: Non-Highway: Lubricants: Alternative Electricity and Transportation</t>
  </si>
  <si>
    <t>AEO.2026.ELECTRNP.CNSM_NA_TRN_RAIL_PSG_CMTR_NA_TRLBTU.A</t>
  </si>
  <si>
    <t>Transportation Energy Use: Non-Highway: Rail: Passenger: Commuter: Alternative Electricity and Transportation</t>
  </si>
  <si>
    <t>AEO.2026.ELECTRNP.CNSM_NA_TRN_RAIL_PSG_TNST_NA_TRLBTU.A</t>
  </si>
  <si>
    <t>Transportation Energy Use: Non-Highway: Rail: Passenger: Transit: Alternative Electricity and Transportation</t>
  </si>
  <si>
    <t>AEO.2026.ELECTRNP.CNSM_NA_TRN_RAIL_PSG_ICYT_NA_TRLBTU.A</t>
  </si>
  <si>
    <t>Transportation Energy Use: Non-Highway: Rail: Passenger: Intercity: Alternative Electricity and Transportation</t>
  </si>
  <si>
    <t>AEO.2026.ELECTRNP.CNSM_NA_TRN_RAIL_PSG_PSG_NA_TRLBTU.A</t>
  </si>
  <si>
    <t>Transportation Energy Use: Non-Highway: Rail: Passenger: Alternative Electricity and Transportation</t>
  </si>
  <si>
    <t>AEO.2026.ELECTRNP.CNSM_NA_TRN_RAIL_FGT_NA_NA_TRLBTU.A</t>
  </si>
  <si>
    <t>Transportation Energy Use: Non-Highway: Rail: Freight: Alternative Electricity and Transportation</t>
  </si>
  <si>
    <t>AEO.2026.ELECTRNP.CNSM_NA_TRN_RAIL_RAIL_NA_NA_TRLBTU.A</t>
  </si>
  <si>
    <t>Transportation Energy Use: Non-Highway: Rail: Alternative Electricity and Transportation</t>
  </si>
  <si>
    <t>AEO.2026.ELECTRNP.CNSM_NA_TRN_WTR_RBT_NA_NA_TRLBTU.A</t>
  </si>
  <si>
    <t>Transportation Energy Use: Non-Highway: Water: Recreational Boats: Alternative Electricity and Transportation</t>
  </si>
  <si>
    <t>AEO.2026.ELECTRNP.CNSM_NA_TRN_WTR_INTS_NA_NA_TRLBTU.A</t>
  </si>
  <si>
    <t>Transportation Energy Use: Non-Highway: Water: Freight: International Shipping: Alternative Electricity and Transportation</t>
  </si>
  <si>
    <t>AEO.2026.ELECTRNP.CNSM_NA_TRN_WTR_DMT_NA_NA_TRLBTU.A</t>
  </si>
  <si>
    <t>Transportation Energy Use: Non-Highway: Water: Freight: Domestic Shipping: Alternative Electricity and Transportation</t>
  </si>
  <si>
    <t>AEO.2026.ELECTRNP.CNSM_NA_TRN_WTR_FGT_NA_NA_TRLBTU.A</t>
  </si>
  <si>
    <t>Transportation Energy Use: Non-Highway: Water: Freight: Alternative Electricity and Transportation</t>
  </si>
  <si>
    <t>AEO.2026.ELECTRNP.CNSM_NA_TRN_WTR_NA_NA_NA_TRLBTU.A</t>
  </si>
  <si>
    <t>Transportation Energy Use: Non-Highway: Water: Alternative Electricity and Transportation</t>
  </si>
  <si>
    <t>AEO.2026.ELECTRNP.CNSM_NA_TRN_AIR_DFT_NA_NA_TRLBTU.A</t>
  </si>
  <si>
    <t>Transportation Energy Use: Non-Highway: Air: Dedicated Freight: Alternative Electricity and Transportation</t>
  </si>
  <si>
    <t>AEO.2026.ELECTRNP.CNSM_NA_TRN_AIR_IAC_NA_NA_TRLBTU.A</t>
  </si>
  <si>
    <t>Transportation Energy Use: Non-Highway: Air: International Passenger: Alternative Electricity and Transportation</t>
  </si>
  <si>
    <t>AEO.2026.ELECTRNP.CNSM_NA_TRN_AIR_DAC_NA_NA_TRLBTU.A</t>
  </si>
  <si>
    <t>Transportation Energy Use: Non-Highway: Air: Domestic Passenger: Alternative Electricity and Transportation</t>
  </si>
  <si>
    <t>AEO.2026.ELECTRNP.CNSM_NA_TRN_AIR_GAV_NA_NA_TRLBTU.A</t>
  </si>
  <si>
    <t>Transportation Energy Use: Non-Highway: Air: General Aviation: Alternative Electricity and Transportation</t>
  </si>
  <si>
    <t>AEO.2026.ELECTRNP.CNSM_NA_TRN_AIR_NA_NA_NA_TRLBTU.A</t>
  </si>
  <si>
    <t>Transportation Energy Use: Non-Highway: Air: Alternative Electricity and Transportation</t>
  </si>
  <si>
    <t>AEO.2026.ELECTRNP.CNSM_NA_TRN_HWY_FGHT_LRGGT26KLB_NA_TRLBTU.A</t>
  </si>
  <si>
    <t>Transportation Energy Use: Highway: Freight Trucks: Large: Alternative Electricity and Transportation</t>
  </si>
  <si>
    <t>AEO.2026.ELECTRNP.CNSM_NA_TRN_HWY_FGHT_MD10T26KLB_NA_TRLBTU.A</t>
  </si>
  <si>
    <t>Transportation Energy Use: Highway: Freight Trucks: Medium: Alternative Electricity and Transportation</t>
  </si>
  <si>
    <t>AEO.2026.ELECTRNP.CNSM_NA_TRN_HWY_FGHT_LITEMED_NA_TRLBTU.A</t>
  </si>
  <si>
    <t>Transportation Energy Use: Highway: Freight Trucks: Light Medium: Alternative Electricity and Transportation</t>
  </si>
  <si>
    <t>AEO.2026.ELECTRNP.CNSM_NA_TRN_HWY_FGHT_NA_NA_TRLBTU.A</t>
  </si>
  <si>
    <t>Transportation Energy Use: Highway: Freight Trucks: Alternative Electricity and Transportation</t>
  </si>
  <si>
    <t>AEO.2026.ELECTRNP.CNSM_NA_TRN_HWY_BUS_SCBU_NA_TRLBTU.A</t>
  </si>
  <si>
    <t>Transportation Energy Use: Highway: Buses: School: Alternative Electricity and Transportation</t>
  </si>
  <si>
    <t>AEO.2026.ELECTRNP.CNSM_NA_TRN_HWY_BUS_ICYT_NA_TRLBTU.A</t>
  </si>
  <si>
    <t>Transportation Energy Use: Highway: Buses: Intercity: Alternative Electricity and Transportation</t>
  </si>
  <si>
    <t>AEO.2026.ELECTRNP.CNSM_NA_TRN_HWY_BUS_TNST_NA_TRLBTU.A</t>
  </si>
  <si>
    <t>Transportation Energy Use: Highway: Buses: Transit: Alternative Electricity and Transportation</t>
  </si>
  <si>
    <t>AEO.2026.ELECTRNP.CNSM_NA_TRN_HWY_BUS_NA_NA_TRLBTU.A</t>
  </si>
  <si>
    <t>Transportation Energy Use: Highway: Buses: Alternative Electricity and Transportation</t>
  </si>
  <si>
    <t>AEO.2026.ELECTRNP.CNSM_NA_TRN_HWY_CML_NA_NA_TRLBTU.A</t>
  </si>
  <si>
    <t>Transportation Energy Use: Highway: Commercial Light Trucks: Alternative Electricity and Transportation</t>
  </si>
  <si>
    <t>AEO.2026.ELECTRNP.CNSM_NA_TRN_HWY_LDV_MCYCL_NA_TRLBTU.A</t>
  </si>
  <si>
    <t>Transportation Energy Use: Highway: Light-Duty Vehicles: Motorcycles: Alternative Electricity and Transportation</t>
  </si>
  <si>
    <t>AEO.2026.ELECTRNP.CNSM_NA_TRN_HWY_LDV_LTRT_NA_TRLBTU.A</t>
  </si>
  <si>
    <t>Transportation Energy Use: Highway: Light-Duty Vehicles: Light Trucks: Alternative Electricity and Transportation</t>
  </si>
  <si>
    <t>AEO.2026.ELECTRNP.CNSM_NA_TRN_HWY_LDV_AUTO_NA_TRLBTU.A</t>
  </si>
  <si>
    <t>Transportation Energy Use: Highway: Light-Duty Vehicles: Automobiles: Alternative Electricity and Transportation</t>
  </si>
  <si>
    <t>AEO.2026.ELECTRNP.CNSM_NA_TRN_HWY_LDV_NA_NA_TRLBTU.A</t>
  </si>
  <si>
    <t>Transportation Energy Use: Highway: Light-Duty Vehicles: Alternative Electricity and Transportation</t>
  </si>
  <si>
    <t>Growth (2025-2050)</t>
  </si>
  <si>
    <t>Thu Apr 23 2026 15:03:12 GMT-0700 (Pacific Daylight Time)</t>
  </si>
  <si>
    <t>https://www.eia.gov/outlooks/aeo/data/browser/#/?id=45-AEO2026&amp;cases=electrnp&amp;sourcekey=0</t>
  </si>
  <si>
    <t>AEO.2026.ELECTRNP.CNSM_NA_TRN_LDV_NA_NA_NA_TRLBTU.A</t>
  </si>
  <si>
    <t>Transportation Energy Use: Light-Duty Vehicles: Total: Alternative Electricity and Transportation</t>
  </si>
  <si>
    <t>AEO.2026.ELECTRNP.CNSM_NA_TRN_LDV_ALF1_NA_NA_TRLBTU.A</t>
  </si>
  <si>
    <t>Transportation Energy Use: Light-Duty Vehicles: Alternative-Fuel: Total: Alternative Electricity and Transportation</t>
  </si>
  <si>
    <t>AEO.2026.ELECTRNP.CNSM_NA_TRN_LDV_ALF1_FCH_NA_TRLBTU.A</t>
  </si>
  <si>
    <t>Transportation Energy Use: Light-Duty Vehicles: Alternative-Fuel: Fuel Cell Hydrogen: Alternative Electricity and Transportation</t>
  </si>
  <si>
    <t>AEO.2026.ELECTRNP.CNSM_NA_TRN_LDV_ALF1_PBF_NA_TRLBTU.A</t>
  </si>
  <si>
    <t>Transportation Energy Use: Light-Duty Vehicles: Alternative-Fuel: Propane Bi-fuel: Alternative Electricity and Transportation</t>
  </si>
  <si>
    <t>AEO.2026.ELECTRNP.CNSM_NA_TRN_LDV_ALF1_PROP_NA_TRLBTU.A</t>
  </si>
  <si>
    <t>Transportation Energy Use: Light-Duty Vehicles: Alternative-Fuel: Propane ICE: Alternative Electricity and Transportation</t>
  </si>
  <si>
    <t>AEO.2026.ELECTRNP.CNSM_NA_TRN_LDV_ALF1_NBF_NA_TRLBTU.A</t>
  </si>
  <si>
    <t>Transportation Energy Use: Light-Duty Vehicles: Alternative-Fuel: Natural Gas Bi-fuel: Alternative Electricity and Transportation</t>
  </si>
  <si>
    <t>AEO.2026.ELECTRNP.CNSM_NA_TRN_LDV_ALF1_NGI_NA_TRLBTU.A</t>
  </si>
  <si>
    <t>Transportation Energy Use: Light-Duty Vehicles: Alternative-Fuel: Natural Gas ICE: Alternative Electricity and Transportation</t>
  </si>
  <si>
    <t>AEO.2026.ELECTRNP.CNSM_NA_TRN_LDV_ALF1_EGH_NA_TRLBTU.A</t>
  </si>
  <si>
    <t>Transportation Energy Use: Light-Duty Vehicles: Alternative-Fuel: Electric-Gasoline Hybrid: Alternative Electricity and Transportation</t>
  </si>
  <si>
    <t>AEO.2026.ELECTRNP.CNSM_NA_TRN_LDV_ALF1_PI50GH_NA_TRLBTU.A</t>
  </si>
  <si>
    <t>Transportation Energy Use: Light-Duty Vehicles: Alternative-Fuel: Plug-in 50 Gasoline Hybrid: Alternative Electricity and Transportation</t>
  </si>
  <si>
    <t>AEO.2026.ELECTRNP.CNSM_NA_TRN_LDV_ALF1_PI20GH_NA_TRLBTU.A</t>
  </si>
  <si>
    <t>Transportation Energy Use: Light-Duty Vehicles: Alternative-Fuel: Plug-in 20 Gasoline Hybrid: Alternative Electricity and Transportation</t>
  </si>
  <si>
    <t>AEO.2026.ELECTRNP.CNSM_NA_TRN_LDV_ALF1_300EV_NA_TRLBTU.A</t>
  </si>
  <si>
    <t>Transportation Energy Use: Light-Duty Vehicles: Alternative-Fuel: 300-Mile Electric Vehicle: Alternative Electricity and Transportation</t>
  </si>
  <si>
    <t>AEO.2026.ELECTRNP.CNSM_NA_TRN_LDV_ALF1_200EV_NA_TRLBTU.A</t>
  </si>
  <si>
    <t>Transportation Energy Use: Light-Duty Vehicles: Alternative-Fuel: 200-Mile Electric Vehicle: Alternative Electricity and Transportation</t>
  </si>
  <si>
    <t>AEO.2026.ELECTRNP.CNSM_NA_TRN_LDV_ALF1_100EV_NA_TRLBTU.A</t>
  </si>
  <si>
    <t>Transportation Energy Use: Light-Duty Vehicles: Alternative-Fuel: 100-Mile Electric Vehicle: Alternative Electricity and Transportation</t>
  </si>
  <si>
    <t>AEO.2026.ELECTRNP.CNSM_NA_TRN_LDV_ALF1_ETHF_NA_TRLBTU.A</t>
  </si>
  <si>
    <t>Transportation Energy Use: Light-Duty Vehicles: Alternative-Fuel: Ethanol Flex: Alternative Electricity and Transportation</t>
  </si>
  <si>
    <t>AEO.2026.ELECTRNP.CNSM_NA_TRN_LDV_CNV_NA_NA_TRLBTU.A</t>
  </si>
  <si>
    <t>Transportation Energy Use: Light-Duty Vehicles: Conventional: Total: Alternative Electricity and Transportation</t>
  </si>
  <si>
    <t>AEO.2026.ELECTRNP.CNSM_NA_TRN_LDV_CNV_TDS_NA_TRLBTU.A</t>
  </si>
  <si>
    <t>Transportation Energy Use: Light-Duty Vehicles: Conventional: TDI Diesel: Alternative Electricity and Transportation</t>
  </si>
  <si>
    <t>AEO.2026.ELECTRNP.CNSM_NA_TRN_LDV_CNV_GIC_NA_TRLBTU.A</t>
  </si>
  <si>
    <t>Transportation Energy Use: Light-Duty Vehicles: Conventional: Gasoline: Alternative Electricity and Transportation</t>
  </si>
  <si>
    <t>Thu Apr 23 2026 15:03:32 GMT-0700 (Pacific Daylight Time)</t>
  </si>
  <si>
    <t>https://www.eia.gov/outlooks/aeo/data/browser/#/?id=47-AEO2026&amp;cases=electrnp&amp;sourcekey=0</t>
  </si>
  <si>
    <t>AEO.2026.ELECTRNP.UNC_NA_TRN_NA_NA_NA_NA_PCT.A</t>
  </si>
  <si>
    <t>Light-Duty Vehicle Miles Traveled: Price Effects: Licensing Rate: Alternative Electricity and Transportation</t>
  </si>
  <si>
    <t>AEO.2026.ELECTRNP.ECI_COD_TRN_NA_NA_NA_NA_87DLRPMII.A</t>
  </si>
  <si>
    <t>Light-Duty Vehicle Miles Traveled: Price Effects: Real Cost of Driving per Mile: Alternative Electricity and Transportation</t>
  </si>
  <si>
    <t>AEO.2026.ELECTRNP.EFI_HOUS_TRN_LDV_NA_NA_NA_MPGGASEQ.A</t>
  </si>
  <si>
    <t>Light-Duty Vehicle Miles Traveled: Price Effects: Household Stock Miles per Gallon: Alternative Electricity and Transportation</t>
  </si>
  <si>
    <t>AEO.2026.ELECTRNP.PRCE_NA_TRN_NA_MGS_NA_NA_87DLRPMBTU.A</t>
  </si>
  <si>
    <t>Light-Duty Vehicle Miles Traveled: Price Effects: Motor Gasoline Price: Alternative Electricity and Transportation</t>
  </si>
  <si>
    <t>AEO.2026.ELECTRNP.DMG_NA_TRN_LIC_NA_NA_NA_MILL.A</t>
  </si>
  <si>
    <t>Light-Duty Vehicle Miles Traveled: VMT Equation Components: Driving Population: Alternative Electricity and Transportation</t>
  </si>
  <si>
    <t>AEO.2026.ELECTRNP.DMG_NA_TRN_VMT_NA_NA_NA_THMLS.A</t>
  </si>
  <si>
    <t>Light-Duty Vehicle Miles Traveled: VMT Equation Components: VMT/Driving Population: Alternative Electricity and Transportation</t>
  </si>
  <si>
    <t>AEO.2026.ELECTRNP.ECI_LDV_TRN_VMT_NA_NA_NA_BLNMLS.A</t>
  </si>
  <si>
    <t>Light-Duty Vehicle Miles Traveled: VMT Equation Components: Total VMT: Alternative Electricity and Transportation</t>
  </si>
  <si>
    <t>AEO.2026.ELECTRNP.ECI_LDV_TRN_VMT_FCH_NA_NA_BLNMLS.A</t>
  </si>
  <si>
    <t>Light-Duty Vehicle Miles Traveled: Alternative-Fuel Vehicles: Fuel Cell Hydrogen: Alternative Electricity and Transportation</t>
  </si>
  <si>
    <t>AEO.2026.ELECTRNP.ECI_LDV_TRN_VMT_PBF_NA_NA_BLNMLS.A</t>
  </si>
  <si>
    <t>Light-Duty Vehicle Miles Traveled: Alternative-Fuel Vehicles: Propane Bi-fuel: Alternative Electricity and Transportation</t>
  </si>
  <si>
    <t>AEO.2026.ELECTRNP.ECI_LDV_TRN_VMT_PROP_NA_NA_BLNMLS.A</t>
  </si>
  <si>
    <t>Light-Duty Vehicle Miles Traveled: Alternative-Fuel Vehicles: Propane ICE: Alternative Electricity and Transportation</t>
  </si>
  <si>
    <t>AEO.2026.ELECTRNP.ECI_LDV_TRN_VMT_NBF_NA_NA_BLNMLS.A</t>
  </si>
  <si>
    <t>Light-Duty Vehicle Miles Traveled: Alternative-Fuel Vehicles: Natural Gas Bi-fuel: Alternative Electricity and Transportation</t>
  </si>
  <si>
    <t>AEO.2026.ELECTRNP.ECI_LDV_TRN_VMT_NGI_NA_NA_BLNMLS.A</t>
  </si>
  <si>
    <t>Light-Duty Vehicle Miles Traveled: Alternative-Fuel Vehicles: Natural Gas ICE: Alternative Electricity and Transportation</t>
  </si>
  <si>
    <t>AEO.2026.ELECTRNP.ECI_LDV_TRN_VMT_EGH_NA_NA_BLNMLS.A</t>
  </si>
  <si>
    <t>Light-Duty Vehicle Miles Traveled: Alternative-Fuel Vehicles: Electric-Gasoline Hybrid: Alternative Electricity and Transportation</t>
  </si>
  <si>
    <t>AEO.2026.ELECTRNP.ECI_LDV_TRN_VMT_PI50GH_NA_NA_BLNMLS.A</t>
  </si>
  <si>
    <t>Light-Duty Vehicle Miles Traveled: Alternative-Fuel Vehicles: Plug-in 50 Gasoline Hybrid: Alternative Electricity and Transportation</t>
  </si>
  <si>
    <t>AEO.2026.ELECTRNP.ECI_LDV_TRN_VMT_PI20GH_NA_NA_BLNMLS.A</t>
  </si>
  <si>
    <t>Light-Duty Vehicle Miles Traveled: Alternative-Fuel Vehicles: Plug-in 20 Gasoline Hybrid: Alternative Electricity and Transportation</t>
  </si>
  <si>
    <t>AEO.2026.ELECTRNP.ECI_LDV_TRN_VMT_300MIEV_NA_NA_BLNMLS.A</t>
  </si>
  <si>
    <t>Light-Duty Vehicle Miles Traveled: Alternative-Fuel Vehicles: 300-Mile Electric Vehicle: Alternative Electricity and Transportation</t>
  </si>
  <si>
    <t>AEO.2026.ELECTRNP.ECI_LDV_TRN_VMT_200MIEV_NA_NA_BLNMLS.A</t>
  </si>
  <si>
    <t>Light-Duty Vehicle Miles Traveled: Alternative-Fuel Vehicles: 200-Mile Electric Vehicle: Alternative Electricity and Transportation</t>
  </si>
  <si>
    <t>AEO.2026.ELECTRNP.ECI_LDV_TRN_VMT_100MIEV_NA_NA_BLNMLS.A</t>
  </si>
  <si>
    <t>Light-Duty Vehicle Miles Traveled: Alternative-Fuel Vehicles: 100-Mile Electric Vehicle: Alternative Electricity and Transportation</t>
  </si>
  <si>
    <t>AEO.2026.ELECTRNP.ECI_LDV_TRN_VMT_EFFI_NA_NA_BLNMLS.A</t>
  </si>
  <si>
    <t>Light-Duty Vehicle Miles Traveled: Alternative-Fuel Vehicles: Ethanol-Flex Fuel ICE: Alternative Electricity and Transportation</t>
  </si>
  <si>
    <t>AEO.2026.ELECTRNP.ECI_LDV_TRN_VMT_TDS_NA_NA_BLNMLS.A</t>
  </si>
  <si>
    <t>Light-Duty Vehicle Miles Traveled: Conventional Vehicles: TDI Diesel: Alternative Electricity and Transportation</t>
  </si>
  <si>
    <t>AEO.2026.ELECTRNP.ECI_LDV_TRN_VMT_GSL_NA_NA_BLNMLS.A</t>
  </si>
  <si>
    <t>Light-Duty Vehicle Miles Traveled: Conventional Vehicles: Gasoline: Alternative Electricity and Transportation</t>
  </si>
  <si>
    <t>Thu Apr 23 2026 15:04:16 GMT-0700 (Pacific Daylight Time)</t>
  </si>
  <si>
    <t>https://www.eia.gov/outlooks/aeo/data/browser/#/?id=51-AEO2026&amp;cases=electrnp&amp;sourcekey=0</t>
  </si>
  <si>
    <t>Annual Energy Outlook 2023, 2025, 2026</t>
  </si>
  <si>
    <t>2023, 2025, 2026</t>
  </si>
  <si>
    <t>AEO.2026.ELECTRNP.CNSM_NA_TRN_INTS_LNG_NA_NA_TRLBTU.A</t>
  </si>
  <si>
    <t>Freight: International Shipping: Fuel Use: LNG: Alternative Electricity and Transportation</t>
  </si>
  <si>
    <t>AEO.2026.ELECTRNP.CNSM_NA_TRN_INTS_CNG_NA_NA_TRLBTU.A</t>
  </si>
  <si>
    <t>Freight: International Shipping: Fuel Use: CNG: Alternative Electricity and Transportation</t>
  </si>
  <si>
    <t>AEO.2026.ELECTRNP.CNSM_NA_TRN_INTS_RFO_NA_NA_TRLBTU.A</t>
  </si>
  <si>
    <t>Freight: International Shipping: Fuel Use: Residual Fuel Oil: Alternative Electricity and Transportation</t>
  </si>
  <si>
    <t>AEO.2026.ELECTRNP.CNSM_NA_TRN_INTS_DFO_NA_NA_TRLBTU.A</t>
  </si>
  <si>
    <t>Freight: International Shipping: Fuel Use: Distillate Fuel Oil: Alternative Electricity and Transportation</t>
  </si>
  <si>
    <t>AEO.2026.ELECTRNP.ECI_IMP_TRN_INTS_NA_NA_NA_BLNY09DLR.A</t>
  </si>
  <si>
    <t>Freight: International Shipping: Imports: Alternative Electricity and Transportation</t>
  </si>
  <si>
    <t>AEO.2026.ELECTRNP.ECI_EXPT_TRN_INTS_NA_NA_NA_BLNY09DLR.A</t>
  </si>
  <si>
    <t>Freight: International Shipping: Exports: Alternative Electricity and Transportation</t>
  </si>
  <si>
    <t>AEO.2026.ELECTRNP.ECI_UGHT_TRN_INTS_NA_NA_NA_BLNY09DLR.A</t>
  </si>
  <si>
    <t>Freight: International Shipping: Gross Trade: Alternative Electricity and Transportation</t>
  </si>
  <si>
    <t>AEO.2026.ELECTRNP.CNSM_NA_TRN_DMT_LNG_NA_NA_TRLBTU.A</t>
  </si>
  <si>
    <t>Freight: Domestic Shipping: Fuel Use: LNG: Alternative Electricity and Transportation</t>
  </si>
  <si>
    <t>AEO.2026.ELECTRNP.CNSM_NA_TRN_DMT_CNG_NA_NA_TRLBTU.A</t>
  </si>
  <si>
    <t>Freight: Domestic Shipping: Fuel Use: CNG: Alternative Electricity and Transportation</t>
  </si>
  <si>
    <t>AEO.2026.ELECTRNP.CNSM_NA_TRN_DMT_RFO_NA_NA_TRLBTU.A</t>
  </si>
  <si>
    <t>Freight: Domestic Shipping: Fuel Use: Residual Fuel Oil: Alternative Electricity and Transportation</t>
  </si>
  <si>
    <t>AEO.2026.ELECTRNP.CNSM_NA_TRN_DMT_DFO_NA_NA_TRLBTU.A</t>
  </si>
  <si>
    <t>Freight: Domestic Shipping: Fuel Use: Distillate Fuel Oil: Alternative Electricity and Transportation</t>
  </si>
  <si>
    <t>AEO.2026.ELECTRNP.EFI_NA_TRN_DMT_NA_NA_NA_TONMLPTHBTU.A</t>
  </si>
  <si>
    <t>Freight: Domestic Shipping: Fuel Efficiency: Alternative Electricity and Transportation</t>
  </si>
  <si>
    <t>AEO.2026.ELECTRNP.ECI_FTM_TRN_DMT_NA_NA_NA_BLN.A</t>
  </si>
  <si>
    <t>Freight: Domestic Shipping: Ton Miles Shipping: Alternative Electricity and Transportation</t>
  </si>
  <si>
    <t>AEO.2026.ELECTRNP.CNSM_NA_TRN_RAIL_LNG_NA_NA_TRLBTU.A</t>
  </si>
  <si>
    <t>Freight: Railroads: Fuel Use: LNG: Alternative Electricity and Transportation</t>
  </si>
  <si>
    <t>AEO.2026.ELECTRNP.CNSM_NA_TRN_RAIL_CNG_NA_NA_TRLBTU.A</t>
  </si>
  <si>
    <t>Freight: Railroads: Fuel Use: CNG: Alternative Electricity and Transportation</t>
  </si>
  <si>
    <t>AEO.2026.ELECTRNP.CNSM_NA_TRN_RAIL_RFO_NA_NA_TRLBTU.A</t>
  </si>
  <si>
    <t>Freight: Railroads: Fuel Use: Residual Fuel Oil: Alternative Electricity and Transportation</t>
  </si>
  <si>
    <t>AEO.2026.ELECTRNP.CNSM_NA_TRN_RAIL_DFO_NA_NA_TRLBTU.A</t>
  </si>
  <si>
    <t>Freight: Railroads: Fuel Use: Distillate Fuel Oil: Alternative Electricity and Transportation</t>
  </si>
  <si>
    <t>AEO.2026.ELECTRNP.EFI_NA_TRN_RAIL_NA_NA_NA_TONMLPTHBTU.A</t>
  </si>
  <si>
    <t>Freight: Railroads: Fuel Efficiency: Alternative Electricity and Transportation</t>
  </si>
  <si>
    <t>AEO.2026.ELECTRNP.ECI_FTM_TRN_RAIL_NA_NA_NA_BLN.A</t>
  </si>
  <si>
    <t>Freight: Railroads: Ton Miles by Rail: Alternative Electricity and Transportation</t>
  </si>
  <si>
    <t>AEO.2026.ELECTRNP.ECI_SAL_FGHT_NA_NA_NA_NA_TH.A</t>
  </si>
  <si>
    <t>Freight: New Trucks: Sales: Alternative Electricity and Transportation</t>
  </si>
  <si>
    <t>AEO.2026.ELECTRNP.ECI_SAL_FGHT_RAD_NA_NA_NA_TH.A</t>
  </si>
  <si>
    <t>Freight: New Trucks: Sales: Heavy: Alternative Electricity and Transportation</t>
  </si>
  <si>
    <t>AEO.2026.ELECTRNP.ECI_SAL_FGHT_RAD_HYDICE_NA_NA_MPGDSEQ.A</t>
  </si>
  <si>
    <t>Freight: New Trucks: Sales: Heavy: Hydrogen ICE: Alternative Electricity and Transportation</t>
  </si>
  <si>
    <t>AEO.2026.ELECTRNP.ECI_SAL_FGHT_RAD_GASHEV_NA_NA_MPGGASEQ.A</t>
  </si>
  <si>
    <t>Freight: New Trucks: Sales: Heavy: Gasoline Hybrid: Alternative Electricity and Transportation</t>
  </si>
  <si>
    <t>AEO.2026.ELECTRNP.ECI_SAL_FGHT_RAD_FEUCELBATDOM_NA_NA_MPGDSEQ.A</t>
  </si>
  <si>
    <t>Freight: New Trucks: Sales: Heavy: Fuel Cell Battery Dominant: Alternative Electricity and Transportation</t>
  </si>
  <si>
    <t>AEO.2026.ELECTRNP.ECI_SAL_FGHT_RAD_FUC_NA_NA_TH.A</t>
  </si>
  <si>
    <t>Freight: New Trucks: Sales: Heavy: Fuel Cell: Alternative Electricity and Transportation</t>
  </si>
  <si>
    <t>AEO.2026.ELECTRNP.ECI_SAL_FGHT_RAD_EGH_NA_NA_TH.A</t>
  </si>
  <si>
    <t>Freight: New Trucks: Sales: Heavy: Plug-in Gasoline Hybrid: Alternative Electricity and Transportation</t>
  </si>
  <si>
    <t>AEO.2026.ELECTRNP.ECI_SAL_FGHT_RAD_EDH_NA_NA_TH.A</t>
  </si>
  <si>
    <t>Freight: New Trucks: Sales: Heavy: Plug-in Diesel Hybrid: Alternative Electricity and Transportation</t>
  </si>
  <si>
    <t>AEO.2026.ELECTRNP.ECI_SAL_FGHT_RAD_ELE_NA_NA_TH.A</t>
  </si>
  <si>
    <t>Freight: New Trucks: Sales: Heavy: Electric: Alternative Electricity and Transportation</t>
  </si>
  <si>
    <t>AEO.2026.ELECTRNP.ECI_SAL_FGHT_RAD_EFFI_NA_NA_TH.A</t>
  </si>
  <si>
    <t>Freight: New Trucks: Sales: Heavy: Ethanol-Flex Fuel: Alternative Electricity and Transportation</t>
  </si>
  <si>
    <t>AEO.2026.ELECTRNP.ECI_SAL_FGHT_RAD_NG_NA_NA_TH.A</t>
  </si>
  <si>
    <t>Freight: New Trucks: Sales: Heavy: Natural Gas: Alternative Electricity and Transportation</t>
  </si>
  <si>
    <t>AEO.2026.ELECTRNP.ECI_SAL_FGHT_RAD_PROP_NA_NA_TH.A</t>
  </si>
  <si>
    <t>Freight: New Trucks: Sales: Heavy: Propane: Alternative Electricity and Transportation</t>
  </si>
  <si>
    <t>AEO.2026.ELECTRNP.ECI_SAL_FGHT_RAD_MGS_NA_NA_TH.A</t>
  </si>
  <si>
    <t>Freight: New Trucks: Sales: Heavy: Motor Gasoline: Alternative Electricity and Transportation</t>
  </si>
  <si>
    <t>AEO.2026.ELECTRNP.ECI_SAL_FGHT_RAD_DSL_NA_NA_TH.A</t>
  </si>
  <si>
    <t>Freight: New Trucks: Sales: Heavy: Diesel: Alternative Electricity and Transportation</t>
  </si>
  <si>
    <t>AEO.2026.ELECTRNP.ECI_SAL_FGHT_SOSO_NA_NA_NA_TH.A</t>
  </si>
  <si>
    <t>Freight: New Trucks: Sales: Medium: Alternative Electricity and Transportation</t>
  </si>
  <si>
    <t>AEO.2026.ELECTRNP.ECI_SAL_FGHT_SOSO_HYDICE_NA_NA_MPGDSEQ.A</t>
  </si>
  <si>
    <t>Freight: New Trucks: Sales: Medium: Hydrogen ICE: Alternative Electricity and Transportation</t>
  </si>
  <si>
    <t>AEO.2026.ELECTRNP.ECI_SAL_FGHT_SOSO_GASHEV_NA_NA_MPGGASEQ.A</t>
  </si>
  <si>
    <t>Freight: New Trucks: Sales: Medium: Gasoline Hybrid: Alternative Electricity and Transportation</t>
  </si>
  <si>
    <t>AEO.2026.ELECTRNP.ECI_SAL_FGHT_SOSO_FEUCELBATDOM_NA_NA_MPGDSEQ.A</t>
  </si>
  <si>
    <t>Freight: New Trucks: Sales: Medium: Fuel Cell Battery Dominant: Alternative Electricity and Transportation</t>
  </si>
  <si>
    <t>AEO.2026.ELECTRNP.ECI_SAL_FGHT_SOSO_FUC_NA_NA_TH.A</t>
  </si>
  <si>
    <t>Freight: New Trucks: Sales: Medium: Fuel Cell: Alternative Electricity and Transportation</t>
  </si>
  <si>
    <t>AEO.2026.ELECTRNP.ECI_SAL_FGHT_SOSO_EGH_NA_NA_TH.A</t>
  </si>
  <si>
    <t>Freight: New Trucks: Sales: Medium: Plug-in Gasoline Hybrid: Alternative Electricity and Transportation</t>
  </si>
  <si>
    <t>AEO.2026.ELECTRNP.ECI_SAL_FGHT_SOSO_EDH_NA_NA_TH.A</t>
  </si>
  <si>
    <t>Freight: New Trucks: Sales: Medium: Plug-in Diesel Hybrid: Alternative Electricity and Transportation</t>
  </si>
  <si>
    <t>AEO.2026.ELECTRNP.ECI_SAL_FGHT_SOSO_ELE_NA_NA_TH.A</t>
  </si>
  <si>
    <t>Freight: New Trucks: Sales: Medium: Electric: Alternative Electricity and Transportation</t>
  </si>
  <si>
    <t>AEO.2026.ELECTRNP.ECI_SAL_FGHT_SOSO_EFFI_NA_NA_TH.A</t>
  </si>
  <si>
    <t>Freight: New Trucks: Sales: Medium: Ethanol-Flex Fuel: Alternative Electricity and Transportation</t>
  </si>
  <si>
    <t>AEO.2026.ELECTRNP.ECI_SAL_FGHT_SOSO_NG_NA_NA_TH.A</t>
  </si>
  <si>
    <t>Freight: New Trucks: Sales: Medium: Natural Gas: Alternative Electricity and Transportation</t>
  </si>
  <si>
    <t>AEO.2026.ELECTRNP.ECI_SAL_FGHT_SOSO_PROP_NA_NA_TH.A</t>
  </si>
  <si>
    <t>Freight: New Trucks: Sales: Medium: Propane: Alternative Electricity and Transportation</t>
  </si>
  <si>
    <t>AEO.2026.ELECTRNP.ECI_SAL_FGHT_SOSO_MGS_NA_NA_TH.A</t>
  </si>
  <si>
    <t>Freight: New Trucks: Sales: Medium: Motor Gasoline: Alternative Electricity and Transportation</t>
  </si>
  <si>
    <t>AEO.2026.ELECTRNP.ECI_SAL_FGHT_SOSO_DSL_NA_NA_TH.A</t>
  </si>
  <si>
    <t>Freight: New Trucks: Sales: Medium: Diesel: Alternative Electricity and Transportation</t>
  </si>
  <si>
    <t>AEO.2026.ELECTRNP.ECI_SAL_FGHT_LITEMED_NA_NA_NA_TH.A</t>
  </si>
  <si>
    <t>Freight: New Trucks: Sales: Light Medium: Alternative Electricity and Transportation</t>
  </si>
  <si>
    <t>AEO.2026.ELECTRNP.ECI_SAL_FGHT_LITEMED_HYDICE_NA_NA_MPGDSEQ.A</t>
  </si>
  <si>
    <t>Freight: New Trucks: Sales: Light Medium: Hydrogen ICE: Alternative Electricity and Transportation</t>
  </si>
  <si>
    <t>AEO.2026.ELECTRNP.ECI_SAL_FGHT_LITEMED_GASHEV_NA_NA_MPGGASEQ.A</t>
  </si>
  <si>
    <t>Freight: New Trucks: Sales: Light Medium: Gasoline Hybrid: Alternative Electricity and Transportation</t>
  </si>
  <si>
    <t>AEO.2026.ELECTRNP.ECI_SAL_FGHT_LITEMED_FEUCELBATDOM_NA_NA_MPGDSEQ.A</t>
  </si>
  <si>
    <t>Freight: New Trucks: Sales: Light Medium: Fuel Cell Battery Dominant: Alternative Electricity and Transportation</t>
  </si>
  <si>
    <t>AEO.2026.ELECTRNP.ECI_SAL_FGHT_LITEMED_FUC_NA_NA_TH.A</t>
  </si>
  <si>
    <t>Freight: New Trucks: Sales: Light Medium: Fuel Cell: Alternative Electricity and Transportation</t>
  </si>
  <si>
    <t>AEO.2026.ELECTRNP.ECI_SAL_FGHT_LITEMED_EGH_NA_NA_TH.A</t>
  </si>
  <si>
    <t>Freight: New Trucks: Sales: Light Medium: Plug-in Gasoline Hybrid: Alternative Electricity and Transportation</t>
  </si>
  <si>
    <t>AEO.2026.ELECTRNP.ECI_SAL_FGHT_LITEMED_EDH_NA_NA_TH.A</t>
  </si>
  <si>
    <t>Freight: New Trucks: Sales: Light Medium: Plug-in Diesel Hybrid: Alternative Electricity and Transportation</t>
  </si>
  <si>
    <t>AEO.2026.ELECTRNP.ECI_SAL_FGHT_LITEMED_ELE_NA_NA_TH.A</t>
  </si>
  <si>
    <t>Freight: New Trucks: Sales: Light Medium: Electric: Alternative Electricity and Transportation</t>
  </si>
  <si>
    <t>AEO.2026.ELECTRNP.ECI_SAL_FGHT_LITEMED_EFFI_NA_NA_TH.A</t>
  </si>
  <si>
    <t>Freight: New Trucks: Sales: Light Medium: Ethanol-Flex Fuel: Alternative Electricity and Transportation</t>
  </si>
  <si>
    <t>AEO.2026.ELECTRNP.ECI_SAL_FGHT_LITEMED_NG_NA_NA_TH.A</t>
  </si>
  <si>
    <t>Freight: New Trucks: Sales: Light Medium: Natural Gas: Alternative Electricity and Transportation</t>
  </si>
  <si>
    <t>AEO.2026.ELECTRNP.ECI_SAL_FGHT_LITEMED_PROP_NA_NA_TH.A</t>
  </si>
  <si>
    <t>Freight: New Trucks: Sales: Light Medium: Propane: Alternative Electricity and Transportation</t>
  </si>
  <si>
    <t>AEO.2026.ELECTRNP.ECI_SAL_FGHT_LITEMED_MGS_NA_NA_TH.A</t>
  </si>
  <si>
    <t>Freight: New Trucks: Sales: Light Medium: Motor Gasoline: Alternative Electricity and Transportation</t>
  </si>
  <si>
    <t>AEO.2026.ELECTRNP.ECI_SAL_FGHT_LITEMED_DSL_NA_NA_TH.A</t>
  </si>
  <si>
    <t>Freight: New Trucks: Sales: Light Medium: Diesel: Alternative Electricity and Transportation</t>
  </si>
  <si>
    <t>AEO.2026.ELECTRNP.EFI_NA_FGHT_NEW_NA_NA_NA_NA.A</t>
  </si>
  <si>
    <t>Freight: New Trucks: Fuel Efficiency: Alternative Electricity and Transportation</t>
  </si>
  <si>
    <t>AEO.2026.ELECTRNP.EFI_NA_FGHT_RADN_NA_NA_NA_NA.A</t>
  </si>
  <si>
    <t>Freight: New Trucks: Fuel Efficiency: Heavy: Average: Alternative Electricity and Transportation</t>
  </si>
  <si>
    <t>AEO.2026.ELECTRNP.EFI_NA_FGHT_RADN_HYDICE_NA_NA_MPGDSEQ.A</t>
  </si>
  <si>
    <t>Freight: New Trucks: Fuel Efficiency: Heavy: Hydrogen ICE: Alternative Electricity and Transportation</t>
  </si>
  <si>
    <t>AEO.2026.ELECTRNP.EFI_NA_FGHT_RADN_GASHEV_NA_NA_MPGGASEQ.A</t>
  </si>
  <si>
    <t>Freight: New Trucks: Fuel Efficiency: Heavy: Gasoline Hybrid: Alternative Electricity and Transportation</t>
  </si>
  <si>
    <t>AEO.2026.ELECTRNP.EFI_NA_FGHT_RADN_FEUCELBATDOM_NA_NA_MPGDSEQ.A</t>
  </si>
  <si>
    <t>Freight: New Trucks: Fuel Efficiency: Heavy: Fuel Cell Battery Dominant: Alternative Electricity and Transportation</t>
  </si>
  <si>
    <t>AEO.2026.ELECTRNP.EFI_NA_FGHT_RADN_FUC_NA_NA_MPGDSEQ.A</t>
  </si>
  <si>
    <t>Freight: New Trucks: Fuel Efficiency: Heavy: Fuel Cell: Alternative Electricity and Transportation</t>
  </si>
  <si>
    <t>AEO.2026.ELECTRNP.EFI_NA_FGHT_RADN_EGH_NA_NA_MPGGASEQ.A</t>
  </si>
  <si>
    <t>Freight: New Trucks: Fuel Efficiency: Heavy: Plug-in Gasoline Hybrid: Alternative Electricity and Transportation</t>
  </si>
  <si>
    <t>AEO.2026.ELECTRNP.EFI_NA_FGHT_RADN_EDH_NA_NA_MPGDSEQ.A</t>
  </si>
  <si>
    <t>Freight: New Trucks: Fuel Efficiency: Heavy: Plug-in Diesel Hybrid: Alternative Electricity and Transportation</t>
  </si>
  <si>
    <t>AEO.2026.ELECTRNP.EFI_NA_FGHT_RADN_ELE_NA_NA_MPGDSEQ.A</t>
  </si>
  <si>
    <t>Freight: New Trucks: Fuel Efficiency: Heavy: Electric: Alternative Electricity and Transportation</t>
  </si>
  <si>
    <t>AEO.2026.ELECTRNP.EFI_NA_FGHT_RADN_EFFI_NA_NA_MPGGASEQ.A</t>
  </si>
  <si>
    <t>Freight: New Trucks: Fuel Efficiency: Heavy: Ethanol-Flex Fuel: Alternative Electricity and Transportation</t>
  </si>
  <si>
    <t>AEO.2026.ELECTRNP.EFI_NA_FGHT_RADN_NG_NA_NA_MPGDSEQ.A</t>
  </si>
  <si>
    <t>Freight: New Trucks: Fuel Efficiency: Heavy: Natural Gas: Alternative Electricity and Transportation</t>
  </si>
  <si>
    <t>AEO.2026.ELECTRNP.EFI_NA_FGHT_RADN_PROP_NA_NA_MPGGASEQ.A</t>
  </si>
  <si>
    <t>Freight: New Trucks: Fuel Efficiency: Heavy: Propane: Alternative Electricity and Transportation</t>
  </si>
  <si>
    <t>AEO.2026.ELECTRNP.EFI_NA_FGHT_RADN_MGS_NA_NA_MPGGASEQ.A</t>
  </si>
  <si>
    <t>Freight: New Trucks: Fuel Efficiency: Heavy: Motor Gasoline: Alternative Electricity and Transportation</t>
  </si>
  <si>
    <t>AEO.2026.ELECTRNP.EFI_NA_FGHT_RADN_DSL_NA_NA_MPGDSEQ.A</t>
  </si>
  <si>
    <t>Freight: New Trucks: Fuel Efficiency: Heavy: Diesel: Alternative Electricity and Transportation</t>
  </si>
  <si>
    <t>AEO.2026.ELECTRNP.EFI_NA_FGHT_SOSON_NA_NA_NA_NA.A</t>
  </si>
  <si>
    <t>Freight: New Trucks: Fuel Efficiency: Medium: Average: Alternative Electricity and Transportation</t>
  </si>
  <si>
    <t>AEO.2026.ELECTRNP.EFI_NA_FGHT_SOSON_HYDICE_NA_NA_MPGDSEQ.A</t>
  </si>
  <si>
    <t>Freight: New Trucks: Fuel Efficiency: Medium: Hydrogen ICE: Alternative Electricity and Transportation</t>
  </si>
  <si>
    <t>AEO.2026.ELECTRNP.EFI_NA_FGHT_SOSON_GASHEV_NA_NA_MPGGASEQ.A</t>
  </si>
  <si>
    <t>Freight: New Trucks: Fuel Efficiency: Medium: Gasoline Hybrid: Alternative Electricity and Transportation</t>
  </si>
  <si>
    <t>AEO.2026.ELECTRNP.EFI_NA_FGHT_SOSON_FEUCELBATDOM_NA_NA_MPGDSEQ.A</t>
  </si>
  <si>
    <t>Freight: New Trucks: Fuel Efficiency: Medium: Fuel Cell Battery Dominant: Alternative Electricity and Transportation</t>
  </si>
  <si>
    <t>AEO.2026.ELECTRNP.EFI_NA_FGHT_SOSON_FUC_NA_NA_MPGGASEQ.A</t>
  </si>
  <si>
    <t>Freight: New Trucks: Fuel Efficiency: Medium: Fuel Cell: Alternative Electricity and Transportation</t>
  </si>
  <si>
    <t>AEO.2026.ELECTRNP.EFI_NA_FGHT_SOSON_EGH_NA_NA_MPGGASEQ.A</t>
  </si>
  <si>
    <t>Freight: New Trucks: Fuel Efficiency: Medium: Plug-in Gasoline Hybrid: Alternative Electricity and Transportation</t>
  </si>
  <si>
    <t>AEO.2026.ELECTRNP.EFI_NA_FGHT_SOSON_EDH_NA_NA_MPGGASEQ.A</t>
  </si>
  <si>
    <t>Freight: New Trucks: Fuel Efficiency: Medium: Plug-in Diesel Hybrid: Alternative Electricity and Transportation</t>
  </si>
  <si>
    <t>AEO.2026.ELECTRNP.EFI_NA_FGHT_SOSON_ELE_NA_NA_MPGGASEQ.A</t>
  </si>
  <si>
    <t>Freight: New Trucks: Fuel Efficiency: Medium: Electric: Alternative Electricity and Transportation</t>
  </si>
  <si>
    <t>AEO.2026.ELECTRNP.EFI_NA_FGHT_SOSON_EFFI_NA_NA_MPG.A</t>
  </si>
  <si>
    <t>Freight: New Trucks: Fuel Efficiency: Medium: Ethanol-Flex Fuel: Alternative Electricity and Transportation</t>
  </si>
  <si>
    <t>AEO.2026.ELECTRNP.EFI_NA_FGHT_SOSON_NG_NA_NA_MPGGASEQ.A</t>
  </si>
  <si>
    <t>Freight: New Trucks: Fuel Efficiency: Medium: Natural Gas: Alternative Electricity and Transportation</t>
  </si>
  <si>
    <t>AEO.2026.ELECTRNP.EFI_NA_FGHT_SOSON_PROP_NA_NA_MPGGASEQ.A</t>
  </si>
  <si>
    <t>Freight: New Trucks: Fuel Efficiency: Medium: Propane: Alternative Electricity and Transportation</t>
  </si>
  <si>
    <t>AEO.2026.ELECTRNP.EFI_NA_FGHT_SOSON_MGS_NA_NA_MPGGASEQ.A</t>
  </si>
  <si>
    <t>Freight: New Trucks: Fuel Efficiency: Medium: Motor Gasoline: Alternative Electricity and Transportation</t>
  </si>
  <si>
    <t>AEO.2026.ELECTRNP.EFI_NA_FGHT_SOSON_DSL_NA_NA_MPGDSEQ.A</t>
  </si>
  <si>
    <t>Freight: New Trucks: Fuel Efficiency: Medium: Diesel: Alternative Electricity and Transportation</t>
  </si>
  <si>
    <t>AEO.2026.ELECTRNP.EFI_NA_FGHT_LITEMEDN_NA_NA_NA_NA.A</t>
  </si>
  <si>
    <t>Freight: New Trucks: Fuel Efficiency: Light Medium: Average: Alternative Electricity and Transportation</t>
  </si>
  <si>
    <t>AEO.2026.ELECTRNP.EFI_NA_FGHT_LITEMEDN_HYDICE_NA_NA_MPGDSEQ.A</t>
  </si>
  <si>
    <t>Freight: New Trucks: Fuel Efficiency: Light Medium: Hydrogen ICE: Alternative Electricity and Transportation</t>
  </si>
  <si>
    <t>AEO.2026.ELECTRNP.EFI_NA_FGHT_LITEMEDN_GASHEV_NA_NA_MPGGASEQ.A</t>
  </si>
  <si>
    <t>Freight: New Trucks: Fuel Efficiency: Light Medium: Gasoline Hybrid: Alternative Electricity and Transportation</t>
  </si>
  <si>
    <t>AEO.2026.ELECTRNP.EFI_NA_FGHT_LITEMEDN_FEUCELBATDOM_NA_NA_MPGDSEQ.A</t>
  </si>
  <si>
    <t>Freight: New Trucks: Fuel Efficiency: Light Medium: Fuel Cell Battery Dominant: Alternative Electricity and Transportation</t>
  </si>
  <si>
    <t>AEO.2026.ELECTRNP.EFI_NA_FGHT_LITEMEDN_FUC_NA_NA_MPGDSEQ.A</t>
  </si>
  <si>
    <t>Freight: New Trucks: Fuel Efficiency: Light Medium: Fuel Cell: Alternative Electricity and Transportation</t>
  </si>
  <si>
    <t>AEO.2026.ELECTRNP.EFI_NA_FGHT_LITEMEDN_EGH_NA_NA_MPGGASEQ.A</t>
  </si>
  <si>
    <t>Freight: New Trucks: Fuel Efficiency: Light Medium: Plug-in Gasoline Hybrid: Alternative Electricity and Transportation</t>
  </si>
  <si>
    <t>AEO.2026.ELECTRNP.EFI_NA_FGHT_LITEMEDN_EDH_NA_NA_MPGDSEQ.A</t>
  </si>
  <si>
    <t>Freight: New Trucks: Fuel Efficiency: Light Medium: Plug-in Diesel Hybrid: Alternative Electricity and Transportation</t>
  </si>
  <si>
    <t>AEO.2026.ELECTRNP.EFI_NA_FGHT_LITEMEDN_ELE_NA_NA_MPGDSEQ.A</t>
  </si>
  <si>
    <t>Freight: New Trucks: Fuel Efficiency: Light Medium: Electric: Alternative Electricity and Transportation</t>
  </si>
  <si>
    <t>AEO.2026.ELECTRNP.EFI_NA_FGHT_LITEMEDN_EFFI_NA_NA_MPGGASEQ.A</t>
  </si>
  <si>
    <t>Freight: New Trucks: Fuel Efficiency: Light Medium: Ethanol-Flex Fuel: Alternative Electricity and Transportation</t>
  </si>
  <si>
    <t>AEO.2026.ELECTRNP.EFI_NA_FGHT_LITEMEDN_NG_NA_NA_MPGGASEQ.A</t>
  </si>
  <si>
    <t>Freight: New Trucks: Fuel Efficiency: Light Medium: Natural Gas: Alternative Electricity and Transportation</t>
  </si>
  <si>
    <t>AEO.2026.ELECTRNP.EFI_NA_FGHT_LITEMEDN_PROP_NA_NA_MPGGASEQ.A</t>
  </si>
  <si>
    <t>Freight: New Trucks: Fuel Efficiency: Light Medium: Propane: Alternative Electricity and Transportation</t>
  </si>
  <si>
    <t>AEO.2026.ELECTRNP.EFI_NA_FGHT_LITEMEDN_MGS_NA_NA_MPGGASEQ.A</t>
  </si>
  <si>
    <t>Freight: New Trucks: Fuel Efficiency: Light Medium: Motor Gasoline: Alternative Electricity and Transportation</t>
  </si>
  <si>
    <t>AEO.2026.ELECTRNP.EFI_NA_FGHT_LITEMEDN_DSL_NA_NA_MPGDSEQ.A</t>
  </si>
  <si>
    <t>Freight: New Trucks: Fuel Efficiency: Light Medium: Diesel: Alternative Electricity and Transportation</t>
  </si>
  <si>
    <t>AEO.2026.ELECTRNP.ECI_STK_FGHT_STK_NA_NA_NA_MILL.A</t>
  </si>
  <si>
    <t>Freight: Truck Stock: Alternative Electricity and Transportation</t>
  </si>
  <si>
    <t>AEO.2026.ELECTRNP.ECI_STK_FGHT_RADS_NA_NA_NA_MILL.A</t>
  </si>
  <si>
    <t>Freight: Truck Stock: Heavy: Alternative Electricity and Transportation</t>
  </si>
  <si>
    <t>AEO.2026.ELECTRNP.ECI_STK_FGHT_RADS_HYDICE_NA_NA_MILL.A</t>
  </si>
  <si>
    <t>Freight: Truck Stock: Heavy: Hydrogen ICE: Alternative Electricity and Transportation</t>
  </si>
  <si>
    <t>AEO.2026.ELECTRNP.ECI_STK_FGHT_RADS_GASHEV_NA_NA_MILL.A</t>
  </si>
  <si>
    <t>Freight: Truck Stock: Heavy: Gasoline Hybrid: Alternative Electricity and Transportation</t>
  </si>
  <si>
    <t>AEO.2026.ELECTRNP.ECI_STK_FGHT_RADS_FEUCELBATDOM_NA_NA_MILL.A</t>
  </si>
  <si>
    <t>Freight: Truck Stock: Heavy: Fuel Cell Battery Dominant: Alternative Electricity and Transportation</t>
  </si>
  <si>
    <t>AEO.2026.ELECTRNP.ECI_STK_FGHT_RADS_FUC_NA_NA_MILL.A</t>
  </si>
  <si>
    <t>Freight: Truck Stock: Heavy: Fuel Cell: Alternative Electricity and Transportation</t>
  </si>
  <si>
    <t>AEO.2026.ELECTRNP.ECI_STK_FGHT_RADS_EGH_NA_NA_MILL.A</t>
  </si>
  <si>
    <t>Freight: Truck Stock: Heavy: Plug-in Gasoline Hybrid: Alternative Electricity and Transportation</t>
  </si>
  <si>
    <t>AEO.2026.ELECTRNP.ECI_STK_FGHT_RADS_EDH_NA_NA_MILL.A</t>
  </si>
  <si>
    <t>Freight: Truck Stock: Heavy: Plug-in Diesel Hybrid: Alternative Electricity and Transportation</t>
  </si>
  <si>
    <t>AEO.2026.ELECTRNP.ECI_STK_FGHT_RADS_ELE_NA_NA_MILL.A</t>
  </si>
  <si>
    <t>Freight: Truck Stock: Heavy: Electric: Alternative Electricity and Transportation</t>
  </si>
  <si>
    <t>AEO.2026.ELECTRNP.ECI_STK_FGHT_RADS_EFFI_NA_NA_MILL.A</t>
  </si>
  <si>
    <t>Freight: Truck Stock: Heavy: Ethanol-Flex Fuel: Alternative Electricity and Transportation</t>
  </si>
  <si>
    <t>AEO.2026.ELECTRNP.ECI_STK_FGHT_RADS_NG_NA_NA_MILL.A</t>
  </si>
  <si>
    <t>Freight: Truck Stock: Heavy: Natural Gas: Alternative Electricity and Transportation</t>
  </si>
  <si>
    <t>AEO.2026.ELECTRNP.ECI_STK_FGHT_RADS_PROP_NA_NA_MILL.A</t>
  </si>
  <si>
    <t>Freight: Truck Stock: Heavy: Propane: Alternative Electricity and Transportation</t>
  </si>
  <si>
    <t>AEO.2026.ELECTRNP.ECI_STK_FGHT_RADS_MGS_NA_NA_MILL.A</t>
  </si>
  <si>
    <t>Freight: Truck Stock: Heavy: Motor Gasoline: Alternative Electricity and Transportation</t>
  </si>
  <si>
    <t>AEO.2026.ELECTRNP.ECI_STK_FGHT_RADS_DSL_NA_NA_MILL.A</t>
  </si>
  <si>
    <t>Freight: Truck Stock: Heavy: Diesel: Alternative Electricity and Transportation</t>
  </si>
  <si>
    <t>AEO.2026.ELECTRNP.ECI_STK_FGHT_SOSOS_NA_NA_NA_MILL.A</t>
  </si>
  <si>
    <t>Freight: Truck Stock: Medium: Alternative Electricity and Transportation</t>
  </si>
  <si>
    <t>AEO.2026.ELECTRNP.ECI_STK_FGHT_SOSOS_HYDICE_NA_NA_MILL.A</t>
  </si>
  <si>
    <t>Freight: Truck Stock: Medium: Hydrogen ICE: Alternative Electricity and Transportation</t>
  </si>
  <si>
    <t>AEO.2026.ELECTRNP.ECI_STK_FGHT_SOSOS_GASHEV_NA_NA_MILL.A</t>
  </si>
  <si>
    <t>Freight: Truck Stock: Medium: Gasoline Hybrid: Alternative Electricity and Transportation</t>
  </si>
  <si>
    <t>AEO.2026.ELECTRNP.ECI_STK_FGHT_SOSOS_FEUCELBATDOM_NA_NA_MILL.A</t>
  </si>
  <si>
    <t>Freight: Truck Stock: Medium: Fuel Cell Battery Dominant: Alternative Electricity and Transportation</t>
  </si>
  <si>
    <t>AEO.2026.ELECTRNP.ECI_STK_FGHT_SOSOS_FUC_NA_NA_MILL.A</t>
  </si>
  <si>
    <t>Freight: Truck Stock: Medium: Fuel Cell: Alternative Electricity and Transportation</t>
  </si>
  <si>
    <t>AEO.2026.ELECTRNP.ECI_STK_FGHT_SOSOS_EGH_NA_NA_MILL.A</t>
  </si>
  <si>
    <t>Freight: Truck Stock: Medium: Plug-in Gasoline Hybrid: Alternative Electricity and Transportation</t>
  </si>
  <si>
    <t>AEO.2026.ELECTRNP.ECI_STK_FGHT_SOSOS_EDH_NA_NA_MILL.A</t>
  </si>
  <si>
    <t>Freight: Truck Stock: Medium: Plug-in Diesel Hybrid: Alternative Electricity and Transportation</t>
  </si>
  <si>
    <t>AEO.2026.ELECTRNP.ECI_STK_FGHT_SOSOS_ELE_NA_NA_MILL.A</t>
  </si>
  <si>
    <t>Freight: Truck Stock: Medium: Electric: Alternative Electricity and Transportation</t>
  </si>
  <si>
    <t>AEO.2026.ELECTRNP.ECI_STK_FGHT_SOSOS_EFFI_NA_NA_MILL.A</t>
  </si>
  <si>
    <t>Freight: Truck Stock: Medium: Ethanol-Flex Fuel: Alternative Electricity and Transportation</t>
  </si>
  <si>
    <t>AEO.2026.ELECTRNP.ECI_STK_FGHT_SOSOS_NG_NA_NA_MILL.A</t>
  </si>
  <si>
    <t>Freight: Truck Stock: Medium: Natural Gas: Alternative Electricity and Transportation</t>
  </si>
  <si>
    <t>AEO.2026.ELECTRNP.ECI_STK_FGHT_SOSOS_PROP_NA_NA_MILL.A</t>
  </si>
  <si>
    <t>Freight: Truck Stock: Medium: Propane: Alternative Electricity and Transportation</t>
  </si>
  <si>
    <t>AEO.2026.ELECTRNP.ECI_STK_FGHT_SOSOS_MGS_NA_NA_MILL.A</t>
  </si>
  <si>
    <t>Freight: Truck Stock: Medium: Motor Gasoline: Alternative Electricity and Transportation</t>
  </si>
  <si>
    <t>AEO.2026.ELECTRNP.ECI_STK_FGHT_SOSOS_DSL_NA_NA_MILL.A</t>
  </si>
  <si>
    <t>Freight: Truck Stock: Medium: Diesel: Alternative Electricity and Transportation</t>
  </si>
  <si>
    <t>AEO.2026.ELECTRNP.ECI_STK_FGHT_LITEMEDS_NA_NA_NA_MILL.A</t>
  </si>
  <si>
    <t>Freight: Truck Stock: Light Medium: Alternative Electricity and Transportation</t>
  </si>
  <si>
    <t>AEO.2026.ELECTRNP.ECI_STK_FGHT_LITEMEDS_HYDICE_NA_NA_MILL.A</t>
  </si>
  <si>
    <t>Freight: Truck Stock: Light Medium: Hydrogen ICE: Alternative Electricity and Transportation</t>
  </si>
  <si>
    <t>AEO.2026.ELECTRNP.ECI_STK_FGHT_LITEMEDS_GASHEV_NA_NA_MILL.A</t>
  </si>
  <si>
    <t>Freight: Truck Stock: Light Medium: Gasoline Hybrid: Alternative Electricity and Transportation</t>
  </si>
  <si>
    <t>AEO.2026.ELECTRNP.ECI_STK_FGHT_LITEMEDS_FEUCELBATDOM_NA_NA_MILL.A</t>
  </si>
  <si>
    <t>Freight: Truck Stock: Light Medium: Fuel Cell Battery Dominant: Alternative Electricity and Transportation</t>
  </si>
  <si>
    <t>AEO.2026.ELECTRNP.ECI_STK_FGHT_LITEMEDS_FUC_NA_NA_MILL.A</t>
  </si>
  <si>
    <t>Freight: Truck Stock: Light Medium: Fuel Cell: Alternative Electricity and Transportation</t>
  </si>
  <si>
    <t>AEO.2026.ELECTRNP.ECI_STK_FGHT_LITEMEDS_EGH_NA_NA_MILL.A</t>
  </si>
  <si>
    <t>Freight: Truck Stock: Light Medium: Plug-in Gasoline Hybrid: Alternative Electricity and Transportation</t>
  </si>
  <si>
    <t>AEO.2026.ELECTRNP.ECI_STK_FGHT_LITEMEDS_EDH_NA_NA_MILL.A</t>
  </si>
  <si>
    <t>Freight: Truck Stock: Light Medium: Plug-in Diesel Hybrid: Alternative Electricity and Transportation</t>
  </si>
  <si>
    <t>AEO.2026.ELECTRNP.ECI_STK_FGHT_LITEMEDS_ELE_NA_NA_MILL.A</t>
  </si>
  <si>
    <t>Freight: Truck Stock: Light Medium: Electric: Alternative Electricity and Transportation</t>
  </si>
  <si>
    <t>AEO.2026.ELECTRNP.ECI_STK_FGHT_LITEMEDS_EFFI_NA_NA_MILL.A</t>
  </si>
  <si>
    <t>Freight: Truck Stock: Light Medium: Ethanol-Flex Fuel: Alternative Electricity and Transportation</t>
  </si>
  <si>
    <t>AEO.2026.ELECTRNP.ECI_STK_FGHT_LITEMEDS_NG_NA_NA_MILL.A</t>
  </si>
  <si>
    <t>Freight: Truck Stock: Light Medium: Natural Gas: Alternative Electricity and Transportation</t>
  </si>
  <si>
    <t>AEO.2026.ELECTRNP.ECI_STK_FGHT_LITEMEDS_PROP_NA_NA_MILL.A</t>
  </si>
  <si>
    <t>Freight: Truck Stock: Light Medium: Propane: Alternative Electricity and Transportation</t>
  </si>
  <si>
    <t>AEO.2026.ELECTRNP.ECI_STK_FGHT_LITEMEDS_MGS_NA_NA_MILL.A</t>
  </si>
  <si>
    <t>Freight: Truck Stock: Light Medium: Motor Gasoline: Alternative Electricity and Transportation</t>
  </si>
  <si>
    <t>AEO.2026.ELECTRNP.ECI_STK_FGHT_LITEMEDS_DSL_NA_NA_MILL.A</t>
  </si>
  <si>
    <t>Freight: Truck Stock: Light Medium: Diesel: Alternative Electricity and Transportation</t>
  </si>
  <si>
    <t>AEO.2026.ELECTRNP.EFI_NA_FGHT_STK_NA_NA_NA_NA.A</t>
  </si>
  <si>
    <t>Freight: Truck Stock: Fuel Efficiency: Alternative Electricity and Transportation</t>
  </si>
  <si>
    <t>AEO.2026.ELECTRNP.EFI_NA_FGHT_RADS_NA_NA_NA_NA.A</t>
  </si>
  <si>
    <t>Freight: Truck Stock: Fuel Efficiency: Heavy: Average: Alternative Electricity and Transportation</t>
  </si>
  <si>
    <t>AEO.2026.ELECTRNP.EFI_NA_FGHT_RADS_HYDICE_NA_NA_MPGDSEQ.A</t>
  </si>
  <si>
    <t>Freight: Truck Stock: Fuel Efficiency: Heavy: Hydrogen ICE: Alternative Electricity and Transportation</t>
  </si>
  <si>
    <t>AEO.2026.ELECTRNP.EFI_NA_FGHT_RADS_GASHEV_NA_NA_MPGGASEQ.A</t>
  </si>
  <si>
    <t>Freight: Truck Stock: Fuel Efficiency: Heavy: Gasoline Hybrid: Alternative Electricity and Transportation</t>
  </si>
  <si>
    <t>AEO.2026.ELECTRNP.EFI_NA_FGHT_RADS_FEUCELBATDOM_NA_NA_MPGDSEQ.A</t>
  </si>
  <si>
    <t>Freight: Truck Stock: Fuel Efficiency: Heavy: Fuel Cell Battery Dominant: Alternative Electricity and Transportation</t>
  </si>
  <si>
    <t>AEO.2026.ELECTRNP.EFI_NA_FGHT_RADS_FUC_NA_NA_MPGDSEQ.A</t>
  </si>
  <si>
    <t>Freight: Truck Stock: Fuel Efficiency: Heavy: Fuel Cell: Alternative Electricity and Transportation</t>
  </si>
  <si>
    <t>AEO.2026.ELECTRNP.EFI_NA_FGHT_RADS_EGH_NA_NA_MPGGASEQ.A</t>
  </si>
  <si>
    <t>Freight: Truck Stock: Fuel Efficiency: Heavy: Plug-in Gasoline Hybrid: Alternative Electricity and Transportation</t>
  </si>
  <si>
    <t>AEO.2026.ELECTRNP.EFI_NA_FGHT_RADS_EDH_NA_NA_MPGDSEQ.A</t>
  </si>
  <si>
    <t>Freight: Truck Stock: Fuel Efficiency: Heavy: Plug-in Diesel Hybrid: Alternative Electricity and Transportation</t>
  </si>
  <si>
    <t>AEO.2026.ELECTRNP.EFI_NA_FGHT_RADS_ELE_NA_NA_MPGDSEQ.A</t>
  </si>
  <si>
    <t>Freight: Truck Stock: Fuel Efficiency: Heavy: Electric: Alternative Electricity and Transportation</t>
  </si>
  <si>
    <t>AEO.2026.ELECTRNP.EFI_NA_FGHT_RADS_EFFI_NA_NA_MPGGASEQ.A</t>
  </si>
  <si>
    <t>Freight: Truck Stock: Fuel Efficiency: Heavy: Ethanol-Flex Fuel: Alternative Electricity and Transportation</t>
  </si>
  <si>
    <t>AEO.2026.ELECTRNP.EFI_NA_FGHT_RADS_NG_NA_NA_MPGDSEQ.A</t>
  </si>
  <si>
    <t>Freight: Truck Stock: Fuel Efficiency: Heavy: Natural Gas: Alternative Electricity and Transportation</t>
  </si>
  <si>
    <t>AEO.2026.ELECTRNP.EFI_NA_FGHT_RADS_PROP_NA_NA_MPGGASEQ.A</t>
  </si>
  <si>
    <t>Freight: Truck Stock: Fuel Efficiency: Heavy: Propane: Alternative Electricity and Transportation</t>
  </si>
  <si>
    <t>AEO.2026.ELECTRNP.EFI_NA_FGHT_RADS_MGS_NA_NA_MPGGASEQ.A</t>
  </si>
  <si>
    <t>Freight: Truck Stock: Fuel Efficiency: Heavy: Motor Gasoline: Alternative Electricity and Transportation</t>
  </si>
  <si>
    <t>AEO.2026.ELECTRNP.EFI_NA_FGHT_RADS_DSL_NA_NA_MPGDSEQ.A</t>
  </si>
  <si>
    <t>Freight: Truck Stock: Fuel Efficiency: Heavy: Diesel: Alternative Electricity and Transportation</t>
  </si>
  <si>
    <t>AEO.2026.ELECTRNP.EFI_NA_FGHT_SOSOS_NA_NA_NA_NA.A</t>
  </si>
  <si>
    <t>Freight: Truck Stock: Fuel Efficiency: Medium: Average: Alternative Electricity and Transportation</t>
  </si>
  <si>
    <t>AEO.2026.ELECTRNP.EFI_NA_FGHT_SOSOS_HYDICE_NA_NA_MPGDSEQ.A</t>
  </si>
  <si>
    <t>Freight: Truck Stock: Fuel Efficiency: Medium: Hydrogen ICE: Alternative Electricity and Transportation</t>
  </si>
  <si>
    <t>AEO.2026.ELECTRNP.EFI_NA_FGHT_SOSOS_GASHEV_NA_NA_MPGGASEQ.A</t>
  </si>
  <si>
    <t>Freight: Truck Stock: Fuel Efficiency: Medium: Gasoline Hybrid: Alternative Electricity and Transportation</t>
  </si>
  <si>
    <t>AEO.2026.ELECTRNP.EFI_NA_FGHT_SOSOS_FEUCELBATDOM_NA_NA_MPGDSEQ.A</t>
  </si>
  <si>
    <t>Freight: Truck Stock: Fuel Efficiency: Medium: Fuel Cell Battery Dominant: Alternative Electricity and Transportation</t>
  </si>
  <si>
    <t>AEO.2026.ELECTRNP.EFI_NA_FGHT_SOSOS_FUC_NA_NA_MPGGASEQ.A</t>
  </si>
  <si>
    <t>Freight: Truck Stock: Fuel Efficiency: Medium: Fuel Cell: Alternative Electricity and Transportation</t>
  </si>
  <si>
    <t>AEO.2026.ELECTRNP.EFI_NA_FGHT_SOSOS_EGH_NA_NA_MPGGASEQ.A</t>
  </si>
  <si>
    <t>Freight: Truck Stock: Fuel Efficiency: Medium: Plug-in Gasoline Hybrid: Alternative Electricity and Transportation</t>
  </si>
  <si>
    <t>AEO.2026.ELECTRNP.EFI_NA_FGHT_SOSOS_EDH_NA_NA_MPGGASEQ.A</t>
  </si>
  <si>
    <t>Freight: Truck Stock: Fuel Efficiency: Medium: Plug-in Diesel Hybrid: Alternative Electricity and Transportation</t>
  </si>
  <si>
    <t>AEO.2026.ELECTRNP.EFI_NA_FGHT_SOSOS_ELE_NA_NA_MPGGASEQ.A</t>
  </si>
  <si>
    <t>Freight: Truck Stock: Fuel Efficiency: Medium: Electric: Alternative Electricity and Transportation</t>
  </si>
  <si>
    <t>AEO.2026.ELECTRNP.EFI_NA_FGHT_SOSOS_EFFI_NA_NA_MPG.A</t>
  </si>
  <si>
    <t>Freight: Truck Stock: Fuel Efficiency: Medium: Ethanol-Flex Fuel: Alternative Electricity and Transportation</t>
  </si>
  <si>
    <t>AEO.2026.ELECTRNP.EFI_NA_FGHT_SOSOS_NG_NA_NA_MPGGASEQ.A</t>
  </si>
  <si>
    <t>Freight: Truck Stock: Fuel Efficiency: Medium: Natural Gas: Alternative Electricity and Transportation</t>
  </si>
  <si>
    <t>AEO.2026.ELECTRNP.EFI_NA_FGHT_SOSOS_PROP_NA_NA_MPGGASEQ.A</t>
  </si>
  <si>
    <t>Freight: Truck Stock: Fuel Efficiency: Medium: Propane: Alternative Electricity and Transportation</t>
  </si>
  <si>
    <t>AEO.2026.ELECTRNP.EFI_NA_FGHT_SOSOS_MGS_NA_NA_MPGGASEQ.A</t>
  </si>
  <si>
    <t>Freight: Truck Stock: Fuel Efficiency: Medium: Motor Gasoline: Alternative Electricity and Transportation</t>
  </si>
  <si>
    <t>AEO.2026.ELECTRNP.EFI_NA_FGHT_SOSOS_DSL_NA_NA_MPGDSEQ.A</t>
  </si>
  <si>
    <t>Freight: Truck Stock: Fuel Efficiency: Medium: Diesel: Alternative Electricity and Transportation</t>
  </si>
  <si>
    <t>AEO.2026.ELECTRNP.EFI_NA_FGHT_LITEMEDS_NA_NA_NA_NA.A</t>
  </si>
  <si>
    <t>Freight: Truck Stock: Fuel Efficiency: Light Medium: Average: Alternative Electricity and Transportation</t>
  </si>
  <si>
    <t>AEO.2026.ELECTRNP.EFI_NA_FGHT_LITEMEDS_HYDICE_NA_NA_MPGDSEQ.A</t>
  </si>
  <si>
    <t>Freight: Truck Stock: Fuel Efficiency: Light Medium: Hydrogen ICE: Alternative Electricity and Transportation</t>
  </si>
  <si>
    <t>AEO.2026.ELECTRNP.EFI_NA_FGHT_LITEMEDS_GASHEV_NA_NA_MPGGASEQ.A</t>
  </si>
  <si>
    <t>Freight: Truck Stock: Fuel Efficiency: Light Medium: Gasoline Hybrid: Alternative Electricity and Transportation</t>
  </si>
  <si>
    <t>AEO.2026.ELECTRNP.EFI_NA_FGHT_LITEMEDS_FEUCELBATDOM_NA_NA_MPGDSEQ.A</t>
  </si>
  <si>
    <t>Freight: Truck Stock: Fuel Efficiency: Light Medium: Fuel Cell Battery Dominant: Alternative Electricity and Transportation</t>
  </si>
  <si>
    <t>AEO.2026.ELECTRNP.EFI_NA_FGHT_LITEMEDS_FUC_NA_NA_MPGDSEQ.A</t>
  </si>
  <si>
    <t>Freight: Truck Stock: Fuel Efficiency: Light Medium: Fuel Cell: Alternative Electricity and Transportation</t>
  </si>
  <si>
    <t>AEO.2026.ELECTRNP.EFI_NA_FGHT_LITEMEDS_EGH_NA_NA_MPGGASEQ.A</t>
  </si>
  <si>
    <t>Freight: Truck Stock: Fuel Efficiency: Light Medium: Plug-in Gasoline Hybrid: Alternative Electricity and Transportation</t>
  </si>
  <si>
    <t>AEO.2026.ELECTRNP.EFI_NA_FGHT_LITEMEDS_EDH_NA_NA_MPGDSEQ.A</t>
  </si>
  <si>
    <t>Freight: Truck Stock: Fuel Efficiency: Light Medium: Plug-in Diesel Hybrid: Alternative Electricity and Transportation</t>
  </si>
  <si>
    <t>AEO.2026.ELECTRNP.EFI_NA_FGHT_LITEMEDS_ELE_NA_NA_MPGDSEQ.A</t>
  </si>
  <si>
    <t>Freight: Truck Stock: Fuel Efficiency: Light Medium: Electric: Alternative Electricity and Transportation</t>
  </si>
  <si>
    <t>AEO.2026.ELECTRNP.EFI_NA_FGHT_LITEMEDS_EFFI_NA_NA_MPGGASEQ.A</t>
  </si>
  <si>
    <t>Freight: Truck Stock: Fuel Efficiency: Light Medium: Ethanol-Flex Fuel: Alternative Electricity and Transportation</t>
  </si>
  <si>
    <t>AEO.2026.ELECTRNP.EFI_NA_FGHT_LITEMEDS_NG_NA_NA_MPGGASEQ.A</t>
  </si>
  <si>
    <t>Freight: Truck Stock: Fuel Efficiency: Light Medium: Natural Gas: Alternative Electricity and Transportation</t>
  </si>
  <si>
    <t>AEO.2026.ELECTRNP.EFI_NA_FGHT_LITEMEDS_PROP_NA_NA_MPGGASEQ.A</t>
  </si>
  <si>
    <t>Freight: Truck Stock: Fuel Efficiency: Light Medium: Propane: Alternative Electricity and Transportation</t>
  </si>
  <si>
    <t>AEO.2026.ELECTRNP.EFI_NA_FGHT_LITEMEDS_MGS_NA_NA_MPGGASEQ.A</t>
  </si>
  <si>
    <t>Freight: Truck Stock: Fuel Efficiency: Light Medium: Motor Gasoline: Alternative Electricity and Transportation</t>
  </si>
  <si>
    <t>AEO.2026.ELECTRNP.EFI_NA_FGHT_LITEMEDS_DSL_NA_NA_MPGDSEQ.A</t>
  </si>
  <si>
    <t>Freight: Truck Stock: Fuel Efficiency: Light Medium: Diesel: Alternative Electricity and Transportation</t>
  </si>
  <si>
    <t>AEO.2026.ELECTRNP.CNSM_NA_FGHT_STK_NA_NA_NA_TRLBTU.A</t>
  </si>
  <si>
    <t>Freight: Truck Stock: Use: Light Medium, Medium, and Heavy: Alternative Electricity and Transportation</t>
  </si>
  <si>
    <t>AEO.2026.ELECTRNP.CNSM_NA_FGHT_STK_HYDICE_NA_NA_TRLBTU.A</t>
  </si>
  <si>
    <t>Freight: Truck Stock: Use: Light Medium, Medium, and Heavy: Hydrogen ICE: Alternative Electricity and Transportation</t>
  </si>
  <si>
    <t>AEO.2026.ELECTRNP.CNSM_NA_FGHT_STK_GASHEV_NA_NA_TRLBTU.A</t>
  </si>
  <si>
    <t>Freight: Truck Stock: Use: Light Medium, Medium, and Heavy: Gasoline Hybrid: Alternative Electricity and Transportation</t>
  </si>
  <si>
    <t>AEO.2026.ELECTRNP.CNSM_NA_FGHT_STK_FEUCELBATDOM_NA_NA_TRLBTU.A</t>
  </si>
  <si>
    <t>Freight: Truck Stock: Use: Light Medium, Medium, and Heavy: Fuel Cell Battery Dominant: Alternative Electricity and Transportation</t>
  </si>
  <si>
    <t>AEO.2026.ELECTRNP.CNSM_NA_FGHT_STK_FUC_NA_NA_TRLBTU.A</t>
  </si>
  <si>
    <t>Freight: Truck Stock: Use: Light Medium, Medium, and Heavy: Fuel Cell: Alternative Electricity and Transportation</t>
  </si>
  <si>
    <t>AEO.2026.ELECTRNP.CNSM_NA_FGHT_STK_EGH_NA_NA_TRLBTU.A</t>
  </si>
  <si>
    <t>Freight: Truck Stock: Use: Light Medium, Medium, and Heavy: Plug-in Gasoline Hybrid: Alternative Electricity and Transportation</t>
  </si>
  <si>
    <t>AEO.2026.ELECTRNP.CNSM_NA_FGHT_STK_EDH_NA_NA_TRLBTU.A</t>
  </si>
  <si>
    <t>Freight: Truck Stock: Use: Light Medium, Medium, and Heavy: Plug-in Diesel Hybrid: Alternative Electricity and Transportation</t>
  </si>
  <si>
    <t>AEO.2026.ELECTRNP.CNSM_NA_FGHT_STK_ELE_NA_NA_TRLBTU.A</t>
  </si>
  <si>
    <t>Freight: Truck Stock: Use: Light Medium, Medium, and Heavy: Electric: Alternative Electricity and Transportation</t>
  </si>
  <si>
    <t>AEO.2026.ELECTRNP.CNSM_NA_FGHT_STK_EFFI_NA_NA_TRLBTU.A</t>
  </si>
  <si>
    <t>Freight: Truck Stock: Use: Light Medium, Medium, and Heavy: Ethanol-Flex Fuel: Alternative Electricity and Transportation</t>
  </si>
  <si>
    <t>AEO.2026.ELECTRNP.CNSM_NA_FGHT_STK_NG_NA_NA_TRLBTU.A</t>
  </si>
  <si>
    <t>Freight: Truck Stock: Use: Light Medium, Medium, and Heavy: Natural Gas: Alternative Electricity and Transportation</t>
  </si>
  <si>
    <t>AEO.2026.ELECTRNP.CNSM_NA_FGHT_STK_PROP_NA_NA_TRLBTU.A</t>
  </si>
  <si>
    <t>Freight: Truck Stock: Use: Light Medium, Medium, and Heavy: Propane: Alternative Electricity and Transportation</t>
  </si>
  <si>
    <t>AEO.2026.ELECTRNP.CNSM_NA_FGHT_STK_MGS_NA_NA_TRLBTU.A</t>
  </si>
  <si>
    <t>Freight: Truck Stock: Use: Light Medium, Medium, and Heavy: Motor Gasoline: Alternative Electricity and Transportation</t>
  </si>
  <si>
    <t>AEO.2026.ELECTRNP.CNSM_NA_FGHT_STK_DSL_NA_NA_TRLBTU.A</t>
  </si>
  <si>
    <t>Freight: Truck Stock: Use: Light Medium, Medium, and Heavy: Diesel: Alternative Electricity and Transportation</t>
  </si>
  <si>
    <t>AEO.2026.ELECTRNP.CNSM_NA_FGHT_RADS_NA_NA_NA_TRLBTU.A</t>
  </si>
  <si>
    <t>Freight: Truck Stock: Use: Heavy: Alternative Electricity and Transportation</t>
  </si>
  <si>
    <t>AEO.2026.ELECTRNP.CNSM_NA_FGHT_RADS_HYDICE_NA_NA_TRLBTU.A</t>
  </si>
  <si>
    <t>Freight: Truck Stock: Use: Heavy: Hydrogen ICE: Alternative Electricity and Transportation</t>
  </si>
  <si>
    <t>AEO.2026.ELECTRNP.CNSM_NA_FGHT_RADS_GASHEV_NA_NA_TRLBTU.A</t>
  </si>
  <si>
    <t>Freight: Truck Stock: Use: Heavy: Gasoline Hybrid: Alternative Electricity and Transportation</t>
  </si>
  <si>
    <t>AEO.2026.ELECTRNP.CNSM_NA_FGHT_RADS_FEUCELBATDOM_NA_NA_TRLBTU.A</t>
  </si>
  <si>
    <t>Freight: Truck Stock: Use: Heavy: Fuel Cell Battery Dominant: Alternative Electricity and Transportation</t>
  </si>
  <si>
    <t>AEO.2026.ELECTRNP.CNSM_NA_FGHT_RADS_FUC_NA_NA_TRLBTU.A</t>
  </si>
  <si>
    <t>Freight: Truck Stock: Use: Heavy: Fuel Cell: Alternative Electricity and Transportation</t>
  </si>
  <si>
    <t>AEO.2026.ELECTRNP.CNSM_NA_FGHT_RADS_EGH_NA_NA_TRLBTU.A</t>
  </si>
  <si>
    <t>Freight: Truck Stock: Use: Heavy: Plug-in Gasoline Hybrid: Alternative Electricity and Transportation</t>
  </si>
  <si>
    <t>AEO.2026.ELECTRNP.CNSM_NA_FGHT_RADS_EDH_NA_NA_TRLBTU.A</t>
  </si>
  <si>
    <t>Freight: Truck Stock: Use: Heavy: Plug-in Diesel Hybrid: Alternative Electricity and Transportation</t>
  </si>
  <si>
    <t>AEO.2026.ELECTRNP.CNSM_NA_FGHT_RADS_ELE_NA_NA_TRLBTU.A</t>
  </si>
  <si>
    <t>Freight: Truck Stock: Use: Heavy: Electric: Alternative Electricity and Transportation</t>
  </si>
  <si>
    <t>AEO.2026.ELECTRNP.CNSM_NA_FGHT_RADS_EFFI_NA_NA_TRLBTU.A</t>
  </si>
  <si>
    <t>Freight: Truck Stock: Use: Heavy: Ethanol-Flex Fuel: Alternative Electricity and Transportation</t>
  </si>
  <si>
    <t>AEO.2026.ELECTRNP.CNSM_NA_FGHT_RADS_NG_NA_NA_TRLBTU.A</t>
  </si>
  <si>
    <t>Freight: Truck Stock: Use: Heavy: Natural Gas: Alternative Electricity and Transportation</t>
  </si>
  <si>
    <t>AEO.2026.ELECTRNP.CNSM_NA_FGHT_RADS_PROP_NA_NA_TRLBTU.A</t>
  </si>
  <si>
    <t>Freight: Truck Stock: Use: Heavy: Propane: Alternative Electricity and Transportation</t>
  </si>
  <si>
    <t>AEO.2026.ELECTRNP.CNSM_NA_FGHT_RADS_MGS_NA_NA_TRLBTU.A</t>
  </si>
  <si>
    <t>Freight: Truck Stock: Use: Heavy: Motor Gasoline: Alternative Electricity and Transportation</t>
  </si>
  <si>
    <t>AEO.2026.ELECTRNP.CNSM_NA_FGHT_RADS_DSL_NA_NA_TRLBTU.A</t>
  </si>
  <si>
    <t>Freight: Truck Stock: Use: Heavy: Diesel: Alternative Electricity and Transportation</t>
  </si>
  <si>
    <t>AEO.2026.ELECTRNP.CNSM_NA_FGHT_SOSOS_NA_NA_NA_TRLBTU.A</t>
  </si>
  <si>
    <t>Freight: Truck Stock: Use: Medium: Alternative Electricity and Transportation</t>
  </si>
  <si>
    <t>AEO.2026.ELECTRNP.CNSM_NA_FGHT_SOSOS_HYDICE_NA_NA_TRLBTU.A</t>
  </si>
  <si>
    <t>Freight: Truck Stock: Use: Medium: Hydrogen ICE: Alternative Electricity and Transportation</t>
  </si>
  <si>
    <t>AEO.2026.ELECTRNP.CNSM_NA_FGHT_SOSOS_GASHEV_NA_NA_TRLBTU.A</t>
  </si>
  <si>
    <t>Freight: Truck Stock: Use: Medium: Gasoline Hybrid: Alternative Electricity and Transportation</t>
  </si>
  <si>
    <t>AEO.2026.ELECTRNP.CNSM_NA_FGHT_SOSOS_FEUCELBATDOM_NA_NA_TRLBTU.A</t>
  </si>
  <si>
    <t>Freight: Truck Stock: Use: Medium: Fuel Cell Battery Dominant: Alternative Electricity and Transportation</t>
  </si>
  <si>
    <t>AEO.2026.ELECTRNP.CNSM_NA_FGHT_SOSOS_FUC_NA_NA_TRLBTU.A</t>
  </si>
  <si>
    <t>Freight: Truck Stock: Use: Medium: Fuel Cell: Alternative Electricity and Transportation</t>
  </si>
  <si>
    <t>AEO.2026.ELECTRNP.CNSM_NA_FGHT_SOSOS_EGH_NA_NA_TRLBTU.A</t>
  </si>
  <si>
    <t>Freight: Truck Stock: Use: Medium: Plug-in Gasoline Hybrid: Alternative Electricity and Transportation</t>
  </si>
  <si>
    <t>AEO.2026.ELECTRNP.CNSM_NA_FGHT_SOSOS_EDH_NA_NA_TRLBTU.A</t>
  </si>
  <si>
    <t>Freight: Truck Stock: Use: Medium: Plug-in Diesel Hybrid: Alternative Electricity and Transportation</t>
  </si>
  <si>
    <t>AEO.2026.ELECTRNP.CNSM_NA_FGHT_SOSOS_ELE_NA_NA_TRLBTU.A</t>
  </si>
  <si>
    <t>Freight: Truck Stock: Use: Medium: Electric: Alternative Electricity and Transportation</t>
  </si>
  <si>
    <t>AEO.2026.ELECTRNP.CNSM_NA_FGHT_SOSOS_EFFI_NA_NA_TRLBTU.A</t>
  </si>
  <si>
    <t>Freight: Truck Stock: Use: Medium: Ethanol-Flex Fuel: Alternative Electricity and Transportation</t>
  </si>
  <si>
    <t>AEO.2026.ELECTRNP.CNSM_NA_FGHT_SOSOS_NG_NA_NA_TRLBTU.A</t>
  </si>
  <si>
    <t>Freight: Truck Stock: Use: Medium: Natural Gas: Alternative Electricity and Transportation</t>
  </si>
  <si>
    <t>AEO.2026.ELECTRNP.CNSM_NA_FGHT_SOSOS_PROP_NA_NA_TRLBTU.A</t>
  </si>
  <si>
    <t>Freight: Truck Stock: Use: Medium: Propane: Alternative Electricity and Transportation</t>
  </si>
  <si>
    <t>AEO.2026.ELECTRNP.CNSM_NA_FGHT_SOSOS_MGS_NA_NA_TRLBTU.A</t>
  </si>
  <si>
    <t>Freight: Truck Stock: Use: Medium: Motor Gasoline: Alternative Electricity and Transportation</t>
  </si>
  <si>
    <t>AEO.2026.ELECTRNP.CNSM_NA_FGHT_SOSOS_DSL_NA_NA_TRLBTU.A</t>
  </si>
  <si>
    <t>Freight: Truck Stock: Use: Medium: Diesel: Alternative Electricity and Transportation</t>
  </si>
  <si>
    <t>AEO.2026.ELECTRNP.CNSM_NA_FGHT_LITEMEDS_NA_NA_NA_TRLBTU.A</t>
  </si>
  <si>
    <t>Freight: Truck Stock: Use: Light Medium: Alternative Electricity and Transportation</t>
  </si>
  <si>
    <t>AEO.2026.ELECTRNP.CNSM_NA_FGHT_LITEMEDS_HYDICE_NA_NA_TRLBTU.A</t>
  </si>
  <si>
    <t>Freight: Truck Stock: Use: Light Medium: Hydrogen ICE: Alternative Electricity and Transportation</t>
  </si>
  <si>
    <t>AEO.2026.ELECTRNP.CNSM_NA_FGHT_LITEMEDS_GASHEV_NA_NA_TRLBTU.A</t>
  </si>
  <si>
    <t>Freight: Truck Stock: Use: Light Medium: Gasoline Hybrid: Alternative Electricity and Transportation</t>
  </si>
  <si>
    <t>AEO.2026.ELECTRNP.CNSM_NA_FGHT_LITEMEDS_FEUCELBATDOM_NA_NA_TRLBTU.A</t>
  </si>
  <si>
    <t>Freight: Truck Stock: Use: Light Medium: Fuel Cell Battery Dominant: Alternative Electricity and Transportation</t>
  </si>
  <si>
    <t>AEO.2026.ELECTRNP.CNSM_NA_FGHT_LITEMEDS_FUC_NA_NA_TRLBTU.A</t>
  </si>
  <si>
    <t>Freight: Truck Stock: Use: Light Medium: Fuel Cell: Alternative Electricity and Transportation</t>
  </si>
  <si>
    <t>AEO.2026.ELECTRNP.CNSM_NA_FGHT_LITEMEDS_EGH_NA_NA_TRLBTU.A</t>
  </si>
  <si>
    <t>Freight: Truck Stock: Use: Light Medium: Plug-in Gasoline Hybrid: Alternative Electricity and Transportation</t>
  </si>
  <si>
    <t>AEO.2026.ELECTRNP.CNSM_NA_FGHT_LITEMEDS_EDH_NA_NA_TRLBTU.A</t>
  </si>
  <si>
    <t>Freight: Truck Stock: Use: Light Medium: Plug-in Diesel Hybrid: Alternative Electricity and Transportation</t>
  </si>
  <si>
    <t>AEO.2026.ELECTRNP.CNSM_NA_FGHT_LITEMEDS_ELE_NA_NA_TRLBTU.A</t>
  </si>
  <si>
    <t>Freight: Truck Stock: Use: Light Medium: Electric: Alternative Electricity and Transportation</t>
  </si>
  <si>
    <t>AEO.2026.ELECTRNP.CNSM_NA_FGHT_LITEMEDS_EFFI_NA_NA_TRLBTU.A</t>
  </si>
  <si>
    <t>Freight: Truck Stock: Use: Light Medium: Ethanol-Flex Fuel: Alternative Electricity and Transportation</t>
  </si>
  <si>
    <t>AEO.2026.ELECTRNP.CNSM_NA_FGHT_LITEMEDS_NG_NA_NA_TRLBTU.A</t>
  </si>
  <si>
    <t>Freight: Truck Stock: Use: Light Medium: Natural Gas: Alternative Electricity and Transportation</t>
  </si>
  <si>
    <t>AEO.2026.ELECTRNP.CNSM_NA_FGHT_LITEMEDS_PROP_NA_NA_TRLBTU.A</t>
  </si>
  <si>
    <t>Freight: Truck Stock: Use: Light Medium: Propane: Alternative Electricity and Transportation</t>
  </si>
  <si>
    <t>AEO.2026.ELECTRNP.CNSM_NA_FGHT_LITEMEDS_MGS_NA_NA_TRLBTU.A</t>
  </si>
  <si>
    <t>Freight: Truck Stock: Use: Light Medium: Motor Gasoline: Alternative Electricity and Transportation</t>
  </si>
  <si>
    <t>AEO.2026.ELECTRNP.CNSM_NA_FGHT_LITEMEDS_DSL_NA_NA_TRLBTU.A</t>
  </si>
  <si>
    <t>Freight: Truck Stock: Use: Light Medium: Diesel: Alternative Electricity and Transportation</t>
  </si>
  <si>
    <t>AEO.2026.ELECTRNP.ECI_VMT_FGHT_STK_NA_NA_NA_BLNMLS.A</t>
  </si>
  <si>
    <t>Freight: Truck Stock: Vehicle Miles Traveled: Alternative Electricity and Transportation</t>
  </si>
  <si>
    <t>AEO.2026.ELECTRNP.ECI_VMT_FGHT_RADS_NA_NA_NA_BLNMLS.A</t>
  </si>
  <si>
    <t>Freight: Truck Stock: Vehicle Miles Traveled: Heavy: Alternative Electricity and Transportation</t>
  </si>
  <si>
    <t>AEO.2026.ELECTRNP.ECI_VMT_FGHT_RADS_HYDICE_NA_NA_BLNMLS.A</t>
  </si>
  <si>
    <t>Freight: Truck Stock: Vehicle Miles Traveled: Heavy: Hydrogen ICE: Alternative Electricity and Transportation</t>
  </si>
  <si>
    <t>AEO.2026.ELECTRNP.ECI_VMT_FGHT_RADS_GASHEV_NA_NA_BLNMLS.A</t>
  </si>
  <si>
    <t>Freight: Truck Stock: Vehicle Miles Traveled: Heavy: Gasoline Hybrid: Alternative Electricity and Transportation</t>
  </si>
  <si>
    <t>AEO.2026.ELECTRNP.ECI_VMT_FGHT_RADS_FEUCELBATDOM_NA_NA_BLNMLS.A</t>
  </si>
  <si>
    <t>Freight: Truck Stock: Vehicle Miles Traveled: Heavy: Fuel Cell Battery Dominant: Alternative Electricity and Transportation</t>
  </si>
  <si>
    <t>AEO.2026.ELECTRNP.ECI_VMT_FGHT_RADS_FUC_NA_NA_BLNMLS.A</t>
  </si>
  <si>
    <t>Freight: Truck Stock: Vehicle Miles Traveled: Heavy: Fuel Cell: Alternative Electricity and Transportation</t>
  </si>
  <si>
    <t>AEO.2026.ELECTRNP.ECI_VMT_FGHT_RADS_EGH_NA_NA_BLNMLS.A</t>
  </si>
  <si>
    <t>Freight: Truck Stock: Vehicle Miles Traveled: Heavy: Plug-in Gasoline Hybrid: Alternative Electricity and Transportation</t>
  </si>
  <si>
    <t>AEO.2026.ELECTRNP.ECI_VMT_FGHT_RADS_EDH_NA_NA_BLNMLS.A</t>
  </si>
  <si>
    <t>Freight: Truck Stock: Vehicle Miles Traveled: Heavy: Plug-in Diesel Hybrid: Alternative Electricity and Transportation</t>
  </si>
  <si>
    <t>AEO.2026.ELECTRNP.ECI_VMT_FGHT_RADS_ELE_NA_NA_BLNMLS.A</t>
  </si>
  <si>
    <t>Freight: Truck Stock: Vehicle Miles Traveled: Heavy: Electric: Alternative Electricity and Transportation</t>
  </si>
  <si>
    <t>AEO.2026.ELECTRNP.ECI_VMT_FGHT_RADS_EFFI_NA_NA_BLNMLS.A</t>
  </si>
  <si>
    <t>Freight: Truck Stock: Vehicle Miles Traveled: Heavy: Ethanol-Flex Fuel: Alternative Electricity and Transportation</t>
  </si>
  <si>
    <t>AEO.2026.ELECTRNP.ECI_VMT_FGHT_RADS_NG_NA_NA_BLNMLS.A</t>
  </si>
  <si>
    <t>Freight: Truck Stock: Vehicle Miles Traveled: Heavy: Natural Gas: Alternative Electricity and Transportation</t>
  </si>
  <si>
    <t>AEO.2026.ELECTRNP.ECI_VMT_FGHT_RADS_PROP_NA_NA_BLNMLS.A</t>
  </si>
  <si>
    <t>Freight: Truck Stock: Vehicle Miles Traveled: Heavy: Propane: Alternative Electricity and Transportation</t>
  </si>
  <si>
    <t>AEO.2026.ELECTRNP.ECI_VMT_FGHT_RADS_MGS_NA_NA_BLNMLS.A</t>
  </si>
  <si>
    <t>Freight: Truck Stock: Vehicle Miles Traveled: Heavy: Motor Gasoline: Alternative Electricity and Transportation</t>
  </si>
  <si>
    <t>AEO.2026.ELECTRNP.ECI_VMT_FGHT_RADS_DSL_NA_NA_BLNMLS.A</t>
  </si>
  <si>
    <t>Freight: Truck Stock: Vehicle Miles Traveled: Heavy: Diesel: Alternative Electricity and Transportation</t>
  </si>
  <si>
    <t>AEO.2026.ELECTRNP.ECI_VMT_FGHT_SOSOS_NA_NA_NA_BLNMLS.A</t>
  </si>
  <si>
    <t>Freight: Truck Stock: Vehicle Miles Traveled: Medium: Alternative Electricity and Transportation</t>
  </si>
  <si>
    <t>AEO.2026.ELECTRNP.ECI_VMT_FGHT_SOSOS_HYDICE_NA_NA_BLNMLS.A</t>
  </si>
  <si>
    <t>Freight: Truck Stock: Vehicle Miles Traveled: Medium: Hydrogen ICE: Alternative Electricity and Transportation</t>
  </si>
  <si>
    <t>AEO.2026.ELECTRNP.ECI_VMT_FGHT_SOSOS_GASHEV_NA_NA_BLNMLS.A</t>
  </si>
  <si>
    <t>Freight: Truck Stock: Vehicle Miles Traveled: Medium: Gasoline Hybrid: Alternative Electricity and Transportation</t>
  </si>
  <si>
    <t>AEO.2026.ELECTRNP.ECI_VMT_FGHT_SOSOS_FEUCELBATDOM_NA_NA_BLNMLS.A</t>
  </si>
  <si>
    <t>Freight: Truck Stock: Vehicle Miles Traveled: Medium: Fuel Cell Battery Dominant: Alternative Electricity and Transportation</t>
  </si>
  <si>
    <t>AEO.2026.ELECTRNP.ECI_VMT_FGHT_SOSOS_FUC_NA_NA_BLNMLS.A</t>
  </si>
  <si>
    <t>Freight: Truck Stock: Vehicle Miles Traveled: Medium: Fuel Cell: Alternative Electricity and Transportation</t>
  </si>
  <si>
    <t>AEO.2026.ELECTRNP.ECI_VMT_FGHT_SOSOS_EGH_NA_NA_BLNMLS.A</t>
  </si>
  <si>
    <t>Freight: Truck Stock: Vehicle Miles Traveled: Medium: Plug-in Gasoline Hybrid: Alternative Electricity and Transportation</t>
  </si>
  <si>
    <t>AEO.2026.ELECTRNP.ECI_VMT_FGHT_SOSOS_EDH_NA_NA_BLNMLS.A</t>
  </si>
  <si>
    <t>Freight: Truck Stock: Vehicle Miles Traveled: Medium: Plug-in Diesel Hybrid: Alternative Electricity and Transportation</t>
  </si>
  <si>
    <t>AEO.2026.ELECTRNP.ECI_VMT_FGHT_SOSOS_ELE_NA_NA_BLNMLS.A</t>
  </si>
  <si>
    <t>Freight: Truck Stock: Vehicle Miles Traveled: Medium: Electric: Alternative Electricity and Transportation</t>
  </si>
  <si>
    <t>AEO.2026.ELECTRNP.ECI_VMT_FGHT_SOSOS_EFFI_NA_NA_BLNMLS.A</t>
  </si>
  <si>
    <t>Freight: Truck Stock: Vehicle Miles Traveled: Medium: Ethanol-Flex Fuel: Alternative Electricity and Transportation</t>
  </si>
  <si>
    <t>AEO.2026.ELECTRNP.ECI_VMT_FGHT_SOSOS_NG_NA_NA_BLNMLS.A</t>
  </si>
  <si>
    <t>Freight: Truck Stock: Vehicle Miles Traveled: Medium: Natural Gas: Alternative Electricity and Transportation</t>
  </si>
  <si>
    <t>AEO.2026.ELECTRNP.ECI_VMT_FGHT_SOSOS_PROP_NA_NA_BLNMLS.A</t>
  </si>
  <si>
    <t>Freight: Truck Stock: Vehicle Miles Traveled: Medium: Propane: Alternative Electricity and Transportation</t>
  </si>
  <si>
    <t>AEO.2026.ELECTRNP.ECI_VMT_FGHT_SOSOS_MGS_NA_NA_BLNMLS.A</t>
  </si>
  <si>
    <t>Freight: Truck Stock: Vehicle Miles Traveled: Medium: Motor Gasoline: Alternative Electricity and Transportation</t>
  </si>
  <si>
    <t>AEO.2026.ELECTRNP.ECI_VMT_FGHT_SOSOS_DSL_NA_NA_BLNMLS.A</t>
  </si>
  <si>
    <t>Freight: Truck Stock: Vehicle Miles Traveled: Medium: Diesel: Alternative Electricity and Transportation</t>
  </si>
  <si>
    <t>AEO.2026.ELECTRNP.ECI_VMT_FGHT_LITEMEDS_NA_NA_NA_BLNMLS.A</t>
  </si>
  <si>
    <t>Freight: Truck Stock: Vehicle Miles Traveled: Light Medium: Alternative Electricity and Transportation</t>
  </si>
  <si>
    <t>AEO.2026.ELECTRNP.ECI_VMT_FGHT_LITEMEDS_HYDICE_NA_NA_BLNMLS.A</t>
  </si>
  <si>
    <t>Freight: Truck Stock: Vehicle Miles Traveled: Light Medium: Hydrogen ICE: Alternative Electricity and Transportation</t>
  </si>
  <si>
    <t>AEO.2026.ELECTRNP.ECI_VMT_FGHT_LITEMEDS_GASHEV_NA_NA_BLNMLS.A</t>
  </si>
  <si>
    <t>Freight: Truck Stock: Vehicle Miles Traveled: Light Medium: Gasoline Hybrid: Alternative Electricity and Transportation</t>
  </si>
  <si>
    <t>AEO.2026.ELECTRNP.ECI_VMT_FGHT_LITEMEDS_FEUCELBATDOM_NA_NA_BLNMLS.A</t>
  </si>
  <si>
    <t>Freight: Truck Stock: Vehicle Miles Traveled: Light Medium: Fuel Cell Battery Dominant: Alternative Electricity and Transportation</t>
  </si>
  <si>
    <t>AEO.2026.ELECTRNP.ECI_VMT_FGHT_LITEMEDS_FUC_NA_NA_BLNMLS.A</t>
  </si>
  <si>
    <t>Freight: Truck Stock: Vehicle Miles Traveled: Light Medium: Fuel Cell: Alternative Electricity and Transportation</t>
  </si>
  <si>
    <t>AEO.2026.ELECTRNP.ECI_VMT_FGHT_LITEMEDS_EGH_NA_NA_BLNMLS.A</t>
  </si>
  <si>
    <t>Freight: Truck Stock: Vehicle Miles Traveled: Light Medium: Plug-in Gasoline Hybrid: Alternative Electricity and Transportation</t>
  </si>
  <si>
    <t>AEO.2026.ELECTRNP.ECI_VMT_FGHT_LITEMEDS_EDH_NA_NA_BLNMLS.A</t>
  </si>
  <si>
    <t>Freight: Truck Stock: Vehicle Miles Traveled: Light Medium: Plug-in Diesel Hybrid: Alternative Electricity and Transportation</t>
  </si>
  <si>
    <t>AEO.2026.ELECTRNP.ECI_VMT_FGHT_LITEMEDS_ELE_NA_NA_BLNMLS.A</t>
  </si>
  <si>
    <t>Freight: Truck Stock: Vehicle Miles Traveled: Light Medium: Electric: Alternative Electricity and Transportation</t>
  </si>
  <si>
    <t>AEO.2026.ELECTRNP.ECI_VMT_FGHT_LITEMEDS_EFFI_NA_NA_BLNMLS.A</t>
  </si>
  <si>
    <t>Freight: Truck Stock: Vehicle Miles Traveled: Light Medium: Ethanol-Flex Fuel: Alternative Electricity and Transportation</t>
  </si>
  <si>
    <t>AEO.2026.ELECTRNP.ECI_VMT_FGHT_LITEMEDS_NG_NA_NA_BLNMLS.A</t>
  </si>
  <si>
    <t>Freight: Truck Stock: Vehicle Miles Traveled: Light Medium: Natural Gas: Alternative Electricity and Transportation</t>
  </si>
  <si>
    <t>AEO.2026.ELECTRNP.ECI_VMT_FGHT_LITEMEDS_PROP_NA_NA_BLNMLS.A</t>
  </si>
  <si>
    <t>Freight: Truck Stock: Vehicle Miles Traveled: Light Medium: Propane: Alternative Electricity and Transportation</t>
  </si>
  <si>
    <t>AEO.2026.ELECTRNP.ECI_VMT_FGHT_LITEMEDS_MGS_NA_NA_BLNMLS.A</t>
  </si>
  <si>
    <t>Freight: Truck Stock: Vehicle Miles Traveled: Light Medium: Motor Gasoline: Alternative Electricity and Transportation</t>
  </si>
  <si>
    <t>AEO.2026.ELECTRNP.ECI_VMT_FGHT_LITEMEDS_DSL_NA_NA_BLNMLS.A</t>
  </si>
  <si>
    <t>Freight: Truck Stock: Vehicle Miles Traveled: Light Medium: Diesel: Alternative Electricity and Transportation</t>
  </si>
  <si>
    <t>Thu Apr 23 2026 15:05:43 GMT-0700 (Pacific Daylight Time)</t>
  </si>
  <si>
    <t>https://www.eia.gov/outlooks/aeo/data/browser/#/?id=58-AEO2026&amp;cases=electrnp&amp;sourcekey=0</t>
  </si>
  <si>
    <t>AEO.2026.ELECTRNP.CNSM_LDV_TRN_CML_NA_NA_NA_TRLBTU.A</t>
  </si>
  <si>
    <t>Fleet Vehicle Energy Use: Commercial Light Trucks: Total: Alternative Electricity and Transportation</t>
  </si>
  <si>
    <t>AEO.2026.ELECTRNP.CNSM_LDV_TRN_CML_HYDICE_NA_NA_TRLBTU.A</t>
  </si>
  <si>
    <t>Fleet Vehicle Energy Use: Commercial Light Trucks: Hydrogen ICE: Alternative Electricity and Transportation</t>
  </si>
  <si>
    <t>AEO.2026.ELECTRNP.CNSM_LDV_TRN_CML_GASHEV_NA_NA_TRLBTU.A</t>
  </si>
  <si>
    <t>Fleet Vehicle Energy Use: Commercial Light Trucks: Gasoline Hybrid: Alternative Electricity and Transportation</t>
  </si>
  <si>
    <t>AEO.2026.ELECTRNP.CNSM_LDV_TRN_CML_FEUCELBATDOM_NA_NA_TRLBTU.A</t>
  </si>
  <si>
    <t>Fleet Vehicle Energy Use: Commercial Light Trucks: Fuel Cell Battery Dominant: Alternative Electricity and Transportation</t>
  </si>
  <si>
    <t>AEO.2026.ELECTRNP.CNSM_LDV_TRN_CML_FUC_NA_NA_TRLBTU.A</t>
  </si>
  <si>
    <t>Fleet Vehicle Energy Use: Commercial Light Trucks: Fuel Cell: Alternative Electricity and Transportation</t>
  </si>
  <si>
    <t>AEO.2026.ELECTRNP.CNSM_LDV_TRN_CML_EDH_NA_NA_TRLBTU.A</t>
  </si>
  <si>
    <t>Fleet Vehicle Energy Use: Commercial Light Trucks: Plug-in Diesel: Alternative Electricity and Transportation</t>
  </si>
  <si>
    <t>AEO.2026.ELECTRNP.CNSM_LDV_TRN_CML_EGH_NA_NA_TRLBTU.A</t>
  </si>
  <si>
    <t>Fleet Vehicle Energy Use: Commercial Light Trucks: Plug-in Gasoline: Alternative Electricity and Transportation</t>
  </si>
  <si>
    <t>AEO.2026.ELECTRNP.CNSM_LDV_TRN_CML_ELE_NA_NA_TRLBTU.A</t>
  </si>
  <si>
    <t>Fleet Vehicle Energy Use: Commercial Light Trucks: Electric: Alternative Electricity and Transportation</t>
  </si>
  <si>
    <t>AEO.2026.ELECTRNP.CNSM_LDV_TRN_CML_EFFI_NA_NA_TRLBTU.A</t>
  </si>
  <si>
    <t>Fleet Vehicle Energy Use: Commercial Light Trucks: Ethanol Flex: Alternative Electricity and Transportation</t>
  </si>
  <si>
    <t>AEO.2026.ELECTRNP.CNSM_LDV_TRN_CML_NG_NA_NA_TRLBTU.A</t>
  </si>
  <si>
    <t>Fleet Vehicle Energy Use: Commercial Light Trucks: CNG/LNG: Alternative Electricity and Transportation</t>
  </si>
  <si>
    <t>AEO.2026.ELECTRNP.CNSM_LDV_TRN_CML_PROP_NA_NA_TRLBTU.A</t>
  </si>
  <si>
    <t>Fleet Vehicle Energy Use: Commercial Light Trucks: Propane: Alternative Electricity and Transportation</t>
  </si>
  <si>
    <t>AEO.2026.ELECTRNP.CNSM_LDV_TRN_CML_TDS_NA_NA_TRLBTU.A</t>
  </si>
  <si>
    <t>Fleet Vehicle Energy Use: Commercial Light Trucks: TDI Diesel: Alternative Electricity and Transportation</t>
  </si>
  <si>
    <t>AEO.2026.ELECTRNP.CNSM_LDV_TRN_CML_GSL_NA_NA_TRLBTU.A</t>
  </si>
  <si>
    <t>Fleet Vehicle Energy Use: Commercial Light Trucks: Gasoline: Alternative Electricity and Transportation</t>
  </si>
  <si>
    <t>AEO.2026.ELECTRNP.CNSM_LDV_FLEET_NA_NA_NA_NA_TRLBTU.A</t>
  </si>
  <si>
    <t>Fleet Vehicle Energy Use: Total Fleet Vehicles: Alternative Electricity and Transportation</t>
  </si>
  <si>
    <t>AEO.2026.ELECTRNP.CNSM_LDV_FLEET_LTK_NA_NA_NA_TRLBTU.A</t>
  </si>
  <si>
    <t>Fleet Vehicle Energy Use: Total Light Trucks: Alternative Electricity and Transportation</t>
  </si>
  <si>
    <t>AEO.2026.ELECTRNP.CNSM_LDV_ALF1_FLTR_NA_NA_NA_TRLBTU.A</t>
  </si>
  <si>
    <t>Fleet Vehicle Energy Use: Alternative-Fuel Light Trucks: Total Alternative: Alternative Electricity and Transportation</t>
  </si>
  <si>
    <t>AEO.2026.ELECTRNP.CNSM_LDV_ALF1_FLTR_FCH_NA_NA_TRLBTU.A</t>
  </si>
  <si>
    <t>Fleet Vehicle Energy Use: Alternative-Fuel Light Trucks: Fuel Cell Hydrogen: Alternative Electricity and Transportation</t>
  </si>
  <si>
    <t>AEO.2026.ELECTRNP.CNSM_LDV_ALF1_FLTR_PBF_NA_NA_TRLBTU.A</t>
  </si>
  <si>
    <t>Fleet Vehicle Energy Use: Alternative-Fuel Light Trucks: Propane Bi-fuel: Alternative Electricity and Transportation</t>
  </si>
  <si>
    <t>AEO.2026.ELECTRNP.CNSM_LDV_ALF1_FLTR_PROP_NA_NA_TRLBTU.A</t>
  </si>
  <si>
    <t>Fleet Vehicle Energy Use: Alternative-Fuel Light Trucks: Propane ICE: Alternative Electricity and Transportation</t>
  </si>
  <si>
    <t>AEO.2026.ELECTRNP.CNSM_LDV_ALF1_FLTR_NBF_NA_NA_TRLBTU.A</t>
  </si>
  <si>
    <t>Fleet Vehicle Energy Use: Alternative-Fuel Light Trucks: Natural Gas Bi-fuel: Alternative Electricity and Transportation</t>
  </si>
  <si>
    <t>AEO.2026.ELECTRNP.CNSM_LDV_ALF1_FLTR_NGI_NA_NA_TRLBTU.A</t>
  </si>
  <si>
    <t>Fleet Vehicle Energy Use: Alternative-Fuel Light Trucks: Natural Gas ICE: Alternative Electricity and Transportation</t>
  </si>
  <si>
    <t>AEO.2026.ELECTRNP.CNSM_LDV_ALF1_FLTR_EGH_NA_NA_TRLBTU.A</t>
  </si>
  <si>
    <t>Fleet Vehicle Energy Use: Alternative-Fuel Light Trucks: Electric-Gasoline Hybrid: Alternative Electricity and Transportation</t>
  </si>
  <si>
    <t>AEO.2026.ELECTRNP.CNSM_LDV_ALF1_FLTR_PI50GH_NA_NA_TRLBTU.A</t>
  </si>
  <si>
    <t>Fleet Vehicle Energy Use: Alternative-Fuel Light Trucks: Plug-in 50 Gasoline Hybrid: Alternative Electricity and Transportation</t>
  </si>
  <si>
    <t>AEO.2026.ELECTRNP.CNSM_LDV_ALF1_FLTR_PI20GH_NA_NA_TRLBTU.A</t>
  </si>
  <si>
    <t>Fleet Vehicle Energy Use: Alternative-Fuel Light Trucks: Plug-in 20 Gasoline Hybrid: Alternative Electricity and Transportation</t>
  </si>
  <si>
    <t>AEO.2026.ELECTRNP.CNSM_LDV_ALF1_FLTR_300MIEV_NA_NA_TRLBTU.A</t>
  </si>
  <si>
    <t>Fleet Vehicle Energy Use: Alternative-Fuel Light Trucks: 300-Mile Electric Vehicle: Alternative Electricity and Transportation</t>
  </si>
  <si>
    <t>AEO.2026.ELECTRNP.CNSM_LDV_ALF1_FLTR_200MIEV_NA_NA_TRLBTU.A</t>
  </si>
  <si>
    <t>Fleet Vehicle Energy Use: Alternative-Fuel Light Trucks: 200-Mile Electric Vehicle: Alternative Electricity and Transportation</t>
  </si>
  <si>
    <t>AEO.2026.ELECTRNP.CNSM_LDV_ALF1_FLTR_100MIEV_NA_NA_TRLBTU.A</t>
  </si>
  <si>
    <t>Fleet Vehicle Energy Use: Alternative-Fuel Light Trucks: 100-Mile Electric Vehicle: Alternative Electricity and Transportation</t>
  </si>
  <si>
    <t>AEO.2026.ELECTRNP.CNSM_LDV_ALF1_FLTR_EFFI_NA_NA_TRLBTU.A</t>
  </si>
  <si>
    <t>Fleet Vehicle Energy Use: Alternative-Fuel Light Trucks: Ethanol-Flex Fuel ICE: Alternative Electricity and Transportation</t>
  </si>
  <si>
    <t>AEO.2026.ELECTRNP.CNSM_LDV_CNV_FLTR_NA_NA_NA_TRLBTU.A</t>
  </si>
  <si>
    <t>Fleet Vehicle Energy Use: Conventional Light Trucks: Total: Alternative Electricity and Transportation</t>
  </si>
  <si>
    <t>AEO.2026.ELECTRNP.CNSM_LDV_CNV_FLTR_TDS_NA_NA_TRLBTU.A</t>
  </si>
  <si>
    <t>Fleet Vehicle Energy Use: Conventional Light Trucks: TDI Diesel: Alternative Electricity and Transportation</t>
  </si>
  <si>
    <t>AEO.2026.ELECTRNP.CNSM_LDV_CNV_FLTR_GSL_NA_NA_TRLBTU.A</t>
  </si>
  <si>
    <t>Fleet Vehicle Energy Use: Conventional Light Trucks: Gasoline: Alternative Electricity and Transportation</t>
  </si>
  <si>
    <t>AEO.2026.ELECTRNP.CNSM_LDV_FLEET_CAR_NA_NA_NA_TRLBTU.A</t>
  </si>
  <si>
    <t>Fleet Vehicle Energy Use: Total Cars: Alternative Electricity and Transportation</t>
  </si>
  <si>
    <t>AEO.2026.ELECTRNP.CNSM_LDV_ALF1_FLC_NA_NA_NA_TRLBTU.A</t>
  </si>
  <si>
    <t>Fleet Vehicle Energy Use: Alternative-Fuel Cars: Total Alternative: Alternative Electricity and Transportation</t>
  </si>
  <si>
    <t>AEO.2026.ELECTRNP.CNSM_LDV_ALF1_FLC_FCH_NA_NA_TRLBTU.A</t>
  </si>
  <si>
    <t>Fleet Vehicle Energy Use: Alternative-Fuel Cars: Fuel Cell Hydrogen: Alternative Electricity and Transportation</t>
  </si>
  <si>
    <t>AEO.2026.ELECTRNP.CNSM_LDV_ALF1_FLC_PBF_NA_NA_TRLBTU.A</t>
  </si>
  <si>
    <t>Fleet Vehicle Energy Use: Alternative-Fuel Cars: Propane Bi-fuel: Alternative Electricity and Transportation</t>
  </si>
  <si>
    <t>AEO.2026.ELECTRNP.CNSM_LDV_ALF1_FLC_PROP_NA_NA_TRLBTU.A</t>
  </si>
  <si>
    <t>Fleet Vehicle Energy Use: Alternative-Fuel Cars: Propane ICE: Alternative Electricity and Transportation</t>
  </si>
  <si>
    <t>AEO.2026.ELECTRNP.CNSM_LDV_ALF1_FLC_NBF_NA_NA_TRLBTU.A</t>
  </si>
  <si>
    <t>Fleet Vehicle Energy Use: Alternative-Fuel Cars: Natural Gas Bi-fuel: Alternative Electricity and Transportation</t>
  </si>
  <si>
    <t>AEO.2026.ELECTRNP.CNSM_LDV_ALF1_FLC_NGI_NA_NA_TRLBTU.A</t>
  </si>
  <si>
    <t>Fleet Vehicle Energy Use: Alternative-Fuel Cars: Natural Gas ICE: Alternative Electricity and Transportation</t>
  </si>
  <si>
    <t>AEO.2026.ELECTRNP.CNSM_LDV_ALF1_FLC_EGH_NA_NA_TRLBTU.A</t>
  </si>
  <si>
    <t>Fleet Vehicle Energy Use: Alternative-Fuel Cars: Electric-Gasoline Hybrid: Alternative Electricity and Transportation</t>
  </si>
  <si>
    <t>AEO.2026.ELECTRNP.CNSM_LDV_ALF1_FLC_PI50GH_NA_NA_TRLBTU.A</t>
  </si>
  <si>
    <t>Fleet Vehicle Energy Use: Alternative-Fuel Cars: Plug-in 50 Gasoline Hybrid: Alternative Electricity and Transportation</t>
  </si>
  <si>
    <t>AEO.2026.ELECTRNP.CNSM_LDV_ALF1_FLC_PI20GH_NA_NA_TRLBTU.A</t>
  </si>
  <si>
    <t>Fleet Vehicle Energy Use: Alternative-Fuel Cars: Plug-in 20 Gasoline Hybrid: Alternative Electricity and Transportation</t>
  </si>
  <si>
    <t>AEO.2026.ELECTRNP.CNSM_LDV_ALF1_FLC_300MIEV_NA_NA_TRLBTU.A</t>
  </si>
  <si>
    <t>Fleet Vehicle Energy Use: Alternative-Fuel Cars: 300-Mile Electric Vehicle: Alternative Electricity and Transportation</t>
  </si>
  <si>
    <t>AEO.2026.ELECTRNP.CNSM_LDV_ALF1_FLC_200MIEV_NA_NA_TRLBTU.A</t>
  </si>
  <si>
    <t>Fleet Vehicle Energy Use: Alternative-Fuel Cars: 200-Mile Electric Vehicle: Alternative Electricity and Transportation</t>
  </si>
  <si>
    <t>AEO.2026.ELECTRNP.CNSM_LDV_ALF1_FLC_100MIEV_NA_NA_TRLBTU.A</t>
  </si>
  <si>
    <t>Fleet Vehicle Energy Use: Alternative-Fuel Cars: 100-Mile Electric Vehicle: Alternative Electricity and Transportation</t>
  </si>
  <si>
    <t>AEO.2026.ELECTRNP.CNSM_LDV_ALF1_FLC_EFFI_NA_NA_TRLBTU.A</t>
  </si>
  <si>
    <t>Fleet Vehicle Energy Use: Alternative-Fuel Cars: Ethanol-Flex Fuel ICE: Alternative Electricity and Transportation</t>
  </si>
  <si>
    <t>AEO.2026.ELECTRNP.CNSM_LDV_CNV_FLC_NA_NA_NA_TRLBTU.A</t>
  </si>
  <si>
    <t>Fleet Vehicle Energy Use: Conventional Cars: Total: Alternative Electricity and Transportation</t>
  </si>
  <si>
    <t>AEO.2026.ELECTRNP.CNSM_LDV_CNV_FLC_TDS_NA_NA_TRLBTU.A</t>
  </si>
  <si>
    <t>Fleet Vehicle Energy Use: Conventional Cars: TDI Diesel: Alternative Electricity and Transportation</t>
  </si>
  <si>
    <t>AEO.2026.ELECTRNP.CNSM_LDV_CNV_FLC_GSL_NA_NA_TRLBTU.A</t>
  </si>
  <si>
    <t>Fleet Vehicle Energy Use: Conventional Cars: Gasoline: Alternative Electricity and Transportation</t>
  </si>
  <si>
    <t>Thu Apr 23 2026 15:04:39 GMT-0700 (Pacific Daylight Time)</t>
  </si>
  <si>
    <t>https://www.eia.gov/outlooks/aeo/data/browser/#/?id=53-AEO2026&amp;cases=electrnp&amp;sourcekey=0</t>
  </si>
  <si>
    <t>2025 $/MMBtu</t>
  </si>
  <si>
    <t>AEO.2026.ELECTRNP.PRCE_NA_TRN_NA_LNG_INTA_NA_Y13DLRPMMBTU.A</t>
  </si>
  <si>
    <t>Transportation: Natural Gas Prices: Liquefied: Shipping: International: Alternative Electricity and Transportation</t>
  </si>
  <si>
    <t>AEO.2026.ELECTRNP.PRCE_NA_TRN_NA_LNG_DMS_NA_Y13DLRPMMBTU.A</t>
  </si>
  <si>
    <t>Transportation: Natural Gas Prices: Liquefied: Shipping: Domestic: Alternative Electricity and Transportation</t>
  </si>
  <si>
    <t>AEO.2026.ELECTRNP.PRCE_NA_TRN_NA_LNG_SHIP_NA_Y13DLRPMMBTU.A</t>
  </si>
  <si>
    <t>Transportation: Natural Gas Prices: Liquefied: Shipping: Alternative Electricity and Transportation</t>
  </si>
  <si>
    <t>AEO.2026.ELECTRNP.PRCE_NA_TRN_NA_LNG_FGT_NA_Y13DLRPMMBTU.A</t>
  </si>
  <si>
    <t>Transportation: Natural Gas Prices: Liquefied: Rail: Freight: Alternative Electricity and Transportation</t>
  </si>
  <si>
    <t>AEO.2026.ELECTRNP.PRCE_NA_TRN_NA_LNG_FLEET_NA_Y13DLRPMMBTU.A</t>
  </si>
  <si>
    <t>Transportation: Natural Gas Prices: Liquefied: Vehicles: Depot: Alternative Electricity and Transportation</t>
  </si>
  <si>
    <t>AEO.2026.ELECTRNP.PRCE_NA_TRN_NA_LNG_PERS_NA_Y13DLRPMMBTU.A</t>
  </si>
  <si>
    <t>Transportation: Natural Gas Prices: Liquefied: Vehicles: Public/Retail: Alternative Electricity and Transportation</t>
  </si>
  <si>
    <t>AEO.2026.ELECTRNP.PRCE_NA_TRN_NA_LNG_LDV_NA_Y13DLRPMMBTU.A</t>
  </si>
  <si>
    <t>Transportation: Natural Gas Prices: Liquefied: Vehicles: Alternative Electricity and Transportation</t>
  </si>
  <si>
    <t>AEO.2026.ELECTRNP.PRCE_NA_TRN_NA_CNG_INTA_NA_Y13DLRPMMBTU.A</t>
  </si>
  <si>
    <t>Transportation: Natural Gas Prices: Compressed: Shipping: International: Alternative Electricity and Transportation</t>
  </si>
  <si>
    <t>AEO.2026.ELECTRNP.PRCE_NA_TRN_NA_CNG_DMS_NA_Y13DLRPMMBTU.A</t>
  </si>
  <si>
    <t>Transportation: Natural Gas Prices: Compressed: Shipping: Domestic: Alternative Electricity and Transportation</t>
  </si>
  <si>
    <t>AEO.2026.ELECTRNP.PRCE_NA_TRN_NA_CNG_SHIP_NA_Y13DLRPMMBTU.A</t>
  </si>
  <si>
    <t>Transportation: Natural Gas Prices: Compressed: Shipping: Alternative Electricity and Transportation</t>
  </si>
  <si>
    <t>AEO.2026.ELECTRNP.PRCE_NA_TRN_NA_CNG_FLEET_NA_Y13DLRPMMBTU.A</t>
  </si>
  <si>
    <t>Transportation: Natural Gas Prices: Compressed: Vehicles: Depot: Alternative Electricity and Transportation</t>
  </si>
  <si>
    <t>AEO.2026.ELECTRNP.PRCE_NA_TRN_NA_CNG_NFLEET_NA_Y13DLRPMMBTU.A</t>
  </si>
  <si>
    <t>Transportation: Natural Gas Prices: Compressed: Vehicles: Public/Retail: Alternative Electricity and Transportation</t>
  </si>
  <si>
    <t>AEO.2026.ELECTRNP.PRCE_NA_TRN_NA_CNG_LDTVHFT_NA_Y13DLRPMMBTU.A</t>
  </si>
  <si>
    <t>Transportation: Natural Gas Prices: Compressed: Vehicles: Alternative Electricity and Transportation</t>
  </si>
  <si>
    <t>Natural Gas Prices (2025 dollars per mmBtu)</t>
  </si>
  <si>
    <t>2025 $/kg</t>
  </si>
  <si>
    <t>AEO.2026.ELECTRNP.PRCE_NA_TRN_NA_HDG_NA_NA_NA.A</t>
  </si>
  <si>
    <t>Transportation: Hydrogen Price: Delivered: Alternative Electricity and Transportation</t>
  </si>
  <si>
    <t>Hydrogen Price (2025 dollars per kg)</t>
  </si>
  <si>
    <t>2025 cents/kWh</t>
  </si>
  <si>
    <t>AEO.2026.ELECTRNP.PRCE_NA_TRN_NA_ELC_CLT_NA_Y13DLRPMMBTU.A</t>
  </si>
  <si>
    <t>Transportation: Electricity Prices: Commercial Light Truck Public/Retail: Alternative Electricity and Transportation</t>
  </si>
  <si>
    <t>Transportation: Electricity Prices: Commercial Light Truck Depot: Alternative Electricity and Transportation</t>
  </si>
  <si>
    <t>AEO.2026.ELECTRNP.PRCE_NA_TRN_NA_ELC_FRTTRK_NA_Y13DLRPMMBTU.A</t>
  </si>
  <si>
    <t>Transportation: Electricity Prices: Freight Truck Public/Retail: Alternative Electricity and Transportation</t>
  </si>
  <si>
    <t>Transportation: Electricity Prices: Freight Truck Depot: Alternative Electricity and Transportation</t>
  </si>
  <si>
    <t>Transportation: Electricity Prices: Freight Truck: Alternative Electricity and Transportation</t>
  </si>
  <si>
    <t>AEO.2026.ELECTRNP.PRCE_NA_TRN_NA_ELC_BUS_NA_Y13DLRPMMBTU.A</t>
  </si>
  <si>
    <t>Transportation: Electricity Prices: Intercity Bus: Alternative Electricity and Transportation</t>
  </si>
  <si>
    <t>Transportation: Electricity Prices: Transit Bus: Alternative Electricity and Transportation</t>
  </si>
  <si>
    <t>Transportation: Electricity Prices: School Bus: Alternative Electricity and Transportation</t>
  </si>
  <si>
    <t>Transportation: Electricity Prices: Bus: Alternative Electricity and Transportation</t>
  </si>
  <si>
    <t>AEO.2026.ELECTRNP.PRCE_NA_TRN_NA_ELC_LDV_NA_Y13DLRPMMBTU.A</t>
  </si>
  <si>
    <t>Transportation: Electricity Prices: Light-Duty Vehicles Public DCFC: Alternative Electricity and Transportation</t>
  </si>
  <si>
    <t>Transportation: Electricity Prices: Light-Duty Vehicles Public Level 2: Alternative Electricity and Transportation</t>
  </si>
  <si>
    <t>Transportation: Electricity Prices: Light-Duty Vehicles Home: Alternative Electricity and Transportation</t>
  </si>
  <si>
    <t>Transportation: Electricity Prices: Light-Duty Vehicles: Alternative Electricity and Transportation</t>
  </si>
  <si>
    <t>AEO.2026.ELECTRNP.PRCE_NA_TRN_NA_ELC_LTRNS_NA_Y13DLRPMMBTU.A</t>
  </si>
  <si>
    <t>Transportation: Electricity Prices: Light Trains: Alternative Electricity and Transportation</t>
  </si>
  <si>
    <t>Electricity Prices (2025 cents per kWh)</t>
  </si>
  <si>
    <t>2025 $/kWh</t>
  </si>
  <si>
    <t>AEO.2026.ELECTRNP.PRCE_NA_TRN_NA_BAT_FRTTRK_NA_13YDKWH.A</t>
  </si>
  <si>
    <t>Transportation: Battery Prices: Freight Truck Gasoline Hybrid Electric: Alternative Electricity and Transportation</t>
  </si>
  <si>
    <t>Transportation: Battery Prices: Freight Truck Class 2b&amp;3: Alternative Electricity and Transportation</t>
  </si>
  <si>
    <t>Transportation: Battery Prices: Freight Truck Class 7&amp;8 Tractor: Alternative Electricity and Transportation</t>
  </si>
  <si>
    <t>Transportation: Battery Prices: Freight Truck Class 6-8 Vocational: Alternative Electricity and Transportation</t>
  </si>
  <si>
    <t>Transportation: Battery Prices: Freight Truck Class 4-5: Alternative Electricity and Transportation</t>
  </si>
  <si>
    <t>2025 $/kWh RPE</t>
  </si>
  <si>
    <t>AEO.2026.ELECTRNP.PRCE_NA_TRN_NA_BAT_LDV_NA_13YDKWH.A</t>
  </si>
  <si>
    <t>Transportation: Battery Prices: Light-Duty Hybrid Electric: Alternative Electricity and Transportation</t>
  </si>
  <si>
    <t>Transportation: Battery Prices: Light-Duty Plug-in Hybrid Electric: Alternative Electricity and Transportation</t>
  </si>
  <si>
    <t>Transportation: Battery Prices: Light-Duty Battery Electric: Alternative Electricity and Transportation</t>
  </si>
  <si>
    <t>Battery Prices (2025 dollars per nominal kWh)</t>
  </si>
  <si>
    <t>AEO.2026.ELECTRNP.CNSM_NA_TRN_NA_USE_NA_NA_MILLBPDYOEQ.A</t>
  </si>
  <si>
    <t>Transportation: Energy Use by Mode: Total: Alternative Electricity and Transportation</t>
  </si>
  <si>
    <t>AEO.2026.ELECTRNP.CNSM_NA_TRN_NA_LQFCT_NA_USA_MILLBPDYOEQ.A</t>
  </si>
  <si>
    <t>Transportation: Energy Use by Mode: Natural Gas for Liquefaction: Alternative Electricity and Transportation</t>
  </si>
  <si>
    <t>AEO.2026.ELECTRNP.CNSM_NA_TRN_PFT_USE_NA_NA_MILLBPDYOEQ.A</t>
  </si>
  <si>
    <t>Transportation: Energy Use by Mode: Pipeline Fuel: Alternative Electricity and Transportation</t>
  </si>
  <si>
    <t>AEO.2026.ELECTRNP.CNSM_NA_TRN_LBC_USE_NA_NA_MILLBPDYOEQ.A</t>
  </si>
  <si>
    <t>Transportation: Energy Use by Mode: Lubricants: Alternative Electricity and Transportation</t>
  </si>
  <si>
    <t>AEO.2026.ELECTRNP.CNSM_NA_TRN_MILU_USE_NA_NA_MILLBPDYOEQ.A</t>
  </si>
  <si>
    <t>Transportation: Energy Use by Mode: Military Use: Alternative Electricity and Transportation</t>
  </si>
  <si>
    <t>AEO.2026.ELECTRNP.CNSM_NA_TRN_AIR_USE_NA_NA_MILLBPDYOEQ.A</t>
  </si>
  <si>
    <t>Transportation: Energy Use by Mode: Air: Alternative Electricity and Transportation</t>
  </si>
  <si>
    <t>AEO.2026.ELECTRNP.CNSM_NA_TRN_RBT_USE_NA_NA_MILLBPDYOEQ.A</t>
  </si>
  <si>
    <t>Transportation: Energy Use by Mode: Recreational Boats: Alternative Electricity and Transportation</t>
  </si>
  <si>
    <t>AEO.2026.ELECTRNP.CNSM_NA_TRN_SHINT_USE_NA_NA_MILLBPDYOEQ.A</t>
  </si>
  <si>
    <t>Transportation: Energy Use by Mode: Shipping, International: Alternative Electricity and Transportation</t>
  </si>
  <si>
    <t xml:space="preserve"> International</t>
  </si>
  <si>
    <t>AEO.2026.ELECTRNP.CNSM_NA_TRN_SHDT_USE_NA_NA_MILLBPDYOEQ.A</t>
  </si>
  <si>
    <t>Transportation: Energy Use by Mode: Shipping, Domestic: Alternative Electricity and Transportation</t>
  </si>
  <si>
    <t xml:space="preserve"> Domestic</t>
  </si>
  <si>
    <t>AEO.2026.ELECTRNP.CNSM_NA_TRN_RLF_USE_NA_NA_MILLBPDYOEQ.A</t>
  </si>
  <si>
    <t>Transportation: Energy Use by Mode: Rail, Freight: Alternative Electricity and Transportation</t>
  </si>
  <si>
    <t xml:space="preserve"> Freight</t>
  </si>
  <si>
    <t>AEO.2026.ELECTRNP.CNSM_NA_TRN_RLP_USE_NA_NA_MILLBPDYOEQ.A</t>
  </si>
  <si>
    <t>Transportation: Energy Use by Mode: Rail, Passenger: Alternative Electricity and Transportation</t>
  </si>
  <si>
    <t xml:space="preserve"> Passenger</t>
  </si>
  <si>
    <t>AEO.2026.ELECTRNP.CNSM_NA_TRN_FGHT_USE_NA_NA_MILLBPDYOEQ.A</t>
  </si>
  <si>
    <t>Transportation: Energy Use by Mode: Freight Trucks: Alternative Electricity and Transportation</t>
  </si>
  <si>
    <t>AEO.2026.ELECTRNP.CNSM_NA_TRN_BST_USE_NA_NA_MILLBPDYOEQ.A</t>
  </si>
  <si>
    <t>Transportation: Energy Use by Mode: Bus Transportation: Alternative Electricity and Transportation</t>
  </si>
  <si>
    <t>AEO.2026.ELECTRNP.CNSM_NA_TRN_CML_USE_NA_NA_MILLBPDYOEQ.A</t>
  </si>
  <si>
    <t>Transportation: Energy Use by Mode: Commercial Light Trucks: Alternative Electricity and Transportation</t>
  </si>
  <si>
    <t>AEO.2026.ELECTRNP.CNSM_NA_TRN_LDV_USE_NA_NA_MILLBPDYOEQ.A</t>
  </si>
  <si>
    <t>Transportation: Energy Use by Mode: Light-Duty Vehicles: Alternative Electricity and Transportation</t>
  </si>
  <si>
    <t>AEO.2026.ELECTRNP.CNSM_NA_TRN_NA_USE_NA_NA_QBTU.A</t>
  </si>
  <si>
    <t>AEO.2026.ELECTRNP.CNSM_NA_TRN_IDEI_LQFCT_NA_USA_QBTU.A</t>
  </si>
  <si>
    <t>AEO.2026.ELECTRNP.CNSM_NA_TRN_PFT_USE_NA_NA_QBTU.A</t>
  </si>
  <si>
    <t>AEO.2026.ELECTRNP.CNSM_NA_TRN_LBC_USE_NA_NA_QBTU.A</t>
  </si>
  <si>
    <t>AEO.2026.ELECTRNP.CNSM_NA_TRN_MILU_USE_NA_NA_QBTU.A</t>
  </si>
  <si>
    <t>AEO.2026.ELECTRNP.CNSM_NA_TRN_AIR_USE_NA_NA_QBTU.A</t>
  </si>
  <si>
    <t>AEO.2026.ELECTRNP.CNSM_NA_TRN_RBT_USE_NA_NA_QBTU.A</t>
  </si>
  <si>
    <t>AEO.2026.ELECTRNP.CNSM_NA_TRN_SHINT_USE_NA_NA_QBTU.A</t>
  </si>
  <si>
    <t>AEO.2026.ELECTRNP.CNSM_NA_TRN_SHDT_USE_NA_NA_QBTU.A</t>
  </si>
  <si>
    <t>AEO.2026.ELECTRNP.CNSM_NA_TRN_RLF_USE_NA_NA_QBTU.A</t>
  </si>
  <si>
    <t>AEO.2026.ELECTRNP.CNSM_NA_TRN_RLP_USE_NA_NA_QBTU.A</t>
  </si>
  <si>
    <t>AEO.2026.ELECTRNP.CNSM_NA_TRN_FGHT_USE_NA_NA_QBTU.A</t>
  </si>
  <si>
    <t>AEO.2026.ELECTRNP.CNSM_NA_TRN_BST_USE_NA_NA_QBTU.A</t>
  </si>
  <si>
    <t>AEO.2026.ELECTRNP.CNSM_NA_TRN_CML_USE_NA_NA_QBTU.A</t>
  </si>
  <si>
    <t>AEO.2026.ELECTRNP.CNSM_NA_TRN_LDV_USE_NA_NA_QBTU.A</t>
  </si>
  <si>
    <t>AEO.2026.ELECTRNP.EFI_NA_TRN_NA_DMT_NA_NA_TONMLPTHBTU.A</t>
  </si>
  <si>
    <t>Transportation: Energy Efficiency Indicators: Domestic Shipping: Alternative Electricity and Transportation</t>
  </si>
  <si>
    <t>AEO.2026.ELECTRNP.EFI_NA_TRN_NA_RAIL_NA_NA_TONMLPTHBTU.A</t>
  </si>
  <si>
    <t>Transportation: Energy Efficiency Indicators: Rail: Alternative Electricity and Transportation</t>
  </si>
  <si>
    <t>AEO.2026.ELECTRNP.EFI_NA_TRN_NA_AIRC_NA_NA_SEATMPG.A</t>
  </si>
  <si>
    <t>Transportation: Energy Efficiency Indicators: Aircraft: Alternative Electricity and Transportation</t>
  </si>
  <si>
    <t>AEO.2026.ELECTRNP.EFI_NA_TRN_HWY_FRTT_STK_NA_MLSPGLN.A</t>
  </si>
  <si>
    <t>Transportation: Energy Efficiency Indicators: Freight Truck: Alternative Electricity and Transportation</t>
  </si>
  <si>
    <t>AEO.2026.ELECTRNP.EFI_NA_TRN_HWY_CLTR_STK_NA_MLSPGLN.A</t>
  </si>
  <si>
    <t>Transportation: Energy Efficiency Indicators: Stock Commercial Light Truck: Alternative Electricity and Transportation</t>
  </si>
  <si>
    <t>AEO.2026.ELECTRNP.EFI_NA_TRN_HWY_CLTR_NEW_NA_MLSPGLN.A</t>
  </si>
  <si>
    <t>Transportation: Energy Efficiency Indicators: New Commercial Light Truck: Alternative Electricity and Transportation</t>
  </si>
  <si>
    <t>AEO.2026.ELECTRNP.EFI_CAFEO_TRN_HWY_LDTY_STK_NA_MLSPGLN.A</t>
  </si>
  <si>
    <t>Transportation: Energy Efficiency Indicators: Light-Duty Stock: Alternative Electricity and Transportation</t>
  </si>
  <si>
    <t>AEO.2026.ELECTRNP.EFI_CAFEO_TRN_HWY_LTRT_NEW_NA_MLSPGLN.A</t>
  </si>
  <si>
    <t>Transportation: Energy Efficiency Indicators: On-Road New Light Truck: Alternative Electricity and Transportation</t>
  </si>
  <si>
    <t>AEO.2026.ELECTRNP.EFI_CAFEO_TRN_HWY_CAR_NEW_NA_MLSPGLN.A</t>
  </si>
  <si>
    <t>Transportation: Energy Efficiency Indicators: On-Road New Car: Alternative Electricity and Transportation</t>
  </si>
  <si>
    <t>AEO.2026.ELECTRNP.EFI_CAFEO_TRN_HWY_LDTY_NEW_NA_MLSPGLN.A</t>
  </si>
  <si>
    <t>Transportation: Energy Efficiency Indicators: On-Road New Light-Duty Vehicle: Alternative Electricity and Transportation</t>
  </si>
  <si>
    <t>AEO.2026.ELECTRNP.EFI_CAFET_TRN_HWY_LTRT_NEW_NA_MLSPGLN.A</t>
  </si>
  <si>
    <t>Transportation: Energy Efficiency Indicators: Tested: New Light Truck: Alternative Electricity and Transportation</t>
  </si>
  <si>
    <t>AEO.2026.ELECTRNP.EFI_CAFET_TRN_HWY_CAR_NEW_NA_MLSPGLN.A</t>
  </si>
  <si>
    <t>Transportation: Energy Efficiency Indicators: Tested: New Car: Alternative Electricity and Transportation</t>
  </si>
  <si>
    <t>AEO.2026.ELECTRNP.EFI_CAFET_TRN_HWY_LDTY_NEW_NA_MLSPGLN.A</t>
  </si>
  <si>
    <t>Transportation: Energy Efficiency Indicators: Tested: New Light-Duty Vehicle: Alternative Electricity and Transportation</t>
  </si>
  <si>
    <t>AEO.2026.ELECTRNP.EFI_CAFEC_TRN_HWY_LTRT_NEW_NA_MLSPGLN.A</t>
  </si>
  <si>
    <t>Transportation: Energy Efficiency Indicators: Compliance: New Light Truck: Alternative Electricity and Transportation</t>
  </si>
  <si>
    <t>AEO.2026.ELECTRNP.EFI_CAFEC_TRN_HWY_CAR_NEW_NA_MLSPGLN.A</t>
  </si>
  <si>
    <t>Transportation: Energy Efficiency Indicators: Compliance: New Car: Alternative Electricity and Transportation</t>
  </si>
  <si>
    <t>AEO.2026.ELECTRNP.EFI_CAFEC_TRN_HWY_LDTY_NEW_NA_MLSPGLN.A</t>
  </si>
  <si>
    <t>Transportation: Energy Efficiency Indicators: Compliance: New Light-Duty Vehicle: Alternative Electricity and Transportation</t>
  </si>
  <si>
    <t>AEO.2026.ELECTRNP.EFI_CAFES_TRN_HWY_LTRT_NEW_NA_MLSPGLN.A</t>
  </si>
  <si>
    <t>Transportation: Energy Efficiency Indicators: CAFE Standard: New Light Truck: Alternative Electricity and Transportation</t>
  </si>
  <si>
    <t>AEO.2026.ELECTRNP.EFI_CAFES_TRN_HWY_CAR_NEW_NA_MLSPGLN.A</t>
  </si>
  <si>
    <t>Transportation: Energy Efficiency Indicators: CAFE Standard: New Car: Alternative Electricity and Transportation</t>
  </si>
  <si>
    <t>AEO.2026.ELECTRNP.EFI_CAFES_TRN_HWY_LDTY_NEW_NA_MLSPGLN.A</t>
  </si>
  <si>
    <t>Transportation: Energy Efficiency Indicators: CAFE Standard: New Light-Duty Vehicle: Alternative Electricity and Transportation</t>
  </si>
  <si>
    <t>AEO.2026.ELECTRNP.KEI_TRV_TRN_NA_DMT_NA_NA_BLNTNMLS.A</t>
  </si>
  <si>
    <t>Transportation: Travel Indicators: Domestic Shipping: Alternative Electricity and Transportation</t>
  </si>
  <si>
    <t>AEO.2026.ELECTRNP.KEI_TRV_TRN_NA_RAIL_NA_NA_BLNTNMLS.A</t>
  </si>
  <si>
    <t>Transportation: Travel Indicators: Rail: Alternative Electricity and Transportation</t>
  </si>
  <si>
    <t>AEO.2026.ELECTRNP.KEI_TRV_TRN_NA_AIR_NA_NA_BLNSEATMLS.A</t>
  </si>
  <si>
    <t>Transportation: Travel Indicators: Air: Alternative Electricity and Transportation</t>
  </si>
  <si>
    <t>AEO.2026.ELECTRNP.KEI_TRV_TRN_NA_RLP_NA_NA_BPM.A</t>
  </si>
  <si>
    <t>Transportation: Travel Indicators: Passenger Rail: Alternative Electricity and Transportation</t>
  </si>
  <si>
    <t>AEO.2026.ELECTRNP.KEI_TRV_TRN_NA_BST_NA_NA_BPM.A</t>
  </si>
  <si>
    <t>Transportation: Travel Indicators: Bus: Alternative Electricity and Transportation</t>
  </si>
  <si>
    <t>AEO.2026.ELECTRNP.KEI_TRV_TRN_NA_FGHT_NA_NA_BLNVEHMLS.A</t>
  </si>
  <si>
    <t>Transportation: Travel Indicators: Freight Trucks &gt; 10,000 lbs.: Alternative Electricity and Transportation</t>
  </si>
  <si>
    <t>000 pounds</t>
  </si>
  <si>
    <t>AEO.2026.ELECTRNP.KEI_TRV_TRN_NA_CML_NA_NA_BLNVEHMLS.A</t>
  </si>
  <si>
    <t>Transportation: Travel Indicators: Commercial Light Trucks: Alternative Electricity and Transportation</t>
  </si>
  <si>
    <t>AEO.2026.ELECTRNP.KEI_TRV_TRN_NA_LDV_NA_NA_BLNVEHMLS.A</t>
  </si>
  <si>
    <t>Transportation: Travel Indicators: Light-Duty Vehicles &lt;= 8,500 lbs: Alternative Electricity and Transportation</t>
  </si>
  <si>
    <t>501 pounds</t>
  </si>
  <si>
    <t>Thu Apr 23 2026 14:58:03 GMT-0700 (Pacific Daylight Time)</t>
  </si>
  <si>
    <t>https://www.eia.gov/outlooks/aeo/data/browser/#/?id=7-AEO2026&amp;cases=electrnp&amp;sourcekey=0</t>
  </si>
  <si>
    <t>AEO.2026.ELECTRNP.ECI_VMT_NA_CLTR_NA_NA_NA_BLNMLS.A</t>
  </si>
  <si>
    <t>Fleet Vehicle Miles Traveled: Commercial Light Trucks: Total: Alternative Electricity and Transportation</t>
  </si>
  <si>
    <t>AEO.2026.ELECTRNP.ECI_VMT_NA_CLTR_HYDICE_NA_NA_BLNMLS.A</t>
  </si>
  <si>
    <t>Fleet Vehicle Miles Traveled: Commercial Light Trucks: Hydrogen ICE: Alternative Electricity and Transportation</t>
  </si>
  <si>
    <t>AEO.2026.ELECTRNP.ECI_VMT_NA_CLTR_GASHEV_NA_NA_BLNMLS.A</t>
  </si>
  <si>
    <t>Fleet Vehicle Miles Traveled: Commercial Light Trucks: Gasoline Hybrid: Alternative Electricity and Transportation</t>
  </si>
  <si>
    <t>AEO.2026.ELECTRNP.ECI_VMT_NA_CLTR_FEUCELBATDOM_NA_NA_BLNMLS.A</t>
  </si>
  <si>
    <t>Fleet Vehicle Miles Traveled: Commercial Light Trucks: Fuel Cell Battery Dominant: Alternative Electricity and Transportation</t>
  </si>
  <si>
    <t>AEO.2026.ELECTRNP.ECI_VMT_NA_CLTR_FUC_NA_NA_BLNMLS.A</t>
  </si>
  <si>
    <t>Fleet Vehicle Miles Traveled: Commercial Light Trucks: Fuel Cell: Alternative Electricity and Transportation</t>
  </si>
  <si>
    <t>AEO.2026.ELECTRNP.ECI_VMT_NA_CLTR_EDH_NA_NA_BLNMLS.A</t>
  </si>
  <si>
    <t>Fleet Vehicle Miles Traveled: Commercial Light Trucks: Plug-in Diesel: Alternative Electricity and Transportation</t>
  </si>
  <si>
    <t>AEO.2026.ELECTRNP.ECI_VMT_NA_CLTR_EGH_NA_NA_BLNMLS.A</t>
  </si>
  <si>
    <t>Fleet Vehicle Miles Traveled: Commercial Light Trucks: Plug-in Gas: Alternative Electricity and Transportation</t>
  </si>
  <si>
    <t>AEO.2026.ELECTRNP.ECI_VMT_NA_CLTR_ELE_NA_NA_BLNMLS.A</t>
  </si>
  <si>
    <t>Fleet Vehicle Miles Traveled: Commercial Light Trucks: Electric: Alternative Electricity and Transportation</t>
  </si>
  <si>
    <t>AEO.2026.ELECTRNP.ECI_VMT_NA_CLTR_EFFI_NA_NA_BLNMLS.A</t>
  </si>
  <si>
    <t>Fleet Vehicle Miles Traveled: Commercial Light Trucks: Ethanol Flex: Alternative Electricity and Transportation</t>
  </si>
  <si>
    <t>AEO.2026.ELECTRNP.ECI_VMT_NA_CLTR_NG_NA_NA_BLNMLS.A</t>
  </si>
  <si>
    <t>Fleet Vehicle Miles Traveled: Commercial Light Trucks: CNG/LNG: Alternative Electricity and Transportation</t>
  </si>
  <si>
    <t>AEO.2026.ELECTRNP.ECI_VMT_NA_CLTR_PROP_NA_NA_BLNMLS.A</t>
  </si>
  <si>
    <t>Fleet Vehicle Miles Traveled: Commercial Light Trucks: Propane: Alternative Electricity and Transportation</t>
  </si>
  <si>
    <t>AEO.2026.ELECTRNP.ECI_VMT_NA_CLTR_TDS_NA_NA_BLNMLS.A</t>
  </si>
  <si>
    <t>Fleet Vehicle Miles Traveled: Commercial Light Trucks: TDI Diesel: Alternative Electricity and Transportation</t>
  </si>
  <si>
    <t>AEO.2026.ELECTRNP.ECI_VMT_NA_CLTR_GSL_NA_NA_BLNMLS.A</t>
  </si>
  <si>
    <t>Fleet Vehicle Miles Traveled: Commercial Light Trucks: Gasoline: Alternative Electricity and Transportation</t>
  </si>
  <si>
    <t>AEO.2026.ELECTRNP.ECI_VMT_NA_NA_NA_NA_NA_BLNMLS.A</t>
  </si>
  <si>
    <t>Fleet Vehicle Miles Traveled: Total Fleet Vehicles: Alternative Electricity and Transportation</t>
  </si>
  <si>
    <t>AEO.2026.ELECTRNP.ECI_VMT_NA_FLTR_NA_NA_NA_BLNMLS.A</t>
  </si>
  <si>
    <t>Fleet Vehicle Miles Traveled: Light Trucks: Total: Alternative Electricity and Transportation</t>
  </si>
  <si>
    <t>AEO.2026.ELECTRNP.ECI_VMT_ALF1_FLTR_NA_NA_NA_BLNMLS.A</t>
  </si>
  <si>
    <t>Fleet Vehicle Miles Traveled: Alternative-Fuel Light Trucks: Total: Alternative Electricity and Transportation</t>
  </si>
  <si>
    <t>AEO.2026.ELECTRNP.ECI_VMT_ALF1_FLTR_FCH_NA_NA_BLNMLS.A</t>
  </si>
  <si>
    <t>Fleet Vehicle Miles Traveled: Alternative-Fuel Light Trucks: Fuel Cell Hydrogen: Alternative Electricity and Transportation</t>
  </si>
  <si>
    <t>AEO.2026.ELECTRNP.ECI_VMT_ALF1_FLTR_EGH_NA_NA_BLNMLS.A</t>
  </si>
  <si>
    <t>Fleet Vehicle Miles Traveled: Alternative-Fuel Light Trucks: Electric-Gasoline Hybrid: Alternative Electricity and Transportation</t>
  </si>
  <si>
    <t>AEO.2026.ELECTRNP.ECI_VMT_ALF1_FLTR_PI50GH_NA_NA_BLNMLS.A</t>
  </si>
  <si>
    <t>Fleet Vehicle Miles Traveled: Alternative-Fuel Light Trucks: Plug-in 50 Gasoline Hybrid: Alternative Electricity and Transportation</t>
  </si>
  <si>
    <t>AEO.2026.ELECTRNP.ECI_VMT_ALF1_FLTR_PI20GH_NA_NA_BLNMLS.A</t>
  </si>
  <si>
    <t>Fleet Vehicle Miles Traveled: Alternative-Fuel Light Trucks: Plug-in 20 Gasoline Hybrid: Alternative Electricity and Transportation</t>
  </si>
  <si>
    <t>AEO.2026.ELECTRNP.ECI_VMT_ALF1_FLTR_300MIEV_NA_NA_BLNMLS.A</t>
  </si>
  <si>
    <t>Fleet Vehicle Miles Traveled: Alternative-Fuel Light Trucks: 300-Mile Electric Vehicle: Alternative Electricity and Transportation</t>
  </si>
  <si>
    <t>AEO.2026.ELECTRNP.ECI_VMT_ALF1_FLTR_200MIEV_NA_NA_BLNMLS.A</t>
  </si>
  <si>
    <t>Fleet Vehicle Miles Traveled: Alternative-Fuel Light Trucks: 200-Mile Electric Vehicle: Alternative Electricity and Transportation</t>
  </si>
  <si>
    <t>AEO.2026.ELECTRNP.ECI_VMT_ALF1_FLTR_100MIEV_NA_NA_BLNMLS.A</t>
  </si>
  <si>
    <t>Fleet Vehicle Miles Traveled: Alternative-Fuel Light Trucks: 100-Mile Electric Vehicle: Alternative Electricity and Transportation</t>
  </si>
  <si>
    <t>AEO.2026.ELECTRNP.ECI_VMT_ALF1_FLTR_EFFI_NA_NA_BLNMLS.A</t>
  </si>
  <si>
    <t>Fleet Vehicle Miles Traveled: Alternative-Fuel Light Trucks: Ethanol-Flex Fuel ICE: Alternative Electricity and Transportation</t>
  </si>
  <si>
    <t>AEO.2026.ELECTRNP.ECI_VMT_CNV_FLTR_NA_NA_NA_BLNMLS.A</t>
  </si>
  <si>
    <t>Fleet Vehicle Miles Traveled: Conventional Light Trucks: Total: Alternative Electricity and Transportation</t>
  </si>
  <si>
    <t>AEO.2026.ELECTRNP.ECI_VMT_CNV_FLTR_TDS_NA_NA_BLNMLS.A</t>
  </si>
  <si>
    <t>Fleet Vehicle Miles Traveled: Conventional Light Trucks: TDI Diesel: Alternative Electricity and Transportation</t>
  </si>
  <si>
    <t>AEO.2026.ELECTRNP.ECI_VMT_CNV_FLTR_GSL_NA_NA_BLNMLS.A</t>
  </si>
  <si>
    <t>Fleet Vehicle Miles Traveled: Conventional Light Trucks: Gasoline: Alternative Electricity and Transportation</t>
  </si>
  <si>
    <t>AEO.2026.ELECTRNP.ECI_VMT_NA_FLC_NA_NA_NA_BLNMLS.A</t>
  </si>
  <si>
    <t>Fleet Vehicle Miles Traveled: Cars: Total: Alternative Electricity and Transportation</t>
  </si>
  <si>
    <t>AEO.2026.ELECTRNP.ECI_VMT_ALF1_FLC_NA_NA_NA_BLNMLS.A</t>
  </si>
  <si>
    <t>Fleet Vehicle Miles Traveled: Alternative-Fuel Cars: Total: Alternative Electricity and Transportation</t>
  </si>
  <si>
    <t>AEO.2026.ELECTRNP.ECI_VMT_ALF1_FLC_FCH_NA_NA_BLNMLS.A</t>
  </si>
  <si>
    <t>Fleet Vehicle Miles Traveled: Alternative-Fuel Cars: Fuel Cell Hydrogen: Alternative Electricity and Transportation</t>
  </si>
  <si>
    <t>AEO.2026.ELECTRNP.ECI_VMT_ALF1_FLC_EGH_NA_NA_BLNMLS.A</t>
  </si>
  <si>
    <t>Fleet Vehicle Miles Traveled: Alternative-Fuel Cars: Electric-Gasoline Hybrid: Alternative Electricity and Transportation</t>
  </si>
  <si>
    <t>AEO.2026.ELECTRNP.ECI_VMT_ALF1_FLC_PI50GH_NA_NA_BLNMLS.A</t>
  </si>
  <si>
    <t>Fleet Vehicle Miles Traveled: Alternative-Fuel Cars: Plug-in 50 Gasoline Hybrid: Alternative Electricity and Transportation</t>
  </si>
  <si>
    <t>AEO.2026.ELECTRNP.ECI_VMT_ALF1_FLC_PI20GH_NA_NA_BLNMLS.A</t>
  </si>
  <si>
    <t>Fleet Vehicle Miles Traveled: Alternative-Fuel Cars: Plug-in 20 Gasoline Hybrid: Alternative Electricity and Transportation</t>
  </si>
  <si>
    <t>AEO.2026.ELECTRNP.ECI_VMT_ALF1_FLC_300MIEV_NA_NA_BLNMLS.A</t>
  </si>
  <si>
    <t>Fleet Vehicle Miles Traveled: Alternative-Fuel Cars: 300-Mile Electric Vehicle: Alternative Electricity and Transportation</t>
  </si>
  <si>
    <t>AEO.2026.ELECTRNP.ECI_VMT_ALF1_FLC_200MIEV_NA_NA_BLNMLS.A</t>
  </si>
  <si>
    <t>Fleet Vehicle Miles Traveled: Alternative-Fuel Cars: 200-Mile Electric Vehicle: Alternative Electricity and Transportation</t>
  </si>
  <si>
    <t>AEO.2026.ELECTRNP.ECI_VMT_ALF1_FLC_100MIEV_NA_NA_BLNMLS.A</t>
  </si>
  <si>
    <t>Fleet Vehicle Miles Traveled: Alternative-Fuel Cars: 100-Mile Electric Vehicle: Alternative Electricity and Transportation</t>
  </si>
  <si>
    <t>AEO.2026.ELECTRNP.ECI_VMT_ALF1_FLC_EFFI_NA_NA_BLNMLS.A</t>
  </si>
  <si>
    <t>Fleet Vehicle Miles Traveled: Alternative-Fuel Cars: Ethanol-Flex Fuel ICE: Alternative Electricity and Transportation</t>
  </si>
  <si>
    <t>AEO.2026.ELECTRNP.ECI_VMT_CNV_FLC_NA_NA_NA_BLNMLS.A</t>
  </si>
  <si>
    <t>Fleet Vehicle Miles Traveled: Conventional Cars: Total: Alternative Electricity and Transportation</t>
  </si>
  <si>
    <t>AEO.2026.ELECTRNP.ECI_VMT_CNV_FLC_TDS_NA_NA_BLNMLS.A</t>
  </si>
  <si>
    <t>Fleet Vehicle Miles Traveled: Conventional Cars: TDI Diesel: Alternative Electricity and Transportation</t>
  </si>
  <si>
    <t>AEO.2026.ELECTRNP.ECI_VMT_CNV_FLC_GSL_NA_NA_BLNMLS.A</t>
  </si>
  <si>
    <t>Fleet Vehicle Miles Traveled: Conventional Cars: Gasoline: Alternative Electricity and Transportation</t>
  </si>
  <si>
    <t>Thu Apr 23 2026 15:05:10 GMT-0700 (Pacific Daylight Time)</t>
  </si>
  <si>
    <t>https://www.eia.gov/outlooks/aeo/data/browser/#/?id=56-AEO2026&amp;cases=electrnp&amp;sourcekey=0</t>
  </si>
  <si>
    <t>commercial truck energy</t>
  </si>
  <si>
    <t>light duty freight energy</t>
  </si>
  <si>
    <t>medium duty freight energy</t>
  </si>
  <si>
    <t>PASSENGER HDV</t>
  </si>
  <si>
    <t>FRIGT fuel</t>
  </si>
  <si>
    <t>Inventory of U.S. Greenhouse Gas Emissions and Sinks: 1990-2021 and Annex</t>
  </si>
  <si>
    <t>The 'BAADTbVT-passenger' copy tab was refreshed from the BAADTbVT workbook, where the motorbike</t>
  </si>
  <si>
    <t>distance was corrected from 8,797 to 2,401 mi/vehicle (FHWA VM-1 2024 activity replacing an old x5</t>
  </si>
  <si>
    <t>calibration multiplier - see that workbook's About tab). Motorbike fuel economy on the calcs tab</t>
  </si>
  <si>
    <t>(row 79) is derived as stock x distance x load / AEO 2026 Table 35 motorcycle energy, so it scales</t>
  </si>
  <si>
    <t>down with the distance (gasoline: 0.00182 -&gt; ~0.00050 passenger-miles/BTU, ~47 mpg-equivalent,</t>
  </si>
  <si>
    <t>consistent with FHWA VM-1's 44 mpg) and total motorbike fuel use is unchanged by construction.</t>
  </si>
  <si>
    <t>The copy tab's passenger LDV 2024 value was also synced to the AEO 2025-&gt;2026 seam fix (10,411;</t>
  </si>
  <si>
    <t>not referenced by any formula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</si>
</sst>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quot;(R)&quot;\ #,##0;&quot;(R) -&quot;#,##0;&quot;(R) &quot;\ 0"/>
    <numFmt numFmtId="169" formatCode="0.000"/>
    <numFmt numFmtId="170" formatCode="0.0000E+00"/>
    <numFmt numFmtId="171" formatCode="0.0"/>
    <numFmt numFmtId="172" formatCode="#,##0.000"/>
    <numFmt numFmtId="173" formatCode="_(* #,##0_);_(* \(#,##0\);_(* &quot;-&quot;??_);_(@_)"/>
    <numFmt numFmtId="174" formatCode="000#"/>
    <numFmt numFmtId="175" formatCode="0000#"/>
    <numFmt numFmtId="176" formatCode="_(* #,##0.0_);_(* \(#,##0.0\);_(* &quot;-&quot;??_);_(@_)"/>
    <numFmt numFmtId="177" formatCode="_(* #,##0.0000000_);_(* \(#,##0.0000000\);_(* &quot;-&quot;??_);_(@_)"/>
  </numFmts>
  <fonts count="80">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vertAlign val="superscript"/>
      <sz val="11"/>
      <name val="Arial Narrow"/>
      <family val="2"/>
    </font>
    <font>
      <b/>
      <sz val="11"/>
      <name val="Arial Narrow"/>
      <family val="2"/>
    </font>
    <font>
      <b/>
      <vertAlign val="superscript"/>
      <sz val="11"/>
      <name val="Arial Narrow"/>
      <family val="2"/>
    </font>
    <font>
      <sz val="12"/>
      <name val="Arial"/>
      <family val="2"/>
    </font>
    <font>
      <b/>
      <sz val="12"/>
      <name val="Arial"/>
      <family val="2"/>
    </font>
    <font>
      <u/>
      <sz val="11"/>
      <color theme="1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Calibri"/>
      <family val="2"/>
    </font>
    <font>
      <b/>
      <i/>
      <sz val="11"/>
      <color theme="1"/>
      <name val="Calibri"/>
      <family val="2"/>
      <scheme val="minor"/>
    </font>
    <font>
      <b/>
      <sz val="8"/>
      <color theme="0"/>
      <name val="Arial"/>
      <family val="2"/>
    </font>
    <font>
      <sz val="8"/>
      <color theme="1"/>
      <name val="Arial"/>
      <family val="2"/>
    </font>
    <font>
      <b/>
      <sz val="8"/>
      <name val="Arial"/>
      <family val="2"/>
    </font>
    <font>
      <b/>
      <sz val="11"/>
      <color rgb="FF403F41"/>
      <name val="Calibri"/>
      <family val="2"/>
      <scheme val="minor"/>
    </font>
    <font>
      <sz val="11"/>
      <color rgb="FF403F41"/>
      <name val="Calibri"/>
      <family val="2"/>
      <scheme val="minor"/>
    </font>
    <font>
      <sz val="10"/>
      <color indexed="8"/>
      <name val="Arial"/>
      <family val="2"/>
    </font>
    <font>
      <b/>
      <sz val="12"/>
      <name val="Calibri"/>
      <family val="2"/>
    </font>
    <font>
      <b/>
      <sz val="9"/>
      <name val="Calibri"/>
      <family val="2"/>
    </font>
    <font>
      <b/>
      <sz val="16"/>
      <color theme="1"/>
      <name val="Calibri"/>
      <family val="2"/>
      <scheme val="minor"/>
    </font>
  </fonts>
  <fills count="81">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theme="9"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rgb="FFFFCC66"/>
        <bgColor indexed="64"/>
      </patternFill>
    </fill>
    <fill>
      <patternFill patternType="solid">
        <fgColor theme="3"/>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FF00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theme="6"/>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2"/>
        <bgColor indexed="64"/>
      </patternFill>
    </fill>
    <fill>
      <patternFill patternType="solid">
        <fgColor theme="6" tint="0.79998168889431442"/>
        <bgColor indexed="64"/>
      </patternFill>
    </fill>
  </fills>
  <borders count="31">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auto="1"/>
      </left>
      <right/>
      <top/>
      <bottom/>
      <diagonal/>
    </border>
  </borders>
  <cellStyleXfs count="205">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21" borderId="0" applyNumberFormat="0" applyBorder="0" applyAlignment="0" applyProtection="0"/>
    <xf numFmtId="0" fontId="10" fillId="5" borderId="0" applyNumberFormat="0" applyBorder="0" applyAlignment="0" applyProtection="0"/>
    <xf numFmtId="0" fontId="3" fillId="0" borderId="4" applyNumberFormat="0" applyFont="0" applyProtection="0">
      <alignment wrapText="1"/>
    </xf>
    <xf numFmtId="0" fontId="11" fillId="22" borderId="6" applyNumberFormat="0" applyAlignment="0" applyProtection="0"/>
    <xf numFmtId="0" fontId="12" fillId="23" borderId="7" applyNumberFormat="0" applyAlignment="0" applyProtection="0"/>
    <xf numFmtId="0" fontId="13" fillId="0" borderId="0">
      <alignment horizontal="center" vertical="center" wrapText="1"/>
    </xf>
    <xf numFmtId="43" fontId="14"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166" fontId="16" fillId="0" borderId="8" applyNumberFormat="0" applyFill="0">
      <alignment horizontal="right"/>
    </xf>
    <xf numFmtId="166" fontId="17" fillId="0" borderId="8" applyNumberFormat="0" applyFill="0">
      <alignment horizontal="right"/>
    </xf>
    <xf numFmtId="167" fontId="18" fillId="0" borderId="8">
      <alignment horizontal="right" vertical="center"/>
    </xf>
    <xf numFmtId="49" fontId="19" fillId="0" borderId="8">
      <alignment horizontal="left" vertical="center"/>
    </xf>
    <xf numFmtId="166" fontId="16" fillId="0" borderId="8" applyNumberFormat="0" applyFill="0">
      <alignment horizontal="right"/>
    </xf>
    <xf numFmtId="0" fontId="20"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1" fillId="6" borderId="0" applyNumberFormat="0" applyBorder="0" applyAlignment="0" applyProtection="0"/>
    <xf numFmtId="0" fontId="5" fillId="0" borderId="5" applyNumberFormat="0" applyProtection="0">
      <alignment wrapText="1"/>
    </xf>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pplyNumberFormat="0" applyFill="0" applyBorder="0" applyAlignment="0" applyProtection="0">
      <alignment vertical="top"/>
      <protection locked="0"/>
    </xf>
    <xf numFmtId="0" fontId="30" fillId="9" borderId="6" applyNumberFormat="0" applyAlignment="0" applyProtection="0"/>
    <xf numFmtId="0" fontId="31" fillId="0" borderId="14" applyNumberFormat="0" applyFill="0" applyAlignment="0" applyProtection="0"/>
    <xf numFmtId="0" fontId="32" fillId="25" borderId="0" applyNumberFormat="0" applyBorder="0" applyAlignment="0" applyProtection="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applyNumberFormat="0" applyFont="0" applyAlignment="0" applyProtection="0"/>
    <xf numFmtId="0" fontId="14" fillId="26" borderId="15" applyNumberFormat="0" applyFont="0" applyAlignment="0" applyProtection="0"/>
    <xf numFmtId="0" fontId="34"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66" fontId="18" fillId="0" borderId="0" applyNumberFormat="0">
      <alignment horizontal="right"/>
    </xf>
    <xf numFmtId="0" fontId="27" fillId="27" borderId="0">
      <alignment horizontal="centerContinuous" vertical="center" wrapText="1"/>
    </xf>
    <xf numFmtId="0" fontId="27" fillId="0" borderId="17">
      <alignment horizontal="left" vertical="center"/>
    </xf>
    <xf numFmtId="0" fontId="7" fillId="0" borderId="0" applyNumberFormat="0" applyProtection="0">
      <alignment horizontal="left"/>
    </xf>
    <xf numFmtId="0" fontId="38" fillId="0" borderId="0" applyNumberFormat="0" applyFill="0" applyBorder="0" applyAlignment="0" applyProtection="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applyNumberFormat="0" applyFill="0" applyAlignment="0" applyProtection="0"/>
    <xf numFmtId="0" fontId="41" fillId="0" borderId="0" applyNumberFormat="0" applyFill="0" applyBorder="0" applyAlignment="0" applyProtection="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0" fontId="53"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54" fillId="0" borderId="0" applyNumberFormat="0" applyFill="0" applyBorder="0" applyAlignment="0" applyProtection="0"/>
    <xf numFmtId="0" fontId="55" fillId="0" borderId="22" applyNumberFormat="0" applyFill="0" applyAlignment="0" applyProtection="0"/>
    <xf numFmtId="0" fontId="56" fillId="0" borderId="23" applyNumberFormat="0" applyFill="0" applyAlignment="0" applyProtection="0"/>
    <xf numFmtId="0" fontId="57" fillId="0" borderId="24" applyNumberFormat="0" applyFill="0" applyAlignment="0" applyProtection="0"/>
    <xf numFmtId="0" fontId="57" fillId="0" borderId="0" applyNumberFormat="0" applyFill="0" applyBorder="0" applyAlignment="0" applyProtection="0"/>
    <xf numFmtId="0" fontId="1" fillId="2" borderId="1" applyNumberFormat="0" applyFont="0" applyAlignment="0" applyProtection="0"/>
    <xf numFmtId="0" fontId="58" fillId="34" borderId="0" applyNumberFormat="0" applyBorder="0" applyAlignment="0" applyProtection="0"/>
    <xf numFmtId="0" fontId="59" fillId="35" borderId="0" applyNumberFormat="0" applyBorder="0" applyAlignment="0" applyProtection="0"/>
    <xf numFmtId="0" fontId="60" fillId="36" borderId="0" applyNumberFormat="0" applyBorder="0" applyAlignment="0" applyProtection="0"/>
    <xf numFmtId="0" fontId="61" fillId="37" borderId="25" applyNumberFormat="0" applyAlignment="0" applyProtection="0"/>
    <xf numFmtId="0" fontId="62" fillId="38" borderId="26" applyNumberFormat="0" applyAlignment="0" applyProtection="0"/>
    <xf numFmtId="0" fontId="63" fillId="38" borderId="25" applyNumberFormat="0" applyAlignment="0" applyProtection="0"/>
    <xf numFmtId="0" fontId="64" fillId="0" borderId="27" applyNumberFormat="0" applyFill="0" applyAlignment="0" applyProtection="0"/>
    <xf numFmtId="0" fontId="65" fillId="39" borderId="28" applyNumberFormat="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2" fillId="0" borderId="29" applyNumberFormat="0" applyFill="0" applyAlignment="0" applyProtection="0"/>
    <xf numFmtId="0" fontId="68"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68" fillId="43" borderId="0" applyNumberFormat="0" applyBorder="0" applyAlignment="0" applyProtection="0"/>
    <xf numFmtId="0" fontId="68"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68" fillId="47" borderId="0" applyNumberFormat="0" applyBorder="0" applyAlignment="0" applyProtection="0"/>
    <xf numFmtId="0" fontId="68" fillId="48"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68" fillId="51" borderId="0" applyNumberFormat="0" applyBorder="0" applyAlignment="0" applyProtection="0"/>
    <xf numFmtId="0" fontId="68"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68" fillId="55" borderId="0" applyNumberFormat="0" applyBorder="0" applyAlignment="0" applyProtection="0"/>
    <xf numFmtId="0" fontId="68" fillId="56"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68" fillId="59" borderId="0" applyNumberFormat="0" applyBorder="0" applyAlignment="0" applyProtection="0"/>
    <xf numFmtId="0" fontId="68" fillId="60" borderId="0" applyNumberFormat="0" applyBorder="0" applyAlignment="0" applyProtection="0"/>
    <xf numFmtId="0" fontId="1" fillId="61" borderId="0" applyNumberFormat="0" applyBorder="0" applyAlignment="0" applyProtection="0"/>
    <xf numFmtId="0" fontId="1" fillId="62" borderId="0" applyNumberFormat="0" applyBorder="0" applyAlignment="0" applyProtection="0"/>
    <xf numFmtId="0" fontId="68" fillId="63" borderId="0" applyNumberFormat="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4" fillId="0" borderId="0"/>
    <xf numFmtId="0" fontId="1" fillId="0" borderId="0"/>
  </cellStyleXfs>
  <cellXfs count="242">
    <xf numFmtId="0" fontId="0" fillId="0" borderId="0" xfId="0"/>
    <xf numFmtId="0" fontId="2" fillId="0" borderId="0" xfId="0" applyFont="1"/>
    <xf numFmtId="0" fontId="2" fillId="3" borderId="0" xfId="0" applyFont="1" applyFill="1"/>
    <xf numFmtId="0" fontId="0" fillId="3" borderId="0" xfId="0" applyFill="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Fill="1" applyBorder="1" applyAlignment="1">
      <alignment horizontal="left" indent="1"/>
    </xf>
    <xf numFmtId="3" fontId="47" fillId="0" borderId="0" xfId="50" applyNumberFormat="1" applyFont="1" applyFill="1" applyBorder="1" applyAlignment="1">
      <alignment horizontal="left" vertical="top" indent="1"/>
    </xf>
    <xf numFmtId="3" fontId="49" fillId="0" borderId="0" xfId="50" applyNumberFormat="1" applyFont="1" applyFill="1" applyBorder="1" applyAlignment="1">
      <alignment horizontal="left"/>
    </xf>
    <xf numFmtId="169" fontId="0" fillId="0" borderId="0" xfId="0" applyNumberFormat="1"/>
    <xf numFmtId="0" fontId="0" fillId="0" borderId="0" xfId="0" applyAlignment="1">
      <alignment horizontal="right"/>
    </xf>
    <xf numFmtId="0" fontId="2" fillId="28" borderId="0" xfId="0" applyFont="1" applyFill="1"/>
    <xf numFmtId="0" fontId="0" fillId="28" borderId="0" xfId="0" applyFill="1"/>
    <xf numFmtId="0" fontId="6" fillId="0" borderId="0" xfId="0" applyFont="1"/>
    <xf numFmtId="9" fontId="0" fillId="0" borderId="0" xfId="0" applyNumberFormat="1"/>
    <xf numFmtId="164" fontId="0" fillId="0" borderId="0" xfId="0" applyNumberFormat="1"/>
    <xf numFmtId="0" fontId="53" fillId="0" borderId="0" xfId="153"/>
    <xf numFmtId="0" fontId="2" fillId="29" borderId="0" xfId="0" applyFont="1" applyFill="1"/>
    <xf numFmtId="0" fontId="6" fillId="30" borderId="0" xfId="1" applyFont="1" applyFill="1"/>
    <xf numFmtId="9" fontId="0" fillId="0" borderId="0" xfId="155" applyFont="1"/>
    <xf numFmtId="11" fontId="0" fillId="0" borderId="0" xfId="154" applyNumberFormat="1" applyFont="1"/>
    <xf numFmtId="0" fontId="0" fillId="30" borderId="0" xfId="0" applyFill="1"/>
    <xf numFmtId="11" fontId="0" fillId="30" borderId="0" xfId="154" applyNumberFormat="1" applyFont="1" applyFill="1"/>
    <xf numFmtId="0" fontId="0" fillId="0" borderId="0" xfId="154" applyNumberFormat="1" applyFont="1"/>
    <xf numFmtId="0" fontId="42" fillId="0" borderId="0" xfId="154" applyNumberFormat="1" applyFont="1"/>
    <xf numFmtId="170" fontId="0" fillId="0" borderId="0" xfId="154" applyNumberFormat="1" applyFont="1" applyFill="1"/>
    <xf numFmtId="11" fontId="0" fillId="0" borderId="0" xfId="154" applyNumberFormat="1" applyFont="1" applyFill="1"/>
    <xf numFmtId="0" fontId="0" fillId="32" borderId="0" xfId="0" applyFill="1"/>
    <xf numFmtId="11" fontId="0" fillId="0" borderId="0" xfId="0" applyNumberFormat="1"/>
    <xf numFmtId="10" fontId="0" fillId="0" borderId="0" xfId="0" applyNumberFormat="1"/>
    <xf numFmtId="0" fontId="49" fillId="0" borderId="0" xfId="0" applyFont="1"/>
    <xf numFmtId="0" fontId="49" fillId="0" borderId="0" xfId="0" applyFont="1" applyAlignment="1">
      <alignment horizontal="left"/>
    </xf>
    <xf numFmtId="0" fontId="51" fillId="0" borderId="0" xfId="0" applyFont="1"/>
    <xf numFmtId="0" fontId="49" fillId="0" borderId="21" xfId="0" applyFont="1" applyBorder="1" applyAlignment="1">
      <alignment horizontal="center"/>
    </xf>
    <xf numFmtId="0" fontId="49" fillId="0" borderId="21" xfId="64" applyFont="1" applyBorder="1" applyAlignment="1">
      <alignment horizontal="center"/>
    </xf>
    <xf numFmtId="1" fontId="49" fillId="0" borderId="21" xfId="0" applyNumberFormat="1" applyFont="1" applyBorder="1" applyAlignment="1">
      <alignment horizontal="center"/>
    </xf>
    <xf numFmtId="3" fontId="49" fillId="0" borderId="0" xfId="50" applyNumberFormat="1" applyFont="1" applyFill="1" applyBorder="1">
      <alignment horizontal="right"/>
    </xf>
    <xf numFmtId="168" fontId="49" fillId="0" borderId="0" xfId="0" applyNumberFormat="1" applyFont="1" applyAlignment="1">
      <alignment horizontal="right"/>
    </xf>
    <xf numFmtId="3" fontId="47" fillId="0" borderId="0" xfId="0" applyNumberFormat="1" applyFont="1" applyAlignment="1">
      <alignment horizontal="right"/>
    </xf>
    <xf numFmtId="0" fontId="14" fillId="0" borderId="0" xfId="0" applyFont="1"/>
    <xf numFmtId="3" fontId="47" fillId="0" borderId="0" xfId="50" applyNumberFormat="1" applyFont="1" applyFill="1" applyBorder="1">
      <alignment horizontal="right"/>
    </xf>
    <xf numFmtId="3" fontId="49" fillId="0" borderId="0" xfId="0" applyNumberFormat="1" applyFont="1" applyAlignment="1">
      <alignment horizontal="right"/>
    </xf>
    <xf numFmtId="0" fontId="43" fillId="0" borderId="0" xfId="0" applyFont="1"/>
    <xf numFmtId="0" fontId="43" fillId="0" borderId="0" xfId="133" applyFont="1">
      <alignment horizontal="left"/>
    </xf>
    <xf numFmtId="0" fontId="47" fillId="0" borderId="0" xfId="0" applyFont="1" applyAlignment="1">
      <alignment horizontal="center"/>
    </xf>
    <xf numFmtId="3" fontId="47" fillId="0" borderId="0" xfId="0" applyNumberFormat="1" applyFont="1"/>
    <xf numFmtId="0" fontId="47" fillId="0" borderId="0" xfId="0" applyFont="1"/>
    <xf numFmtId="3" fontId="47" fillId="0" borderId="0" xfId="0" applyNumberFormat="1" applyFont="1" applyAlignment="1">
      <alignment horizontal="right" vertical="center"/>
    </xf>
    <xf numFmtId="3" fontId="49" fillId="0" borderId="0" xfId="0" applyNumberFormat="1" applyFont="1"/>
    <xf numFmtId="0" fontId="47" fillId="0" borderId="0" xfId="50" applyNumberFormat="1" applyFont="1" applyFill="1" applyBorder="1">
      <alignment horizontal="right"/>
    </xf>
    <xf numFmtId="3" fontId="14" fillId="0" borderId="0" xfId="0" applyNumberFormat="1" applyFont="1"/>
    <xf numFmtId="4" fontId="14" fillId="0" borderId="0" xfId="0" applyNumberFormat="1" applyFont="1"/>
    <xf numFmtId="3" fontId="49" fillId="0" borderId="20" xfId="0" applyNumberFormat="1" applyFont="1" applyBorder="1" applyAlignment="1">
      <alignment horizontal="right"/>
    </xf>
    <xf numFmtId="3" fontId="49" fillId="0" borderId="20" xfId="50" applyNumberFormat="1" applyFont="1" applyFill="1" applyBorder="1">
      <alignment horizontal="right"/>
    </xf>
    <xf numFmtId="0" fontId="43" fillId="0" borderId="0" xfId="0" applyFont="1" applyAlignment="1">
      <alignment horizontal="center"/>
    </xf>
    <xf numFmtId="0" fontId="0" fillId="0" borderId="0" xfId="0" applyAlignment="1">
      <alignment wrapText="1"/>
    </xf>
    <xf numFmtId="171" fontId="0" fillId="0" borderId="0" xfId="0" applyNumberFormat="1"/>
    <xf numFmtId="0" fontId="3" fillId="0" borderId="0" xfId="1" applyAlignment="1">
      <alignment horizontal="left"/>
    </xf>
    <xf numFmtId="0" fontId="5" fillId="0" borderId="0" xfId="1" applyFont="1" applyAlignment="1">
      <alignment horizontal="right"/>
    </xf>
    <xf numFmtId="0" fontId="3" fillId="0" borderId="0" xfId="198"/>
    <xf numFmtId="0" fontId="5" fillId="0" borderId="5" xfId="200">
      <alignment wrapText="1"/>
    </xf>
    <xf numFmtId="0" fontId="69" fillId="0" borderId="0" xfId="1" applyFont="1"/>
    <xf numFmtId="1" fontId="0" fillId="0" borderId="0" xfId="0" applyNumberFormat="1"/>
    <xf numFmtId="4" fontId="0" fillId="0" borderId="0" xfId="0" applyNumberFormat="1"/>
    <xf numFmtId="0" fontId="70" fillId="0" borderId="0" xfId="0" applyFont="1"/>
    <xf numFmtId="2" fontId="0" fillId="0" borderId="0" xfId="0" applyNumberFormat="1"/>
    <xf numFmtId="43" fontId="0" fillId="0" borderId="0" xfId="154" applyFont="1"/>
    <xf numFmtId="0" fontId="2" fillId="33" borderId="0" xfId="0" applyFont="1" applyFill="1" applyAlignment="1">
      <alignment wrapText="1"/>
    </xf>
    <xf numFmtId="0" fontId="0" fillId="33" borderId="0" xfId="0" applyFill="1"/>
    <xf numFmtId="11" fontId="0" fillId="33" borderId="0" xfId="0" applyNumberFormat="1" applyFill="1"/>
    <xf numFmtId="0" fontId="71" fillId="64" borderId="0" xfId="0" applyFont="1" applyFill="1" applyAlignment="1">
      <alignment wrapText="1"/>
    </xf>
    <xf numFmtId="3" fontId="71" fillId="65" borderId="0" xfId="0" applyNumberFormat="1" applyFont="1" applyFill="1" applyAlignment="1">
      <alignment wrapText="1"/>
    </xf>
    <xf numFmtId="0" fontId="71" fillId="65" borderId="0" xfId="0" applyFont="1" applyFill="1" applyAlignment="1">
      <alignment wrapText="1"/>
    </xf>
    <xf numFmtId="173" fontId="71" fillId="64" borderId="0" xfId="154" applyNumberFormat="1" applyFont="1" applyFill="1" applyBorder="1" applyAlignment="1">
      <alignment wrapText="1"/>
    </xf>
    <xf numFmtId="37" fontId="71" fillId="64" borderId="0" xfId="154" applyNumberFormat="1" applyFont="1" applyFill="1" applyBorder="1" applyAlignment="1">
      <alignment wrapText="1"/>
    </xf>
    <xf numFmtId="37" fontId="71" fillId="65" borderId="0" xfId="154" applyNumberFormat="1" applyFont="1" applyFill="1" applyBorder="1" applyAlignment="1">
      <alignment wrapText="1"/>
    </xf>
    <xf numFmtId="3" fontId="71" fillId="64" borderId="0" xfId="0" applyNumberFormat="1" applyFont="1" applyFill="1" applyAlignment="1">
      <alignment wrapText="1"/>
    </xf>
    <xf numFmtId="165" fontId="71" fillId="64" borderId="0" xfId="0" applyNumberFormat="1" applyFont="1" applyFill="1" applyAlignment="1">
      <alignment wrapText="1"/>
    </xf>
    <xf numFmtId="0" fontId="72" fillId="0" borderId="0" xfId="0" applyFont="1"/>
    <xf numFmtId="174" fontId="72" fillId="0" borderId="0" xfId="0" applyNumberFormat="1" applyFont="1" applyAlignment="1">
      <alignment horizontal="left"/>
    </xf>
    <xf numFmtId="175" fontId="72" fillId="0" borderId="0" xfId="0" applyNumberFormat="1" applyFont="1" applyAlignment="1">
      <alignment horizontal="left"/>
    </xf>
    <xf numFmtId="37" fontId="72" fillId="0" borderId="0" xfId="154" applyNumberFormat="1" applyFont="1"/>
    <xf numFmtId="173" fontId="72" fillId="0" borderId="0" xfId="154" applyNumberFormat="1" applyFont="1"/>
    <xf numFmtId="3" fontId="72" fillId="0" borderId="0" xfId="0" applyNumberFormat="1" applyFont="1"/>
    <xf numFmtId="3" fontId="72" fillId="65" borderId="0" xfId="154" applyNumberFormat="1" applyFont="1" applyFill="1"/>
    <xf numFmtId="43" fontId="72" fillId="0" borderId="0" xfId="154" applyFont="1"/>
    <xf numFmtId="37" fontId="72" fillId="65" borderId="0" xfId="154" applyNumberFormat="1" applyFont="1" applyFill="1"/>
    <xf numFmtId="37" fontId="72" fillId="0" borderId="0" xfId="154" applyNumberFormat="1" applyFont="1" applyBorder="1"/>
    <xf numFmtId="165" fontId="72" fillId="0" borderId="0" xfId="0" applyNumberFormat="1" applyFont="1"/>
    <xf numFmtId="3" fontId="0" fillId="65" borderId="0" xfId="0" applyNumberFormat="1" applyFill="1"/>
    <xf numFmtId="0" fontId="0" fillId="65" borderId="0" xfId="0" applyFill="1"/>
    <xf numFmtId="0" fontId="71" fillId="66" borderId="0" xfId="78" applyFont="1" applyFill="1"/>
    <xf numFmtId="0" fontId="71" fillId="66" borderId="0" xfId="78" applyFont="1" applyFill="1" applyAlignment="1">
      <alignment horizontal="left" wrapText="1"/>
    </xf>
    <xf numFmtId="174" fontId="71" fillId="66" borderId="0" xfId="78" applyNumberFormat="1" applyFont="1" applyFill="1" applyAlignment="1">
      <alignment horizontal="left" wrapText="1"/>
    </xf>
    <xf numFmtId="175" fontId="71" fillId="66" borderId="0" xfId="78" applyNumberFormat="1" applyFont="1" applyFill="1" applyAlignment="1">
      <alignment horizontal="left" wrapText="1"/>
    </xf>
    <xf numFmtId="0" fontId="71" fillId="66" borderId="0" xfId="78" applyFont="1" applyFill="1" applyAlignment="1">
      <alignment wrapText="1"/>
    </xf>
    <xf numFmtId="3" fontId="71" fillId="66" borderId="0" xfId="78" applyNumberFormat="1" applyFont="1" applyFill="1" applyAlignment="1">
      <alignment wrapText="1"/>
    </xf>
    <xf numFmtId="3" fontId="73" fillId="28" borderId="30" xfId="78" applyNumberFormat="1" applyFont="1" applyFill="1" applyBorder="1" applyAlignment="1">
      <alignment wrapText="1"/>
    </xf>
    <xf numFmtId="3" fontId="73" fillId="28" borderId="0" xfId="78" applyNumberFormat="1" applyFont="1" applyFill="1" applyAlignment="1">
      <alignment wrapText="1"/>
    </xf>
    <xf numFmtId="0" fontId="71" fillId="66" borderId="30" xfId="78" applyFont="1" applyFill="1" applyBorder="1" applyAlignment="1">
      <alignment wrapText="1"/>
    </xf>
    <xf numFmtId="2" fontId="71" fillId="66" borderId="0" xfId="78" applyNumberFormat="1" applyFont="1" applyFill="1" applyAlignment="1">
      <alignment wrapText="1"/>
    </xf>
    <xf numFmtId="0" fontId="6" fillId="0" borderId="0" xfId="78" applyFont="1"/>
    <xf numFmtId="0" fontId="6" fillId="0" borderId="0" xfId="78" applyFont="1" applyAlignment="1">
      <alignment horizontal="left"/>
    </xf>
    <xf numFmtId="174" fontId="6" fillId="0" borderId="0" xfId="78" quotePrefix="1" applyNumberFormat="1" applyFont="1" applyAlignment="1">
      <alignment horizontal="left"/>
    </xf>
    <xf numFmtId="175" fontId="6" fillId="0" borderId="0" xfId="78" quotePrefix="1" applyNumberFormat="1" applyFont="1" applyAlignment="1">
      <alignment horizontal="left"/>
    </xf>
    <xf numFmtId="3" fontId="6" fillId="0" borderId="0" xfId="78" applyNumberFormat="1" applyFont="1" applyAlignment="1">
      <alignment horizontal="right" wrapText="1"/>
    </xf>
    <xf numFmtId="3" fontId="6" fillId="0" borderId="0" xfId="78" applyNumberFormat="1" applyFont="1" applyAlignment="1">
      <alignment horizontal="right"/>
    </xf>
    <xf numFmtId="173" fontId="6" fillId="0" borderId="0" xfId="203" applyNumberFormat="1" applyFont="1"/>
    <xf numFmtId="165" fontId="6" fillId="0" borderId="0" xfId="203" applyNumberFormat="1" applyFont="1"/>
    <xf numFmtId="3" fontId="6" fillId="0" borderId="0" xfId="203" applyNumberFormat="1" applyFont="1" applyAlignment="1">
      <alignment horizontal="right"/>
    </xf>
    <xf numFmtId="3" fontId="6" fillId="0" borderId="0" xfId="78" applyNumberFormat="1" applyFont="1"/>
    <xf numFmtId="3" fontId="6" fillId="0" borderId="30" xfId="78" applyNumberFormat="1" applyFont="1" applyBorder="1"/>
    <xf numFmtId="0" fontId="6" fillId="0" borderId="30" xfId="78" applyFont="1" applyBorder="1"/>
    <xf numFmtId="2" fontId="6" fillId="0" borderId="0" xfId="78" applyNumberFormat="1" applyFont="1"/>
    <xf numFmtId="0" fontId="2" fillId="65" borderId="0" xfId="0" applyFont="1" applyFill="1"/>
    <xf numFmtId="0" fontId="2" fillId="31" borderId="0" xfId="0" applyFont="1" applyFill="1"/>
    <xf numFmtId="0" fontId="0" fillId="31" borderId="0" xfId="0" applyFill="1"/>
    <xf numFmtId="0" fontId="2" fillId="67" borderId="0" xfId="0" applyFont="1" applyFill="1"/>
    <xf numFmtId="0" fontId="0" fillId="67" borderId="0" xfId="0" applyFill="1"/>
    <xf numFmtId="173" fontId="0" fillId="0" borderId="0" xfId="154" applyNumberFormat="1" applyFont="1"/>
    <xf numFmtId="0" fontId="74" fillId="0" borderId="0" xfId="0" applyFont="1" applyAlignment="1">
      <alignment vertical="center"/>
    </xf>
    <xf numFmtId="0" fontId="2" fillId="68" borderId="0" xfId="0" applyFont="1" applyFill="1"/>
    <xf numFmtId="0" fontId="75" fillId="0" borderId="0" xfId="0" applyFont="1"/>
    <xf numFmtId="176" fontId="0" fillId="68" borderId="0" xfId="154" applyNumberFormat="1" applyFont="1" applyFill="1"/>
    <xf numFmtId="173" fontId="0" fillId="68" borderId="0" xfId="154" applyNumberFormat="1" applyFont="1" applyFill="1"/>
    <xf numFmtId="0" fontId="0" fillId="68" borderId="0" xfId="0" applyFill="1"/>
    <xf numFmtId="176" fontId="2" fillId="3" borderId="0" xfId="154" applyNumberFormat="1" applyFont="1" applyFill="1"/>
    <xf numFmtId="173" fontId="2" fillId="3" borderId="0" xfId="154" applyNumberFormat="1" applyFont="1" applyFill="1"/>
    <xf numFmtId="173" fontId="1" fillId="3" borderId="0" xfId="154" applyNumberFormat="1" applyFont="1" applyFill="1"/>
    <xf numFmtId="11" fontId="2" fillId="3" borderId="0" xfId="0" applyNumberFormat="1" applyFont="1" applyFill="1"/>
    <xf numFmtId="0" fontId="4" fillId="0" borderId="2" xfId="199" applyFont="1">
      <alignment wrapText="1"/>
    </xf>
    <xf numFmtId="0" fontId="76" fillId="0" borderId="0" xfId="1" applyFont="1"/>
    <xf numFmtId="0" fontId="4" fillId="0" borderId="0" xfId="0" applyFont="1"/>
    <xf numFmtId="0" fontId="77" fillId="0" borderId="0" xfId="202" applyFont="1">
      <alignment horizontal="left"/>
    </xf>
    <xf numFmtId="0" fontId="78" fillId="0" borderId="0" xfId="0" applyFont="1" applyAlignment="1">
      <alignment horizontal="right"/>
    </xf>
    <xf numFmtId="0" fontId="4" fillId="0" borderId="0" xfId="198" applyFont="1"/>
    <xf numFmtId="0" fontId="4" fillId="0" borderId="0" xfId="0" applyFont="1" applyAlignment="1">
      <alignment horizontal="left"/>
    </xf>
    <xf numFmtId="0" fontId="78" fillId="0" borderId="5" xfId="200" applyFont="1">
      <alignment wrapText="1"/>
    </xf>
    <xf numFmtId="0" fontId="78" fillId="0" borderId="5" xfId="200" applyFont="1" applyAlignment="1">
      <alignment horizontal="right"/>
    </xf>
    <xf numFmtId="0" fontId="78" fillId="0" borderId="3" xfId="201" applyFont="1">
      <alignment wrapText="1"/>
    </xf>
    <xf numFmtId="0" fontId="4" fillId="0" borderId="4" xfId="197" applyFont="1">
      <alignment wrapText="1"/>
    </xf>
    <xf numFmtId="3" fontId="4" fillId="0" borderId="4" xfId="197" applyNumberFormat="1" applyFont="1" applyAlignment="1">
      <alignment horizontal="right" wrapText="1"/>
    </xf>
    <xf numFmtId="164" fontId="4" fillId="0" borderId="4" xfId="197" applyNumberFormat="1" applyFont="1" applyAlignment="1">
      <alignment horizontal="right" wrapText="1"/>
    </xf>
    <xf numFmtId="165" fontId="4" fillId="0" borderId="4" xfId="197" applyNumberFormat="1" applyFont="1" applyAlignment="1">
      <alignment horizontal="right" wrapText="1"/>
    </xf>
    <xf numFmtId="4" fontId="4" fillId="0" borderId="4" xfId="197" applyNumberFormat="1" applyFont="1" applyAlignment="1">
      <alignment horizontal="right" wrapText="1"/>
    </xf>
    <xf numFmtId="4" fontId="78" fillId="0" borderId="3" xfId="201" applyNumberFormat="1" applyFont="1" applyAlignment="1">
      <alignment horizontal="right" wrapText="1"/>
    </xf>
    <xf numFmtId="164" fontId="78" fillId="0" borderId="3" xfId="201" applyNumberFormat="1" applyFont="1" applyAlignment="1">
      <alignment horizontal="right" wrapText="1"/>
    </xf>
    <xf numFmtId="0" fontId="0" fillId="0" borderId="2" xfId="0" applyBorder="1"/>
    <xf numFmtId="0" fontId="0" fillId="30" borderId="0" xfId="0" applyFill="1" applyAlignment="1">
      <alignment horizontal="left"/>
    </xf>
    <xf numFmtId="0" fontId="3" fillId="0" borderId="2" xfId="1" applyBorder="1"/>
    <xf numFmtId="0" fontId="3" fillId="0" borderId="0" xfId="1"/>
    <xf numFmtId="0" fontId="5" fillId="0" borderId="5" xfId="200" applyAlignment="1"/>
    <xf numFmtId="0" fontId="6" fillId="0" borderId="0" xfId="1" applyFont="1"/>
    <xf numFmtId="0" fontId="5" fillId="0" borderId="5" xfId="200" applyAlignment="1">
      <alignment horizontal="right"/>
    </xf>
    <xf numFmtId="165" fontId="3" fillId="0" borderId="4" xfId="197" applyNumberFormat="1" applyAlignment="1">
      <alignment horizontal="right"/>
    </xf>
    <xf numFmtId="164" fontId="3" fillId="0" borderId="4" xfId="197" applyNumberFormat="1" applyAlignment="1">
      <alignment horizontal="right"/>
    </xf>
    <xf numFmtId="4" fontId="3" fillId="0" borderId="4" xfId="197" applyNumberFormat="1" applyAlignment="1">
      <alignment horizontal="right"/>
    </xf>
    <xf numFmtId="172" fontId="3" fillId="0" borderId="4" xfId="197" applyNumberFormat="1" applyAlignment="1">
      <alignment horizontal="right"/>
    </xf>
    <xf numFmtId="172" fontId="4" fillId="0" borderId="4" xfId="197" applyNumberFormat="1" applyFont="1" applyAlignment="1">
      <alignment horizontal="right" wrapText="1"/>
    </xf>
    <xf numFmtId="10" fontId="0" fillId="28" borderId="0" xfId="0" applyNumberFormat="1" applyFill="1"/>
    <xf numFmtId="0" fontId="0" fillId="0" borderId="0" xfId="154" applyNumberFormat="1" applyFont="1" applyFill="1"/>
    <xf numFmtId="0" fontId="0" fillId="30" borderId="0" xfId="0" applyFill="1" applyAlignment="1">
      <alignment horizontal="right"/>
    </xf>
    <xf numFmtId="0" fontId="0" fillId="0" borderId="0" xfId="0" applyAlignment="1">
      <alignment horizontal="right" wrapText="1"/>
    </xf>
    <xf numFmtId="177" fontId="0" fillId="0" borderId="0" xfId="154" applyNumberFormat="1" applyFont="1"/>
    <xf numFmtId="0" fontId="6" fillId="69" borderId="0" xfId="0" applyFont="1" applyFill="1"/>
    <xf numFmtId="0" fontId="4" fillId="69" borderId="4" xfId="197" applyFont="1" applyFill="1">
      <alignment wrapText="1"/>
    </xf>
    <xf numFmtId="4" fontId="4" fillId="69" borderId="4" xfId="197" applyNumberFormat="1" applyFont="1" applyFill="1" applyAlignment="1">
      <alignment horizontal="right" wrapText="1"/>
    </xf>
    <xf numFmtId="164" fontId="4" fillId="69" borderId="4" xfId="197" applyNumberFormat="1" applyFont="1" applyFill="1" applyAlignment="1">
      <alignment horizontal="right" wrapText="1"/>
    </xf>
    <xf numFmtId="0" fontId="4" fillId="69" borderId="0" xfId="0" applyFont="1" applyFill="1"/>
    <xf numFmtId="0" fontId="0" fillId="69" borderId="0" xfId="0" applyFill="1"/>
    <xf numFmtId="0" fontId="0" fillId="70" borderId="0" xfId="0" applyFill="1" applyAlignment="1">
      <alignment horizontal="right" wrapText="1"/>
    </xf>
    <xf numFmtId="0" fontId="0" fillId="29" borderId="0" xfId="0" applyFill="1"/>
    <xf numFmtId="0" fontId="0" fillId="71" borderId="0" xfId="0" applyFill="1"/>
    <xf numFmtId="0" fontId="1" fillId="0" borderId="0" xfId="204"/>
    <xf numFmtId="10" fontId="1" fillId="0" borderId="0" xfId="204" applyNumberFormat="1"/>
    <xf numFmtId="0" fontId="1" fillId="28" borderId="0" xfId="204" applyFill="1"/>
    <xf numFmtId="10" fontId="1" fillId="28" borderId="0" xfId="204" applyNumberFormat="1" applyFill="1"/>
    <xf numFmtId="0" fontId="1" fillId="72" borderId="0" xfId="204" applyFill="1"/>
    <xf numFmtId="10" fontId="1" fillId="72" borderId="0" xfId="204" applyNumberFormat="1" applyFill="1"/>
    <xf numFmtId="0" fontId="0" fillId="72" borderId="0" xfId="0" applyFill="1"/>
    <xf numFmtId="11" fontId="0" fillId="72" borderId="0" xfId="0" applyNumberFormat="1" applyFill="1"/>
    <xf numFmtId="0" fontId="2" fillId="73" borderId="0" xfId="0" applyFont="1" applyFill="1"/>
    <xf numFmtId="11" fontId="0" fillId="73" borderId="0" xfId="155" applyNumberFormat="1" applyFont="1" applyFill="1" applyAlignment="1">
      <alignment horizontal="right"/>
    </xf>
    <xf numFmtId="173" fontId="0" fillId="0" borderId="0" xfId="154" applyNumberFormat="1" applyFont="1" applyFill="1"/>
    <xf numFmtId="10" fontId="0" fillId="68" borderId="0" xfId="0" applyNumberFormat="1" applyFill="1"/>
    <xf numFmtId="11" fontId="2" fillId="0" borderId="0" xfId="0" applyNumberFormat="1" applyFont="1"/>
    <xf numFmtId="10" fontId="0" fillId="72" borderId="0" xfId="0" applyNumberFormat="1" applyFill="1"/>
    <xf numFmtId="0" fontId="0" fillId="74" borderId="0" xfId="0" applyFill="1"/>
    <xf numFmtId="0" fontId="0" fillId="74" borderId="0" xfId="0" applyFill="1" applyAlignment="1">
      <alignment wrapText="1"/>
    </xf>
    <xf numFmtId="10" fontId="0" fillId="74" borderId="0" xfId="0" applyNumberFormat="1" applyFill="1"/>
    <xf numFmtId="0" fontId="2" fillId="32" borderId="0" xfId="0" applyFont="1" applyFill="1"/>
    <xf numFmtId="10" fontId="0" fillId="32" borderId="0" xfId="0" applyNumberFormat="1" applyFill="1"/>
    <xf numFmtId="0" fontId="0" fillId="75" borderId="0" xfId="0" applyFill="1"/>
    <xf numFmtId="0" fontId="2" fillId="75" borderId="0" xfId="0" applyFont="1" applyFill="1"/>
    <xf numFmtId="0" fontId="79" fillId="76" borderId="0" xfId="0" applyFont="1" applyFill="1"/>
    <xf numFmtId="0" fontId="0" fillId="77" borderId="0" xfId="0" applyFill="1"/>
    <xf numFmtId="10" fontId="0" fillId="77" borderId="0" xfId="0" applyNumberFormat="1" applyFill="1"/>
    <xf numFmtId="0" fontId="2" fillId="30" borderId="0" xfId="0" applyFont="1" applyFill="1" applyAlignment="1">
      <alignment horizontal="right"/>
    </xf>
    <xf numFmtId="10" fontId="2" fillId="0" borderId="0" xfId="0" applyNumberFormat="1" applyFont="1"/>
    <xf numFmtId="0" fontId="2" fillId="0" borderId="0" xfId="154" applyNumberFormat="1" applyFont="1" applyFill="1"/>
    <xf numFmtId="0" fontId="0" fillId="78" borderId="0" xfId="0" applyFill="1"/>
    <xf numFmtId="170" fontId="0" fillId="78" borderId="0" xfId="154" applyNumberFormat="1" applyFont="1" applyFill="1"/>
    <xf numFmtId="11" fontId="0" fillId="78" borderId="0" xfId="154" applyNumberFormat="1" applyFont="1" applyFill="1"/>
    <xf numFmtId="0" fontId="2" fillId="0" borderId="0" xfId="0" applyFont="1" applyAlignment="1">
      <alignment horizontal="right"/>
    </xf>
    <xf numFmtId="10" fontId="0" fillId="75" borderId="0" xfId="0" applyNumberFormat="1" applyFill="1"/>
    <xf numFmtId="10" fontId="0" fillId="69" borderId="0" xfId="0" applyNumberFormat="1" applyFill="1"/>
    <xf numFmtId="0" fontId="2" fillId="0" borderId="0" xfId="0" applyFont="1" applyAlignment="1">
      <alignment horizontal="right" wrapText="1"/>
    </xf>
    <xf numFmtId="0" fontId="2" fillId="69" borderId="0" xfId="0" applyFont="1" applyFill="1"/>
    <xf numFmtId="0" fontId="0" fillId="79" borderId="0" xfId="0" applyFill="1"/>
    <xf numFmtId="0" fontId="2" fillId="79" borderId="0" xfId="0" applyFont="1" applyFill="1"/>
    <xf numFmtId="10" fontId="2" fillId="79" borderId="0" xfId="0" applyNumberFormat="1" applyFont="1" applyFill="1"/>
    <xf numFmtId="0" fontId="0" fillId="73" borderId="0" xfId="0" applyFill="1"/>
    <xf numFmtId="43" fontId="2" fillId="0" borderId="0" xfId="154" applyFont="1"/>
    <xf numFmtId="9" fontId="2" fillId="0" borderId="0" xfId="155" applyFont="1"/>
    <xf numFmtId="3" fontId="0" fillId="0" borderId="0" xfId="0" applyNumberFormat="1" applyAlignment="1">
      <alignment wrapText="1"/>
    </xf>
    <xf numFmtId="3" fontId="0" fillId="28" borderId="0" xfId="0" applyNumberFormat="1" applyFill="1" applyAlignment="1">
      <alignment wrapText="1"/>
    </xf>
    <xf numFmtId="0" fontId="0" fillId="28" borderId="0" xfId="0" applyFill="1" applyAlignment="1">
      <alignment wrapText="1"/>
    </xf>
    <xf numFmtId="9" fontId="0" fillId="0" borderId="0" xfId="155" applyFont="1" applyAlignment="1">
      <alignment wrapText="1"/>
    </xf>
    <xf numFmtId="11" fontId="0" fillId="0" borderId="0" xfId="155" applyNumberFormat="1" applyFont="1" applyAlignment="1">
      <alignment wrapText="1"/>
    </xf>
    <xf numFmtId="0" fontId="2" fillId="80" borderId="0" xfId="0" applyFont="1" applyFill="1"/>
    <xf numFmtId="0" fontId="0" fillId="80" borderId="0" xfId="0" applyFill="1"/>
    <xf numFmtId="173" fontId="2" fillId="0" borderId="0" xfId="154" applyNumberFormat="1" applyFont="1"/>
    <xf numFmtId="0" fontId="2" fillId="72" borderId="0" xfId="0" applyFont="1" applyFill="1"/>
    <xf numFmtId="10" fontId="2" fillId="72" borderId="0" xfId="0" applyNumberFormat="1" applyFont="1" applyFill="1"/>
    <xf numFmtId="49" fontId="43" fillId="0" borderId="0" xfId="0" applyNumberFormat="1" applyFont="1" applyAlignment="1">
      <alignment wrapText="1"/>
    </xf>
    <xf numFmtId="0" fontId="52" fillId="0" borderId="20" xfId="0" applyFont="1" applyBorder="1" applyAlignment="1">
      <alignment horizontal="left" wrapText="1"/>
    </xf>
    <xf numFmtId="0" fontId="45" fillId="0" borderId="19" xfId="131" applyFont="1" applyBorder="1" applyAlignment="1">
      <alignment wrapText="1"/>
    </xf>
    <xf numFmtId="3" fontId="43" fillId="0" borderId="0" xfId="50" applyNumberFormat="1" applyFont="1" applyFill="1" applyBorder="1" applyAlignment="1">
      <alignment horizontal="center"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0" applyFont="1" applyAlignment="1">
      <alignment wrapText="1"/>
    </xf>
    <xf numFmtId="0" fontId="44" fillId="0" borderId="0" xfId="131" applyFont="1" applyAlignment="1">
      <alignment wrapText="1"/>
    </xf>
    <xf numFmtId="0" fontId="43" fillId="0" borderId="0" xfId="133" applyFont="1" applyAlignment="1">
      <alignment wrapText="1"/>
    </xf>
    <xf numFmtId="0" fontId="45" fillId="0" borderId="0" xfId="131" applyFont="1" applyAlignment="1">
      <alignment wrapText="1"/>
    </xf>
    <xf numFmtId="0" fontId="43" fillId="0" borderId="0" xfId="133" applyFont="1" applyAlignment="1">
      <alignment horizontal="left" wrapText="1"/>
    </xf>
    <xf numFmtId="0" fontId="44" fillId="0" borderId="0" xfId="0" applyFont="1" applyAlignment="1">
      <alignment wrapText="1"/>
    </xf>
    <xf numFmtId="0" fontId="46" fillId="0" borderId="0" xfId="133" applyFont="1" applyAlignment="1">
      <alignment wrapText="1"/>
    </xf>
    <xf numFmtId="0" fontId="46" fillId="0" borderId="0" xfId="132" applyFont="1" applyAlignment="1">
      <alignment horizontal="left" wrapText="1"/>
    </xf>
    <xf numFmtId="0" fontId="43" fillId="0" borderId="0" xfId="0" applyFont="1"/>
    <xf numFmtId="0" fontId="45" fillId="0" borderId="0" xfId="133" applyFont="1" applyAlignment="1">
      <alignment wrapText="1"/>
    </xf>
  </cellXfs>
  <cellStyles count="205">
    <cellStyle name="20% - Accent1 2" xfId="8" xr:uid="{00000000-0005-0000-0000-000000000000}"/>
    <cellStyle name="20% - Accent1 3" xfId="174" xr:uid="{F11532E0-5632-42C9-B02F-DA333A62F904}"/>
    <cellStyle name="20% - Accent2 2" xfId="9" xr:uid="{00000000-0005-0000-0000-000001000000}"/>
    <cellStyle name="20% - Accent2 3" xfId="178" xr:uid="{32C42B87-9BC5-45C1-8FDA-E125229825D3}"/>
    <cellStyle name="20% - Accent3 2" xfId="10" xr:uid="{00000000-0005-0000-0000-000002000000}"/>
    <cellStyle name="20% - Accent3 3" xfId="182" xr:uid="{B360FFCB-9765-49E7-B1F7-41BDED66320D}"/>
    <cellStyle name="20% - Accent4 2" xfId="11" xr:uid="{00000000-0005-0000-0000-000003000000}"/>
    <cellStyle name="20% - Accent4 3" xfId="186" xr:uid="{AD138CBD-ABA5-4127-B63D-40E0CF983587}"/>
    <cellStyle name="20% - Accent5 2" xfId="12" xr:uid="{00000000-0005-0000-0000-000004000000}"/>
    <cellStyle name="20% - Accent5 3" xfId="190" xr:uid="{E0780118-1AD3-4259-87BC-EA13E357C23C}"/>
    <cellStyle name="20% - Accent6 2" xfId="13" xr:uid="{00000000-0005-0000-0000-000005000000}"/>
    <cellStyle name="20% - Accent6 3" xfId="194" xr:uid="{0FB515FE-D0B2-4282-A8D3-CA8C02FE920D}"/>
    <cellStyle name="40% - Accent1 2" xfId="14" xr:uid="{00000000-0005-0000-0000-000006000000}"/>
    <cellStyle name="40% - Accent1 3" xfId="175" xr:uid="{D1172FA4-26D6-42D7-B446-622D4016DC46}"/>
    <cellStyle name="40% - Accent2 2" xfId="15" xr:uid="{00000000-0005-0000-0000-000007000000}"/>
    <cellStyle name="40% - Accent2 3" xfId="179" xr:uid="{FD7739E2-0B3D-4639-8611-8B7DCCF48AF9}"/>
    <cellStyle name="40% - Accent3 2" xfId="16" xr:uid="{00000000-0005-0000-0000-000008000000}"/>
    <cellStyle name="40% - Accent3 3" xfId="183" xr:uid="{98FEE3E5-3812-48EB-B2D1-38662B8C9202}"/>
    <cellStyle name="40% - Accent4 2" xfId="17" xr:uid="{00000000-0005-0000-0000-000009000000}"/>
    <cellStyle name="40% - Accent4 3" xfId="187" xr:uid="{7ED2A562-7837-4E0B-81E3-F8ADCEBE7B62}"/>
    <cellStyle name="40% - Accent5 2" xfId="18" xr:uid="{00000000-0005-0000-0000-00000A000000}"/>
    <cellStyle name="40% - Accent5 3" xfId="191" xr:uid="{D653DF6D-0F95-4AB7-9717-17B39A665630}"/>
    <cellStyle name="40% - Accent6 2" xfId="19" xr:uid="{00000000-0005-0000-0000-00000B000000}"/>
    <cellStyle name="40% - Accent6 3" xfId="195" xr:uid="{B5DC93F8-4D3E-4EC5-81AF-298836B2725D}"/>
    <cellStyle name="60% - Accent1 2" xfId="20" xr:uid="{00000000-0005-0000-0000-00000C000000}"/>
    <cellStyle name="60% - Accent1 3" xfId="176" xr:uid="{40925669-5693-4FED-BE02-29E5FBD25509}"/>
    <cellStyle name="60% - Accent2 2" xfId="21" xr:uid="{00000000-0005-0000-0000-00000D000000}"/>
    <cellStyle name="60% - Accent2 3" xfId="180" xr:uid="{D6FD0536-E90F-405D-90AA-2F6032B5CEA3}"/>
    <cellStyle name="60% - Accent3 2" xfId="22" xr:uid="{00000000-0005-0000-0000-00000E000000}"/>
    <cellStyle name="60% - Accent3 3" xfId="184" xr:uid="{FDA228DB-CCFD-49EF-B96B-C7D515A39740}"/>
    <cellStyle name="60% - Accent4 2" xfId="23" xr:uid="{00000000-0005-0000-0000-00000F000000}"/>
    <cellStyle name="60% - Accent4 3" xfId="188" xr:uid="{A5C2AE01-CE01-4927-9E54-4D3325CC1AFA}"/>
    <cellStyle name="60% - Accent5 2" xfId="24" xr:uid="{00000000-0005-0000-0000-000010000000}"/>
    <cellStyle name="60% - Accent5 3" xfId="192" xr:uid="{AC60A0D0-FF30-449B-9124-30FEFD82B015}"/>
    <cellStyle name="60% - Accent6 2" xfId="25" xr:uid="{00000000-0005-0000-0000-000011000000}"/>
    <cellStyle name="60% - Accent6 3" xfId="196" xr:uid="{678BD46C-55A4-4298-A474-BF2DD2DF0E79}"/>
    <cellStyle name="Accent1 2" xfId="26" xr:uid="{00000000-0005-0000-0000-000012000000}"/>
    <cellStyle name="Accent1 3" xfId="173" xr:uid="{4BEB84AF-1280-43D7-90AA-E9418CDC32D5}"/>
    <cellStyle name="Accent2 2" xfId="27" xr:uid="{00000000-0005-0000-0000-000013000000}"/>
    <cellStyle name="Accent2 3" xfId="177" xr:uid="{C3424363-4A21-4A0B-A8C0-F23A58444219}"/>
    <cellStyle name="Accent3 2" xfId="28" xr:uid="{00000000-0005-0000-0000-000014000000}"/>
    <cellStyle name="Accent3 3" xfId="181" xr:uid="{F49FC12C-6CD7-4CB8-B368-07FB794D94E6}"/>
    <cellStyle name="Accent4 2" xfId="29" xr:uid="{00000000-0005-0000-0000-000015000000}"/>
    <cellStyle name="Accent4 3" xfId="185" xr:uid="{66C711F6-EC69-470E-A856-7A97E6C92AE0}"/>
    <cellStyle name="Accent5 2" xfId="30" xr:uid="{00000000-0005-0000-0000-000016000000}"/>
    <cellStyle name="Accent5 3" xfId="189" xr:uid="{5DB048BB-D183-4D45-B6FD-B4E41C777F44}"/>
    <cellStyle name="Accent6 2" xfId="31" xr:uid="{00000000-0005-0000-0000-000017000000}"/>
    <cellStyle name="Accent6 3" xfId="193" xr:uid="{197BC256-E399-4E6D-BDCE-C7010AE6D584}"/>
    <cellStyle name="Bad 2" xfId="32" xr:uid="{00000000-0005-0000-0000-000018000000}"/>
    <cellStyle name="Bad 3" xfId="163" xr:uid="{4F3D58AE-200B-490A-A280-145829FD8D55}"/>
    <cellStyle name="Body: normal cell" xfId="4" xr:uid="{00000000-0005-0000-0000-000019000000}"/>
    <cellStyle name="Body: normal cell 2" xfId="33" xr:uid="{00000000-0005-0000-0000-00001A000000}"/>
    <cellStyle name="Body: normal cell 3" xfId="197" xr:uid="{13568FC9-0441-4583-B674-0A5842CCB6E4}"/>
    <cellStyle name="Calculation 2" xfId="34" xr:uid="{00000000-0005-0000-0000-00001B000000}"/>
    <cellStyle name="Calculation 3" xfId="167" xr:uid="{A793DDFB-E90D-426F-857A-7959AF131E1D}"/>
    <cellStyle name="Check Cell 2" xfId="35" xr:uid="{00000000-0005-0000-0000-00001C000000}"/>
    <cellStyle name="Check Cell 3" xfId="169" xr:uid="{C90BDDD6-B6B0-4674-AB5C-372FF5CA32CB}"/>
    <cellStyle name="Column heading" xfId="36" xr:uid="{00000000-0005-0000-0000-00001D000000}"/>
    <cellStyle name="Comma" xfId="154" builtinId="3"/>
    <cellStyle name="Comma 2" xfId="37" xr:uid="{00000000-0005-0000-0000-00001F000000}"/>
    <cellStyle name="Comma 2 2" xfId="38" xr:uid="{00000000-0005-0000-0000-000020000000}"/>
    <cellStyle name="Comma 2 3" xfId="203" xr:uid="{A960CFC9-FA41-42CF-94FF-278FD0ACB5F5}"/>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Explanatory Text 3" xfId="171" xr:uid="{CD6E7C94-5064-4ED4-80D4-5894B70EA26D}"/>
    <cellStyle name="Font: Calibri, 9pt regular" xfId="6" xr:uid="{00000000-0005-0000-0000-000031000000}"/>
    <cellStyle name="Font: Calibri, 9pt regular 2" xfId="55" xr:uid="{00000000-0005-0000-0000-000032000000}"/>
    <cellStyle name="Font: Calibri, 9pt regular 3" xfId="198" xr:uid="{3AA9D720-EA81-4B20-9D48-FC7C956E664D}"/>
    <cellStyle name="Footnotes: top row" xfId="2" xr:uid="{00000000-0005-0000-0000-000033000000}"/>
    <cellStyle name="Footnotes: top row 2" xfId="56" xr:uid="{00000000-0005-0000-0000-000034000000}"/>
    <cellStyle name="Footnotes: top row 3" xfId="199" xr:uid="{98D68A3B-9F51-4E26-AA0A-D27958C03C8D}"/>
    <cellStyle name="Good 2" xfId="57" xr:uid="{00000000-0005-0000-0000-000035000000}"/>
    <cellStyle name="Good 3" xfId="162" xr:uid="{54574FDD-3892-47B7-A8C6-EF4ECC47C6FA}"/>
    <cellStyle name="Header: bottom row" xfId="5" xr:uid="{00000000-0005-0000-0000-000036000000}"/>
    <cellStyle name="Header: bottom row 2" xfId="58" xr:uid="{00000000-0005-0000-0000-000037000000}"/>
    <cellStyle name="Header: bottom row 3" xfId="200" xr:uid="{5A2A6CBA-30BB-494B-81E8-272F96B45F95}"/>
    <cellStyle name="Heading 1" xfId="157" builtinId="16" customBuiltin="1"/>
    <cellStyle name="Heading 1 2" xfId="59" xr:uid="{00000000-0005-0000-0000-000038000000}"/>
    <cellStyle name="Heading 2" xfId="158" builtinId="17" customBuiltin="1"/>
    <cellStyle name="Heading 2 2" xfId="60" xr:uid="{00000000-0005-0000-0000-000039000000}"/>
    <cellStyle name="Heading 3" xfId="159" builtinId="18" customBuiltin="1"/>
    <cellStyle name="Heading 3 2" xfId="61" xr:uid="{00000000-0005-0000-0000-00003A000000}"/>
    <cellStyle name="Heading 4" xfId="160" builtinId="19" customBuiltin="1"/>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xfId="153" builtinId="8"/>
    <cellStyle name="Hyperlink 2" xfId="72" xr:uid="{00000000-0005-0000-0000-000046000000}"/>
    <cellStyle name="Input 2" xfId="73" xr:uid="{00000000-0005-0000-0000-000047000000}"/>
    <cellStyle name="Input 3" xfId="165" xr:uid="{814F0698-64BC-46D3-ABE8-251E58673E49}"/>
    <cellStyle name="Linked Cell 2" xfId="74" xr:uid="{00000000-0005-0000-0000-000048000000}"/>
    <cellStyle name="Linked Cell 3" xfId="168" xr:uid="{C347826A-4462-4CE2-9EF9-A4226BDE46F1}"/>
    <cellStyle name="Neutral 2" xfId="75" xr:uid="{00000000-0005-0000-0000-000049000000}"/>
    <cellStyle name="Neutral 3" xfId="164" xr:uid="{2EC91600-271C-4FD5-99D4-6E06C1AD56C8}"/>
    <cellStyle name="Normal" xfId="0" builtinId="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6 3" xfId="204" xr:uid="{32C0E907-0E20-4EA5-B26A-9121F8D04478}"/>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xfId="161" builtinId="10" customBuiltin="1"/>
    <cellStyle name="Note 2" xfId="117" xr:uid="{00000000-0005-0000-0000-000075000000}"/>
    <cellStyle name="Note 2 2" xfId="118" xr:uid="{00000000-0005-0000-0000-000076000000}"/>
    <cellStyle name="Output 2" xfId="119" xr:uid="{00000000-0005-0000-0000-000077000000}"/>
    <cellStyle name="Output 3" xfId="166" xr:uid="{0F64318D-157E-48B8-9C82-A2B12BAA4E69}"/>
    <cellStyle name="Parent row" xfId="3" xr:uid="{00000000-0005-0000-0000-000078000000}"/>
    <cellStyle name="Parent row 2" xfId="120" xr:uid="{00000000-0005-0000-0000-000079000000}"/>
    <cellStyle name="Parent row 3" xfId="201" xr:uid="{960D428F-FE26-4ED1-AA2C-FD8F826C32DE}"/>
    <cellStyle name="Percent" xfId="155" builtinId="5"/>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able title 3" xfId="202" xr:uid="{436E1CFF-A60A-4292-BB2A-47CCD27FB4E4}"/>
    <cellStyle name="Title" xfId="156" builtinId="15" customBuiltin="1"/>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Total 3" xfId="172" xr:uid="{1865F669-BDF9-4D60-8858-5527CC6C874B}"/>
    <cellStyle name="Warning Text 2" xfId="148" xr:uid="{00000000-0005-0000-0000-000097000000}"/>
    <cellStyle name="Warning Text 3" xfId="170" xr:uid="{831D5546-71BC-4B31-AF24-D33C9EA306F4}"/>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s>
  <dxfs count="4">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pta.com/research-technical-resources/transit-statistics/ntd-data-tables/" TargetMode="External"/><Relationship Id="rId1" Type="http://schemas.openxmlformats.org/officeDocument/2006/relationships/hyperlink" Target="https://www.energy.gov/sites/prod/files/2015/11/f27/fcto_fuel_cells_fact_sheet.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
  <sheetViews>
    <sheetView tabSelected="1" workbookViewId="0">
      <selection activeCell="A88" sqref="A88"/>
    </sheetView>
  </sheetViews>
  <sheetFormatPr defaultRowHeight="15"/>
  <cols>
    <col min="1" max="1" width="13.42578125" customWidth="1"/>
    <col min="2" max="2" width="68.7109375" customWidth="1"/>
  </cols>
  <sheetData>
    <row r="1" spans="1:2">
      <c r="A1" s="1" t="s">
        <v>218</v>
      </c>
    </row>
    <row r="3" spans="1:2">
      <c r="A3" s="1" t="s">
        <v>0</v>
      </c>
      <c r="B3" s="2" t="s">
        <v>158</v>
      </c>
    </row>
    <row r="4" spans="1:2">
      <c r="B4" t="s">
        <v>132</v>
      </c>
    </row>
    <row r="5" spans="1:2">
      <c r="B5" s="4" t="s">
        <v>4280</v>
      </c>
    </row>
    <row r="6" spans="1:2">
      <c r="B6" t="s">
        <v>4279</v>
      </c>
    </row>
    <row r="7" spans="1:2">
      <c r="B7" t="s">
        <v>133</v>
      </c>
    </row>
    <row r="8" spans="1:2">
      <c r="B8" t="s">
        <v>515</v>
      </c>
    </row>
    <row r="10" spans="1:2">
      <c r="B10" t="s">
        <v>187</v>
      </c>
    </row>
    <row r="11" spans="1:2">
      <c r="B11" s="4">
        <v>2018</v>
      </c>
    </row>
    <row r="12" spans="1:2">
      <c r="B12" t="s">
        <v>188</v>
      </c>
    </row>
    <row r="13" spans="1:2">
      <c r="B13" s="18" t="s">
        <v>456</v>
      </c>
    </row>
    <row r="14" spans="1:2">
      <c r="B14" t="s">
        <v>189</v>
      </c>
    </row>
    <row r="16" spans="1:2">
      <c r="B16" t="s">
        <v>153</v>
      </c>
    </row>
    <row r="17" spans="2:2">
      <c r="B17" s="4">
        <v>2013</v>
      </c>
    </row>
    <row r="18" spans="2:2">
      <c r="B18" t="s">
        <v>154</v>
      </c>
    </row>
    <row r="19" spans="2:2">
      <c r="B19" t="s">
        <v>155</v>
      </c>
    </row>
    <row r="20" spans="2:2">
      <c r="B20" t="s">
        <v>156</v>
      </c>
    </row>
    <row r="22" spans="2:2">
      <c r="B22" t="s">
        <v>272</v>
      </c>
    </row>
    <row r="23" spans="2:2">
      <c r="B23" s="4">
        <v>2015</v>
      </c>
    </row>
    <row r="24" spans="2:2">
      <c r="B24" t="s">
        <v>273</v>
      </c>
    </row>
    <row r="25" spans="2:2">
      <c r="B25" s="18" t="s">
        <v>274</v>
      </c>
    </row>
    <row r="27" spans="2:2">
      <c r="B27" t="s">
        <v>666</v>
      </c>
    </row>
    <row r="28" spans="2:2">
      <c r="B28" t="s">
        <v>5183</v>
      </c>
    </row>
    <row r="29" spans="2:2">
      <c r="B29" s="4">
        <v>2023</v>
      </c>
    </row>
    <row r="30" spans="2:2">
      <c r="B30" t="s">
        <v>667</v>
      </c>
    </row>
    <row r="32" spans="2:2">
      <c r="B32" s="2" t="s">
        <v>668</v>
      </c>
    </row>
    <row r="33" spans="1:2">
      <c r="B33" t="s">
        <v>669</v>
      </c>
    </row>
    <row r="34" spans="1:2">
      <c r="B34" t="s">
        <v>670</v>
      </c>
    </row>
    <row r="35" spans="1:2">
      <c r="B35">
        <v>2020</v>
      </c>
    </row>
    <row r="36" spans="1:2">
      <c r="B36" s="18" t="s">
        <v>671</v>
      </c>
    </row>
    <row r="40" spans="1:2">
      <c r="B40" t="s">
        <v>217</v>
      </c>
    </row>
    <row r="42" spans="1:2">
      <c r="A42" s="1" t="s">
        <v>110</v>
      </c>
    </row>
    <row r="43" spans="1:2">
      <c r="A43" t="s">
        <v>269</v>
      </c>
    </row>
    <row r="45" spans="1:2">
      <c r="A45" s="1" t="s">
        <v>516</v>
      </c>
    </row>
    <row r="46" spans="1:2">
      <c r="A46" s="7" t="s">
        <v>518</v>
      </c>
    </row>
    <row r="47" spans="1:2">
      <c r="A47" t="s">
        <v>517</v>
      </c>
    </row>
    <row r="48" spans="1:2">
      <c r="A48" t="s">
        <v>512</v>
      </c>
    </row>
    <row r="49" spans="1:1">
      <c r="A49" t="s">
        <v>513</v>
      </c>
    </row>
    <row r="50" spans="1:1">
      <c r="A50" t="s">
        <v>514</v>
      </c>
    </row>
    <row r="52" spans="1:1">
      <c r="A52" s="1" t="s">
        <v>159</v>
      </c>
    </row>
    <row r="53" spans="1:1">
      <c r="A53" s="7" t="s">
        <v>224</v>
      </c>
    </row>
    <row r="54" spans="1:1">
      <c r="A54" t="s">
        <v>223</v>
      </c>
    </row>
    <row r="56" spans="1:1">
      <c r="A56" s="1" t="s">
        <v>160</v>
      </c>
    </row>
    <row r="57" spans="1:1">
      <c r="A57" s="7" t="s">
        <v>297</v>
      </c>
    </row>
    <row r="58" spans="1:1">
      <c r="A58" t="s">
        <v>298</v>
      </c>
    </row>
    <row r="59" spans="1:1">
      <c r="A59" t="s">
        <v>299</v>
      </c>
    </row>
    <row r="60" spans="1:1">
      <c r="A60" t="s">
        <v>296</v>
      </c>
    </row>
    <row r="62" spans="1:1">
      <c r="A62" s="1" t="s">
        <v>135</v>
      </c>
    </row>
    <row r="63" spans="1:1">
      <c r="A63" s="7" t="s">
        <v>157</v>
      </c>
    </row>
    <row r="64" spans="1:1">
      <c r="A64" t="s">
        <v>136</v>
      </c>
    </row>
    <row r="65" spans="1:1">
      <c r="A65" t="s">
        <v>225</v>
      </c>
    </row>
    <row r="67" spans="1:1">
      <c r="A67" s="1" t="s">
        <v>526</v>
      </c>
    </row>
    <row r="68" spans="1:1">
      <c r="A68" s="7" t="s">
        <v>528</v>
      </c>
    </row>
    <row r="69" spans="1:1">
      <c r="A69" t="s">
        <v>522</v>
      </c>
    </row>
    <row r="70" spans="1:1">
      <c r="A70" t="s">
        <v>523</v>
      </c>
    </row>
    <row r="72" spans="1:1">
      <c r="A72" t="s">
        <v>527</v>
      </c>
    </row>
    <row r="73" spans="1:1">
      <c r="A73" t="s">
        <v>524</v>
      </c>
    </row>
    <row r="74" spans="1:1">
      <c r="A74" t="s">
        <v>525</v>
      </c>
    </row>
    <row r="76" spans="1:1">
      <c r="A76" s="1" t="s">
        <v>191</v>
      </c>
    </row>
    <row r="77" spans="1:1">
      <c r="A77" t="s">
        <v>192</v>
      </c>
    </row>
    <row r="79" spans="1:1">
      <c r="A79" s="1" t="s">
        <v>190</v>
      </c>
    </row>
    <row r="80" spans="1:1">
      <c r="A80" t="s">
        <v>5184</v>
      </c>
    </row>
    <row r="81" spans="1:2">
      <c r="A81" t="s">
        <v>5185</v>
      </c>
    </row>
    <row r="82" spans="1:2">
      <c r="A82" t="s">
        <v>5186</v>
      </c>
    </row>
    <row r="83" spans="1:2">
      <c r="A83" t="s">
        <v>5187</v>
      </c>
    </row>
    <row r="84" spans="1:2">
      <c r="A84" t="s">
        <v>5188</v>
      </c>
    </row>
    <row r="85" spans="1:2">
      <c r="A85" t="s">
        <v>5189</v>
      </c>
    </row>
    <row r="86" spans="1:2">
      <c r="A86" t="s">
        <v>5190</v>
      </c>
    </row>
    <row r="87" spans="1:2">
      <c r="A87" t="s">
        <v>5191</v>
      </c>
    </row>
    <row r="90" spans="1:2">
      <c r="A90" s="13" t="s">
        <v>240</v>
      </c>
      <c r="B90" s="14"/>
    </row>
    <row r="91" spans="1:2">
      <c r="A91" t="s">
        <v>241</v>
      </c>
    </row>
    <row r="92" spans="1:2">
      <c r="A92" t="s">
        <v>242</v>
      </c>
    </row>
    <row r="93" spans="1:2">
      <c r="A93" t="s">
        <v>243</v>
      </c>
    </row>
    <row r="95" spans="1:2">
      <c r="A95">
        <f>10^9</f>
        <v>1000000000</v>
      </c>
    </row>
    <row r="96" spans="1:2">
      <c r="A96">
        <f>10^12</f>
        <v>1000000000000</v>
      </c>
    </row>
    <row r="99" spans="1:2">
      <c r="A99" t="s">
        <v>1424</v>
      </c>
      <c r="B99">
        <v>2024</v>
      </c>
    </row>
  </sheetData>
  <hyperlinks>
    <hyperlink ref="B25" r:id="rId1" xr:uid="{00000000-0004-0000-0000-000000000000}"/>
    <hyperlink ref="B36" r:id="rId2" xr:uid="{C9546F7A-C39E-45C4-B074-927D0EA89C3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9255C-8D25-4D41-BA85-464DAD4E9D1A}">
  <sheetPr>
    <tabColor theme="0" tint="-0.499984740745262"/>
  </sheetPr>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2126-529E-4620-8B74-C65CE227D4C6}">
  <dimension ref="A1:C63"/>
  <sheetViews>
    <sheetView workbookViewId="0"/>
  </sheetViews>
  <sheetFormatPr defaultRowHeight="15"/>
  <cols>
    <col min="1" max="1" width="44.42578125" customWidth="1"/>
    <col min="2" max="2" width="12.5703125" customWidth="1"/>
  </cols>
  <sheetData>
    <row r="1" spans="1:3">
      <c r="A1" t="s">
        <v>636</v>
      </c>
    </row>
    <row r="3" spans="1:3">
      <c r="A3" t="s">
        <v>635</v>
      </c>
      <c r="B3">
        <v>2020</v>
      </c>
      <c r="C3">
        <v>2021</v>
      </c>
    </row>
    <row r="4" spans="1:3">
      <c r="A4" t="s">
        <v>634</v>
      </c>
      <c r="B4">
        <v>937</v>
      </c>
      <c r="C4" s="65">
        <v>1029</v>
      </c>
    </row>
    <row r="5" spans="1:3">
      <c r="A5" t="s">
        <v>618</v>
      </c>
      <c r="B5">
        <v>328</v>
      </c>
      <c r="C5">
        <v>361</v>
      </c>
    </row>
    <row r="6" spans="1:3">
      <c r="A6" t="s">
        <v>617</v>
      </c>
      <c r="B6">
        <v>566</v>
      </c>
      <c r="C6">
        <v>620</v>
      </c>
    </row>
    <row r="7" spans="1:3">
      <c r="A7" t="s">
        <v>620</v>
      </c>
      <c r="B7">
        <v>24</v>
      </c>
      <c r="C7">
        <v>27</v>
      </c>
    </row>
    <row r="8" spans="1:3">
      <c r="A8" t="s">
        <v>337</v>
      </c>
      <c r="B8">
        <v>3</v>
      </c>
      <c r="C8">
        <v>3</v>
      </c>
    </row>
    <row r="9" spans="1:3">
      <c r="A9" t="s">
        <v>336</v>
      </c>
      <c r="B9">
        <v>7</v>
      </c>
      <c r="C9">
        <v>7</v>
      </c>
    </row>
    <row r="10" spans="1:3">
      <c r="A10" t="s">
        <v>632</v>
      </c>
      <c r="B10">
        <v>10</v>
      </c>
      <c r="C10">
        <v>11</v>
      </c>
    </row>
    <row r="11" spans="1:3">
      <c r="A11" t="s">
        <v>633</v>
      </c>
      <c r="B11">
        <v>455</v>
      </c>
      <c r="C11">
        <v>488</v>
      </c>
    </row>
    <row r="12" spans="1:3">
      <c r="A12" t="s">
        <v>618</v>
      </c>
      <c r="B12">
        <v>3</v>
      </c>
      <c r="C12">
        <v>3</v>
      </c>
    </row>
    <row r="13" spans="1:3">
      <c r="A13" t="s">
        <v>617</v>
      </c>
      <c r="B13">
        <v>30</v>
      </c>
      <c r="C13">
        <v>33</v>
      </c>
    </row>
    <row r="14" spans="1:3">
      <c r="A14" t="s">
        <v>620</v>
      </c>
      <c r="B14">
        <v>353</v>
      </c>
      <c r="C14">
        <v>380</v>
      </c>
    </row>
    <row r="15" spans="1:3">
      <c r="A15" t="s">
        <v>337</v>
      </c>
      <c r="B15">
        <v>20</v>
      </c>
      <c r="C15">
        <v>21</v>
      </c>
    </row>
    <row r="16" spans="1:3">
      <c r="A16" t="s">
        <v>180</v>
      </c>
      <c r="B16">
        <v>31</v>
      </c>
      <c r="C16">
        <v>32</v>
      </c>
    </row>
    <row r="17" spans="1:3">
      <c r="A17" t="s">
        <v>632</v>
      </c>
      <c r="B17">
        <v>3</v>
      </c>
      <c r="C17">
        <v>3</v>
      </c>
    </row>
    <row r="18" spans="1:3">
      <c r="A18" s="194" t="s">
        <v>631</v>
      </c>
      <c r="B18" s="194">
        <v>8</v>
      </c>
      <c r="C18" s="194">
        <v>8</v>
      </c>
    </row>
    <row r="19" spans="1:3">
      <c r="A19" t="s">
        <v>625</v>
      </c>
      <c r="B19">
        <v>8</v>
      </c>
      <c r="C19">
        <v>7</v>
      </c>
    </row>
    <row r="20" spans="1:3">
      <c r="A20" t="s">
        <v>319</v>
      </c>
      <c r="B20">
        <v>160</v>
      </c>
      <c r="C20">
        <v>203</v>
      </c>
    </row>
    <row r="21" spans="1:3">
      <c r="A21" t="s">
        <v>630</v>
      </c>
      <c r="B21">
        <v>91</v>
      </c>
      <c r="C21">
        <v>119</v>
      </c>
    </row>
    <row r="22" spans="1:3">
      <c r="A22" t="s">
        <v>629</v>
      </c>
      <c r="B22">
        <v>12</v>
      </c>
      <c r="C22">
        <v>13</v>
      </c>
    </row>
    <row r="23" spans="1:3">
      <c r="A23" t="s">
        <v>627</v>
      </c>
      <c r="B23">
        <v>18</v>
      </c>
      <c r="C23">
        <v>21</v>
      </c>
    </row>
    <row r="24" spans="1:3">
      <c r="A24" t="s">
        <v>625</v>
      </c>
      <c r="B24">
        <v>40</v>
      </c>
      <c r="C24">
        <v>51</v>
      </c>
    </row>
    <row r="25" spans="1:3">
      <c r="A25" t="s">
        <v>628</v>
      </c>
      <c r="B25">
        <v>37</v>
      </c>
      <c r="C25">
        <v>48</v>
      </c>
    </row>
    <row r="26" spans="1:3">
      <c r="A26" t="s">
        <v>320</v>
      </c>
      <c r="B26">
        <v>1</v>
      </c>
      <c r="C26">
        <v>1</v>
      </c>
    </row>
    <row r="27" spans="1:3">
      <c r="A27" t="s">
        <v>627</v>
      </c>
      <c r="B27">
        <v>1</v>
      </c>
      <c r="C27">
        <v>1</v>
      </c>
    </row>
    <row r="28" spans="1:3">
      <c r="A28" t="s">
        <v>315</v>
      </c>
      <c r="B28">
        <v>29</v>
      </c>
      <c r="C28">
        <v>46</v>
      </c>
    </row>
    <row r="29" spans="1:3">
      <c r="A29" s="194" t="s">
        <v>626</v>
      </c>
      <c r="B29" s="194">
        <v>7</v>
      </c>
      <c r="C29" s="194">
        <v>24</v>
      </c>
    </row>
    <row r="30" spans="1:3">
      <c r="A30" t="s">
        <v>625</v>
      </c>
      <c r="B30">
        <v>22</v>
      </c>
      <c r="C30">
        <v>22</v>
      </c>
    </row>
    <row r="31" spans="1:3">
      <c r="A31" t="s">
        <v>624</v>
      </c>
      <c r="B31">
        <v>59</v>
      </c>
      <c r="C31">
        <v>65</v>
      </c>
    </row>
    <row r="32" spans="1:3">
      <c r="A32" t="s">
        <v>618</v>
      </c>
      <c r="B32">
        <v>0</v>
      </c>
      <c r="C32">
        <v>0</v>
      </c>
    </row>
    <row r="33" spans="1:3">
      <c r="A33" t="s">
        <v>617</v>
      </c>
      <c r="B33">
        <v>0</v>
      </c>
      <c r="C33">
        <v>0</v>
      </c>
    </row>
    <row r="34" spans="1:3">
      <c r="A34" t="s">
        <v>623</v>
      </c>
      <c r="B34">
        <v>0</v>
      </c>
      <c r="C34">
        <v>0</v>
      </c>
    </row>
    <row r="35" spans="1:3">
      <c r="A35" t="s">
        <v>337</v>
      </c>
      <c r="B35">
        <v>1</v>
      </c>
      <c r="C35">
        <v>1</v>
      </c>
    </row>
    <row r="36" spans="1:3">
      <c r="A36" t="s">
        <v>622</v>
      </c>
      <c r="B36">
        <v>58</v>
      </c>
      <c r="C36">
        <v>64</v>
      </c>
    </row>
    <row r="37" spans="1:3">
      <c r="A37" t="s">
        <v>621</v>
      </c>
      <c r="B37">
        <v>0</v>
      </c>
      <c r="C37">
        <v>0</v>
      </c>
    </row>
    <row r="38" spans="1:3">
      <c r="A38" t="s">
        <v>618</v>
      </c>
      <c r="B38">
        <v>0</v>
      </c>
      <c r="C38">
        <v>0</v>
      </c>
    </row>
    <row r="39" spans="1:3">
      <c r="A39" t="s">
        <v>617</v>
      </c>
      <c r="B39">
        <v>0</v>
      </c>
      <c r="C39">
        <v>0</v>
      </c>
    </row>
    <row r="40" spans="1:3">
      <c r="A40" t="s">
        <v>620</v>
      </c>
      <c r="B40">
        <v>0</v>
      </c>
      <c r="C40">
        <v>0</v>
      </c>
    </row>
    <row r="41" spans="1:3">
      <c r="A41" t="s">
        <v>337</v>
      </c>
      <c r="B41">
        <v>0</v>
      </c>
      <c r="C41">
        <v>0</v>
      </c>
    </row>
    <row r="42" spans="1:3">
      <c r="A42" t="s">
        <v>619</v>
      </c>
      <c r="B42">
        <v>4</v>
      </c>
      <c r="C42">
        <v>5</v>
      </c>
    </row>
    <row r="43" spans="1:3">
      <c r="A43" t="s">
        <v>618</v>
      </c>
      <c r="B43">
        <v>1</v>
      </c>
      <c r="C43">
        <v>2</v>
      </c>
    </row>
    <row r="44" spans="1:3">
      <c r="A44" t="s">
        <v>617</v>
      </c>
      <c r="B44">
        <v>0</v>
      </c>
      <c r="C44">
        <v>1</v>
      </c>
    </row>
    <row r="45" spans="1:3">
      <c r="A45" t="s">
        <v>337</v>
      </c>
      <c r="B45">
        <v>0</v>
      </c>
      <c r="C45">
        <v>0</v>
      </c>
    </row>
    <row r="46" spans="1:3">
      <c r="A46" t="s">
        <v>180</v>
      </c>
      <c r="B46">
        <v>2</v>
      </c>
      <c r="C46">
        <v>2</v>
      </c>
    </row>
    <row r="47" spans="1:3">
      <c r="A47" t="s">
        <v>616</v>
      </c>
      <c r="B47">
        <v>68.099999999999994</v>
      </c>
      <c r="C47">
        <v>75.400000000000006</v>
      </c>
    </row>
    <row r="48" spans="1:3">
      <c r="A48" t="s">
        <v>615</v>
      </c>
      <c r="B48">
        <v>70</v>
      </c>
      <c r="C48">
        <v>80</v>
      </c>
    </row>
    <row r="49" spans="1:3">
      <c r="A49" t="s">
        <v>614</v>
      </c>
      <c r="B49">
        <v>68.099999999999994</v>
      </c>
      <c r="C49">
        <v>75.400000000000006</v>
      </c>
    </row>
    <row r="50" spans="1:3">
      <c r="A50" t="s">
        <v>613</v>
      </c>
      <c r="B50">
        <v>17.7</v>
      </c>
      <c r="C50">
        <v>16.100000000000001</v>
      </c>
    </row>
    <row r="51" spans="1:3">
      <c r="A51" t="s">
        <v>612</v>
      </c>
    </row>
    <row r="52" spans="1:3">
      <c r="A52" t="s">
        <v>611</v>
      </c>
    </row>
    <row r="53" spans="1:3">
      <c r="A53" t="s">
        <v>610</v>
      </c>
    </row>
    <row r="54" spans="1:3">
      <c r="A54" t="s">
        <v>609</v>
      </c>
    </row>
    <row r="55" spans="1:3">
      <c r="A55" t="s">
        <v>608</v>
      </c>
    </row>
    <row r="56" spans="1:3">
      <c r="A56" t="s">
        <v>607</v>
      </c>
    </row>
    <row r="57" spans="1:3">
      <c r="A57" t="s">
        <v>606</v>
      </c>
    </row>
    <row r="58" spans="1:3">
      <c r="A58" t="s">
        <v>605</v>
      </c>
    </row>
    <row r="59" spans="1:3">
      <c r="A59" t="s">
        <v>604</v>
      </c>
    </row>
    <row r="60" spans="1:3">
      <c r="A60" t="s">
        <v>603</v>
      </c>
    </row>
    <row r="61" spans="1:3">
      <c r="A61" t="s">
        <v>602</v>
      </c>
    </row>
    <row r="62" spans="1:3">
      <c r="A62" t="s">
        <v>601</v>
      </c>
    </row>
    <row r="63" spans="1:3">
      <c r="A63" t="s">
        <v>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27140-4FC1-4D50-823A-6689C1937AB8}">
  <dimension ref="A1:C7"/>
  <sheetViews>
    <sheetView workbookViewId="0"/>
  </sheetViews>
  <sheetFormatPr defaultRowHeight="15"/>
  <sheetData>
    <row r="1" spans="1:3">
      <c r="A1" t="s">
        <v>662</v>
      </c>
      <c r="B1">
        <v>2015</v>
      </c>
      <c r="C1">
        <v>2016</v>
      </c>
    </row>
    <row r="2" spans="1:3">
      <c r="A2" t="s">
        <v>219</v>
      </c>
      <c r="B2">
        <v>1.67</v>
      </c>
      <c r="C2">
        <v>1.67</v>
      </c>
    </row>
    <row r="3" spans="1:3">
      <c r="A3" t="s">
        <v>134</v>
      </c>
      <c r="B3">
        <v>21.196137258578663</v>
      </c>
      <c r="C3">
        <v>21.196137258578663</v>
      </c>
    </row>
    <row r="4" spans="1:3">
      <c r="A4" t="s">
        <v>131</v>
      </c>
      <c r="B4">
        <v>111.39416306433705</v>
      </c>
      <c r="C4">
        <v>111.39416306433705</v>
      </c>
    </row>
    <row r="5" spans="1:3">
      <c r="A5" t="s">
        <v>220</v>
      </c>
      <c r="B5">
        <v>486.56731685074101</v>
      </c>
      <c r="C5">
        <v>486.56731685074101</v>
      </c>
    </row>
    <row r="6" spans="1:3">
      <c r="A6" t="s">
        <v>221</v>
      </c>
      <c r="B6">
        <v>1</v>
      </c>
      <c r="C6">
        <v>1</v>
      </c>
    </row>
    <row r="7" spans="1:3">
      <c r="A7" t="s">
        <v>222</v>
      </c>
      <c r="B7">
        <v>1.2700756740871355</v>
      </c>
      <c r="C7">
        <v>1.2700756740871355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78667-469C-4BA6-95F0-B69C37259256}">
  <dimension ref="A1:C7"/>
  <sheetViews>
    <sheetView workbookViewId="0"/>
  </sheetViews>
  <sheetFormatPr defaultRowHeight="15"/>
  <sheetData>
    <row r="1" spans="1:3">
      <c r="A1" t="s">
        <v>663</v>
      </c>
      <c r="B1">
        <v>2016</v>
      </c>
      <c r="C1">
        <v>2017</v>
      </c>
    </row>
    <row r="2" spans="1:3">
      <c r="A2" t="s">
        <v>219</v>
      </c>
      <c r="B2">
        <v>1</v>
      </c>
      <c r="C2">
        <v>1</v>
      </c>
    </row>
    <row r="3" spans="1:3">
      <c r="A3" t="s">
        <v>134</v>
      </c>
      <c r="B3">
        <v>16</v>
      </c>
      <c r="C3">
        <v>16</v>
      </c>
    </row>
    <row r="4" spans="1:3">
      <c r="A4" t="s">
        <v>131</v>
      </c>
      <c r="B4">
        <v>41.989116133258747</v>
      </c>
      <c r="C4">
        <v>41.989116133258747</v>
      </c>
    </row>
    <row r="5" spans="1:3">
      <c r="A5" t="s">
        <v>220</v>
      </c>
      <c r="B5">
        <v>3512.35916421195</v>
      </c>
      <c r="C5">
        <v>3512.35916421195</v>
      </c>
    </row>
    <row r="6" spans="1:3">
      <c r="A6" t="s">
        <v>221</v>
      </c>
      <c r="B6">
        <v>1974.4736422180429</v>
      </c>
      <c r="C6">
        <v>1974.4736422180429</v>
      </c>
    </row>
    <row r="7" spans="1:3">
      <c r="A7" t="s">
        <v>222</v>
      </c>
      <c r="B7">
        <v>0</v>
      </c>
      <c r="C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5499-FACB-46C7-AFA9-029321334C08}">
  <dimension ref="A1:K13"/>
  <sheetViews>
    <sheetView workbookViewId="0"/>
  </sheetViews>
  <sheetFormatPr defaultRowHeight="15"/>
  <cols>
    <col min="4" max="5" width="12.28515625" bestFit="1" customWidth="1"/>
    <col min="9" max="9" width="12.5703125" customWidth="1"/>
    <col min="10" max="10" width="13.140625" customWidth="1"/>
  </cols>
  <sheetData>
    <row r="1" spans="1:11" s="57" customFormat="1" ht="45">
      <c r="A1" s="1" t="s">
        <v>637</v>
      </c>
      <c r="B1" s="5" t="s">
        <v>638</v>
      </c>
      <c r="C1" s="5" t="s">
        <v>639</v>
      </c>
      <c r="D1" s="5" t="s">
        <v>640</v>
      </c>
      <c r="E1" s="5" t="s">
        <v>641</v>
      </c>
      <c r="F1" s="5" t="s">
        <v>642</v>
      </c>
      <c r="G1" s="5" t="s">
        <v>643</v>
      </c>
      <c r="H1" s="5" t="s">
        <v>644</v>
      </c>
      <c r="I1" s="5" t="s">
        <v>645</v>
      </c>
      <c r="J1" s="5" t="s">
        <v>646</v>
      </c>
      <c r="K1" s="5" t="s">
        <v>647</v>
      </c>
    </row>
    <row r="2" spans="1:11">
      <c r="A2" s="1" t="s">
        <v>648</v>
      </c>
      <c r="B2" s="1">
        <v>0</v>
      </c>
      <c r="C2" s="1">
        <v>5.2751937984496129E-2</v>
      </c>
      <c r="D2" s="1">
        <v>7.2920703974688528E-2</v>
      </c>
      <c r="E2" s="1">
        <v>7.4215991692627201E-2</v>
      </c>
      <c r="F2" s="1">
        <v>0</v>
      </c>
      <c r="G2" s="1">
        <v>0</v>
      </c>
      <c r="H2" s="1">
        <v>0</v>
      </c>
      <c r="I2" s="1">
        <v>0</v>
      </c>
      <c r="J2" s="1">
        <v>6.7030064624894622E-2</v>
      </c>
      <c r="K2" s="1">
        <v>0</v>
      </c>
    </row>
    <row r="3" spans="1:11">
      <c r="A3" t="s">
        <v>649</v>
      </c>
      <c r="B3">
        <v>0</v>
      </c>
      <c r="C3">
        <v>2.0116526890559725E-5</v>
      </c>
      <c r="D3">
        <v>4.9544715566101007E-5</v>
      </c>
      <c r="E3">
        <v>1.712788652906486E-5</v>
      </c>
      <c r="F3">
        <v>4.9544715566101007E-5</v>
      </c>
      <c r="G3">
        <v>1.712788652906486E-5</v>
      </c>
      <c r="H3">
        <v>0</v>
      </c>
      <c r="I3">
        <v>0</v>
      </c>
      <c r="J3">
        <v>1.8676184885610936E-5</v>
      </c>
      <c r="K3">
        <v>0</v>
      </c>
    </row>
    <row r="4" spans="1:11">
      <c r="A4" t="s">
        <v>650</v>
      </c>
      <c r="B4">
        <v>0</v>
      </c>
      <c r="C4">
        <v>1.1140697877224882E-3</v>
      </c>
      <c r="D4">
        <v>1.0281418755433811E-3</v>
      </c>
      <c r="E4">
        <v>7.8217123254521457E-5</v>
      </c>
      <c r="F4">
        <v>1.0281418755433811E-3</v>
      </c>
      <c r="G4">
        <v>7.8217123254521457E-5</v>
      </c>
      <c r="H4">
        <v>0</v>
      </c>
      <c r="I4">
        <v>0</v>
      </c>
      <c r="J4">
        <v>3.2062705253674354E-5</v>
      </c>
      <c r="K4">
        <v>0</v>
      </c>
    </row>
    <row r="5" spans="1:11">
      <c r="A5" t="s">
        <v>651</v>
      </c>
      <c r="B5">
        <v>0</v>
      </c>
      <c r="C5">
        <v>6.3097541324135889E-5</v>
      </c>
      <c r="D5">
        <v>1.0277641947024967E-4</v>
      </c>
      <c r="E5">
        <v>2.4072356363157696E-4</v>
      </c>
      <c r="F5">
        <v>1.0277641947024967E-4</v>
      </c>
      <c r="G5">
        <v>2.4072356363157696E-4</v>
      </c>
      <c r="H5">
        <v>0</v>
      </c>
      <c r="I5">
        <v>0</v>
      </c>
      <c r="J5">
        <v>1.5703800433965642E-4</v>
      </c>
      <c r="K5">
        <v>0</v>
      </c>
    </row>
    <row r="6" spans="1:11">
      <c r="A6" t="s">
        <v>652</v>
      </c>
      <c r="B6">
        <v>0</v>
      </c>
      <c r="C6">
        <v>5.6883776142472345E-6</v>
      </c>
      <c r="D6">
        <v>6.1477987353266523E-6</v>
      </c>
      <c r="E6">
        <v>1.5480763810107913E-5</v>
      </c>
      <c r="F6">
        <v>6.1477987353266523E-6</v>
      </c>
      <c r="G6">
        <v>1.5480763810107913E-5</v>
      </c>
      <c r="H6">
        <v>0</v>
      </c>
      <c r="I6">
        <v>0</v>
      </c>
      <c r="J6">
        <v>5.2810901504427564E-7</v>
      </c>
      <c r="K6">
        <v>0</v>
      </c>
    </row>
    <row r="7" spans="1:11">
      <c r="A7" t="s">
        <v>653</v>
      </c>
      <c r="B7">
        <v>0</v>
      </c>
      <c r="C7">
        <v>2.7736291287811272E-6</v>
      </c>
      <c r="D7">
        <v>2.273617204210358E-6</v>
      </c>
      <c r="E7">
        <v>9.8509838913486975E-6</v>
      </c>
      <c r="F7">
        <v>2.273617204210358E-6</v>
      </c>
      <c r="G7">
        <v>9.8509838913486975E-6</v>
      </c>
      <c r="H7">
        <v>0</v>
      </c>
      <c r="I7">
        <v>0</v>
      </c>
      <c r="J7">
        <v>2.5750374652167907E-7</v>
      </c>
      <c r="K7">
        <v>0</v>
      </c>
    </row>
    <row r="8" spans="1:11">
      <c r="A8" t="s">
        <v>654</v>
      </c>
      <c r="B8">
        <v>0</v>
      </c>
      <c r="C8">
        <v>0</v>
      </c>
      <c r="D8">
        <v>7.7296863713074176E-7</v>
      </c>
      <c r="E8">
        <v>6.6613125184792967E-7</v>
      </c>
      <c r="F8">
        <v>7.7296863713074176E-7</v>
      </c>
      <c r="G8">
        <v>6.6613125184792967E-7</v>
      </c>
      <c r="H8">
        <v>0</v>
      </c>
      <c r="I8">
        <v>0</v>
      </c>
      <c r="J8">
        <v>0</v>
      </c>
      <c r="K8">
        <v>0</v>
      </c>
    </row>
    <row r="9" spans="1:11">
      <c r="A9" t="s">
        <v>655</v>
      </c>
      <c r="B9">
        <v>0</v>
      </c>
      <c r="C9">
        <v>2.2005086227935254E-7</v>
      </c>
      <c r="D9">
        <v>3.5502593940717002E-7</v>
      </c>
      <c r="E9">
        <v>4.9362700839501394E-6</v>
      </c>
      <c r="F9">
        <v>3.5502593940717002E-7</v>
      </c>
      <c r="G9">
        <v>4.9362700839501394E-6</v>
      </c>
      <c r="H9">
        <v>0</v>
      </c>
      <c r="I9">
        <v>0</v>
      </c>
      <c r="J9">
        <v>2.0429523498392262E-8</v>
      </c>
      <c r="K9">
        <v>0</v>
      </c>
    </row>
    <row r="10" spans="1:11">
      <c r="A10" t="s">
        <v>656</v>
      </c>
      <c r="B10">
        <v>0</v>
      </c>
      <c r="C10">
        <v>3.9999293880667245E-7</v>
      </c>
      <c r="D10">
        <v>1.0010432230231727E-6</v>
      </c>
      <c r="E10">
        <v>2.6892846474589374E-6</v>
      </c>
      <c r="F10">
        <v>1.0010432230231727E-6</v>
      </c>
      <c r="G10">
        <v>2.6892846474589374E-6</v>
      </c>
      <c r="H10">
        <v>0</v>
      </c>
      <c r="I10">
        <v>0</v>
      </c>
      <c r="J10">
        <v>3.7135347064298439E-8</v>
      </c>
      <c r="K10">
        <v>0</v>
      </c>
    </row>
    <row r="11" spans="1:11">
      <c r="A11" t="s">
        <v>657</v>
      </c>
      <c r="B11">
        <v>0</v>
      </c>
      <c r="C11">
        <v>9.9999999999999995E-7</v>
      </c>
      <c r="D11">
        <v>3.0000000000000001E-6</v>
      </c>
      <c r="E11">
        <v>3.0000000000000001E-6</v>
      </c>
      <c r="F11">
        <v>0</v>
      </c>
      <c r="G11">
        <v>0</v>
      </c>
      <c r="H11">
        <v>0</v>
      </c>
      <c r="I11">
        <v>0</v>
      </c>
      <c r="J11">
        <v>3.0000000000000001E-6</v>
      </c>
      <c r="K11">
        <v>0</v>
      </c>
    </row>
    <row r="12" spans="1:11">
      <c r="A12" t="s">
        <v>658</v>
      </c>
      <c r="B12">
        <v>0</v>
      </c>
      <c r="C12">
        <v>1.0000000000000001E-7</v>
      </c>
      <c r="D12">
        <v>5.9999999999999997E-7</v>
      </c>
      <c r="E12">
        <v>5.9999999999999997E-7</v>
      </c>
      <c r="F12">
        <v>0</v>
      </c>
      <c r="G12">
        <v>0</v>
      </c>
      <c r="H12">
        <v>0</v>
      </c>
      <c r="I12">
        <v>0</v>
      </c>
      <c r="J12">
        <v>5.9999999999999997E-7</v>
      </c>
      <c r="K12">
        <v>0</v>
      </c>
    </row>
    <row r="13" spans="1:11">
      <c r="A13" t="s">
        <v>659</v>
      </c>
      <c r="B13">
        <v>0</v>
      </c>
      <c r="C13">
        <v>0</v>
      </c>
      <c r="D13">
        <v>0</v>
      </c>
      <c r="E13">
        <v>0</v>
      </c>
      <c r="F13">
        <v>0</v>
      </c>
      <c r="G13">
        <v>0</v>
      </c>
      <c r="H13">
        <v>0</v>
      </c>
      <c r="I13">
        <v>0</v>
      </c>
      <c r="J13">
        <v>0</v>
      </c>
      <c r="K1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832"/>
  <sheetViews>
    <sheetView workbookViewId="0"/>
  </sheetViews>
  <sheetFormatPr defaultRowHeight="15" customHeight="1"/>
  <cols>
    <col min="1" max="1" width="11.7109375" customWidth="1"/>
    <col min="2" max="2" width="45.7109375" customWidth="1"/>
  </cols>
  <sheetData>
    <row r="1" spans="1:33" ht="15" customHeight="1" thickBot="1">
      <c r="B1" s="61" t="s">
        <v>1059</v>
      </c>
      <c r="C1" s="62">
        <v>2022</v>
      </c>
      <c r="D1" s="62">
        <v>2023</v>
      </c>
      <c r="E1" s="62">
        <v>2024</v>
      </c>
      <c r="F1" s="62">
        <v>2025</v>
      </c>
      <c r="G1" s="62">
        <v>2026</v>
      </c>
      <c r="H1" s="62">
        <v>2027</v>
      </c>
      <c r="I1" s="62">
        <v>2028</v>
      </c>
      <c r="J1" s="62">
        <v>2029</v>
      </c>
      <c r="K1" s="62">
        <v>2030</v>
      </c>
      <c r="L1" s="62">
        <v>2031</v>
      </c>
      <c r="M1" s="62">
        <v>2032</v>
      </c>
      <c r="N1" s="62">
        <v>2033</v>
      </c>
      <c r="O1" s="62">
        <v>2034</v>
      </c>
      <c r="P1" s="62">
        <v>2035</v>
      </c>
      <c r="Q1" s="62">
        <v>2036</v>
      </c>
      <c r="R1" s="62">
        <v>2037</v>
      </c>
      <c r="S1" s="62">
        <v>2038</v>
      </c>
      <c r="T1" s="62">
        <v>2039</v>
      </c>
      <c r="U1" s="62">
        <v>2040</v>
      </c>
      <c r="V1" s="62">
        <v>2041</v>
      </c>
      <c r="W1" s="62">
        <v>2042</v>
      </c>
      <c r="X1" s="62">
        <v>2043</v>
      </c>
      <c r="Y1" s="62">
        <v>2044</v>
      </c>
      <c r="Z1" s="62">
        <v>2045</v>
      </c>
      <c r="AA1" s="62">
        <v>2046</v>
      </c>
      <c r="AB1" s="62">
        <v>2047</v>
      </c>
      <c r="AC1" s="62">
        <v>2048</v>
      </c>
      <c r="AD1" s="62">
        <v>2049</v>
      </c>
      <c r="AE1" s="62">
        <v>2050</v>
      </c>
    </row>
    <row r="2" spans="1:33" ht="15" customHeight="1" thickTop="1"/>
    <row r="3" spans="1:33" ht="15" customHeight="1">
      <c r="C3" s="63" t="s">
        <v>109</v>
      </c>
      <c r="D3" s="63" t="s">
        <v>1060</v>
      </c>
      <c r="E3" s="133"/>
      <c r="F3" s="133"/>
      <c r="G3" s="133"/>
    </row>
    <row r="4" spans="1:33" ht="15" customHeight="1">
      <c r="C4" s="63" t="s">
        <v>108</v>
      </c>
      <c r="D4" s="63" t="s">
        <v>1061</v>
      </c>
      <c r="E4" s="133"/>
      <c r="F4" s="133"/>
      <c r="G4" s="63" t="s">
        <v>1062</v>
      </c>
    </row>
    <row r="5" spans="1:33" ht="15" customHeight="1">
      <c r="C5" s="63" t="s">
        <v>107</v>
      </c>
      <c r="D5" s="63" t="s">
        <v>1063</v>
      </c>
      <c r="E5" s="133"/>
      <c r="F5" s="133"/>
      <c r="G5" s="133"/>
    </row>
    <row r="6" spans="1:33" ht="15" customHeight="1">
      <c r="C6" s="63" t="s">
        <v>106</v>
      </c>
      <c r="D6" s="133"/>
      <c r="E6" s="63" t="s">
        <v>1064</v>
      </c>
      <c r="F6" s="133"/>
      <c r="G6" s="133"/>
    </row>
    <row r="7" spans="1:33" ht="12" customHeight="1"/>
    <row r="8" spans="1:33" ht="12" customHeight="1"/>
    <row r="9" spans="1:33" ht="12" customHeight="1">
      <c r="B9" s="134"/>
      <c r="C9" s="134"/>
      <c r="D9" s="134"/>
      <c r="E9" s="134"/>
      <c r="F9" s="134"/>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4"/>
      <c r="AG9" s="134"/>
    </row>
    <row r="10" spans="1:33" ht="15" customHeight="1">
      <c r="A10" s="15" t="s">
        <v>105</v>
      </c>
      <c r="B10" s="135" t="s">
        <v>104</v>
      </c>
      <c r="C10" s="134"/>
      <c r="D10" s="134"/>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6" t="s">
        <v>1065</v>
      </c>
      <c r="AG10" s="134"/>
    </row>
    <row r="11" spans="1:33" ht="15" customHeight="1">
      <c r="B11" s="137"/>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c r="AA11" s="134"/>
      <c r="AB11" s="134"/>
      <c r="AC11" s="134"/>
      <c r="AD11" s="134"/>
      <c r="AE11" s="134"/>
      <c r="AF11" s="136" t="s">
        <v>1066</v>
      </c>
      <c r="AG11" s="134"/>
    </row>
    <row r="12" spans="1:33" ht="15" customHeight="1">
      <c r="B12" s="137"/>
      <c r="C12" s="138"/>
      <c r="D12" s="138"/>
      <c r="E12" s="138"/>
      <c r="F12" s="138"/>
      <c r="G12" s="138"/>
      <c r="H12" s="138"/>
      <c r="I12" s="138"/>
      <c r="J12" s="138"/>
      <c r="K12" s="138"/>
      <c r="L12" s="138"/>
      <c r="M12" s="138"/>
      <c r="N12" s="138"/>
      <c r="O12" s="138"/>
      <c r="P12" s="138"/>
      <c r="Q12" s="138"/>
      <c r="R12" s="138"/>
      <c r="S12" s="138"/>
      <c r="T12" s="138"/>
      <c r="U12" s="138"/>
      <c r="V12" s="138"/>
      <c r="W12" s="138"/>
      <c r="X12" s="138"/>
      <c r="Y12" s="138"/>
      <c r="Z12" s="138"/>
      <c r="AA12" s="138"/>
      <c r="AB12" s="138"/>
      <c r="AC12" s="138"/>
      <c r="AD12" s="138"/>
      <c r="AE12" s="138"/>
      <c r="AF12" s="136" t="s">
        <v>1067</v>
      </c>
      <c r="AG12" s="134"/>
    </row>
    <row r="13" spans="1:33" ht="15" customHeight="1" thickBot="1">
      <c r="B13" s="139" t="s">
        <v>102</v>
      </c>
      <c r="C13" s="139">
        <v>2022</v>
      </c>
      <c r="D13" s="139">
        <v>2023</v>
      </c>
      <c r="E13" s="139">
        <v>2024</v>
      </c>
      <c r="F13" s="139">
        <v>2025</v>
      </c>
      <c r="G13" s="139">
        <v>2026</v>
      </c>
      <c r="H13" s="139">
        <v>2027</v>
      </c>
      <c r="I13" s="139">
        <v>2028</v>
      </c>
      <c r="J13" s="139">
        <v>2029</v>
      </c>
      <c r="K13" s="139">
        <v>2030</v>
      </c>
      <c r="L13" s="139">
        <v>2031</v>
      </c>
      <c r="M13" s="139">
        <v>2032</v>
      </c>
      <c r="N13" s="139">
        <v>2033</v>
      </c>
      <c r="O13" s="139">
        <v>2034</v>
      </c>
      <c r="P13" s="139">
        <v>2035</v>
      </c>
      <c r="Q13" s="139">
        <v>2036</v>
      </c>
      <c r="R13" s="139">
        <v>2037</v>
      </c>
      <c r="S13" s="139">
        <v>2038</v>
      </c>
      <c r="T13" s="139">
        <v>2039</v>
      </c>
      <c r="U13" s="139">
        <v>2040</v>
      </c>
      <c r="V13" s="139">
        <v>2041</v>
      </c>
      <c r="W13" s="139">
        <v>2042</v>
      </c>
      <c r="X13" s="139">
        <v>2043</v>
      </c>
      <c r="Y13" s="139">
        <v>2044</v>
      </c>
      <c r="Z13" s="139">
        <v>2045</v>
      </c>
      <c r="AA13" s="139">
        <v>2046</v>
      </c>
      <c r="AB13" s="139">
        <v>2047</v>
      </c>
      <c r="AC13" s="139">
        <v>2048</v>
      </c>
      <c r="AD13" s="139">
        <v>2049</v>
      </c>
      <c r="AE13" s="139">
        <v>2050</v>
      </c>
      <c r="AF13" s="140" t="s">
        <v>1068</v>
      </c>
      <c r="AG13" s="134"/>
    </row>
    <row r="14" spans="1:33" ht="15" customHeight="1" thickTop="1">
      <c r="B14" s="134"/>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c r="AA14" s="134"/>
      <c r="AB14" s="134"/>
      <c r="AC14" s="134"/>
      <c r="AD14" s="134"/>
      <c r="AE14" s="134"/>
      <c r="AF14" s="134"/>
      <c r="AG14" s="134"/>
    </row>
    <row r="15" spans="1:33" ht="15" customHeight="1">
      <c r="B15" s="141" t="s">
        <v>101</v>
      </c>
      <c r="C15" s="134"/>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c r="AC15" s="134"/>
      <c r="AD15" s="134"/>
      <c r="AE15" s="134"/>
      <c r="AF15" s="134"/>
      <c r="AG15" s="134"/>
    </row>
    <row r="16" spans="1:33" ht="15" customHeight="1">
      <c r="B16" s="141" t="s">
        <v>100</v>
      </c>
      <c r="C16" s="134"/>
      <c r="D16" s="134"/>
      <c r="E16" s="134"/>
      <c r="F16" s="134"/>
      <c r="G16" s="134"/>
      <c r="H16" s="134"/>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row>
    <row r="17" spans="1:33" ht="15" customHeight="1">
      <c r="B17" s="141" t="s">
        <v>99</v>
      </c>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c r="AA17" s="134"/>
      <c r="AB17" s="134"/>
      <c r="AC17" s="134"/>
      <c r="AD17" s="134"/>
      <c r="AE17" s="134"/>
      <c r="AF17" s="134"/>
      <c r="AG17" s="134"/>
    </row>
    <row r="18" spans="1:33" ht="15" customHeight="1">
      <c r="A18" s="15" t="s">
        <v>98</v>
      </c>
      <c r="B18" s="142" t="s">
        <v>97</v>
      </c>
      <c r="C18" s="143">
        <v>2843.298096</v>
      </c>
      <c r="D18" s="143">
        <v>2901.3588869999999</v>
      </c>
      <c r="E18" s="143">
        <v>2922.5065920000002</v>
      </c>
      <c r="F18" s="143">
        <v>2933.360107</v>
      </c>
      <c r="G18" s="143">
        <v>2954.2380370000001</v>
      </c>
      <c r="H18" s="143">
        <v>2981.9343260000001</v>
      </c>
      <c r="I18" s="143">
        <v>3007.5581050000001</v>
      </c>
      <c r="J18" s="143">
        <v>3027.5729980000001</v>
      </c>
      <c r="K18" s="143">
        <v>3042.8432619999999</v>
      </c>
      <c r="L18" s="143">
        <v>3055.7746579999998</v>
      </c>
      <c r="M18" s="143">
        <v>3066.6516109999998</v>
      </c>
      <c r="N18" s="143">
        <v>3082.359375</v>
      </c>
      <c r="O18" s="143">
        <v>3102.4182129999999</v>
      </c>
      <c r="P18" s="143">
        <v>3120.7375489999999</v>
      </c>
      <c r="Q18" s="143">
        <v>3135.6208499999998</v>
      </c>
      <c r="R18" s="143">
        <v>3152.9177249999998</v>
      </c>
      <c r="S18" s="143">
        <v>3172.435547</v>
      </c>
      <c r="T18" s="143">
        <v>3192.100586</v>
      </c>
      <c r="U18" s="143">
        <v>3214.5629880000001</v>
      </c>
      <c r="V18" s="143">
        <v>3237.5805660000001</v>
      </c>
      <c r="W18" s="143">
        <v>3261.5847170000002</v>
      </c>
      <c r="X18" s="143">
        <v>3284.897461</v>
      </c>
      <c r="Y18" s="143">
        <v>3309.0390619999998</v>
      </c>
      <c r="Z18" s="143">
        <v>3334.7033689999998</v>
      </c>
      <c r="AA18" s="143">
        <v>3364.522461</v>
      </c>
      <c r="AB18" s="143">
        <v>3396.5351559999999</v>
      </c>
      <c r="AC18" s="143">
        <v>3429.5627439999998</v>
      </c>
      <c r="AD18" s="143">
        <v>3463.0249020000001</v>
      </c>
      <c r="AE18" s="143">
        <v>3499.5429690000001</v>
      </c>
      <c r="AF18" s="144">
        <v>7.4440000000000001E-3</v>
      </c>
      <c r="AG18" s="134"/>
    </row>
    <row r="19" spans="1:33" ht="15" customHeight="1">
      <c r="A19" s="15" t="s">
        <v>96</v>
      </c>
      <c r="B19" s="142" t="s">
        <v>95</v>
      </c>
      <c r="C19" s="143">
        <v>102.214951</v>
      </c>
      <c r="D19" s="143">
        <v>103.34345999999999</v>
      </c>
      <c r="E19" s="143">
        <v>103.55378</v>
      </c>
      <c r="F19" s="143">
        <v>104.36998699999999</v>
      </c>
      <c r="G19" s="143">
        <v>105.656265</v>
      </c>
      <c r="H19" s="143">
        <v>107.002548</v>
      </c>
      <c r="I19" s="143">
        <v>108.204063</v>
      </c>
      <c r="J19" s="143">
        <v>109.329842</v>
      </c>
      <c r="K19" s="143">
        <v>110.214569</v>
      </c>
      <c r="L19" s="143">
        <v>111.063705</v>
      </c>
      <c r="M19" s="143">
        <v>112.175911</v>
      </c>
      <c r="N19" s="143">
        <v>113.26731100000001</v>
      </c>
      <c r="O19" s="143">
        <v>114.361328</v>
      </c>
      <c r="P19" s="143">
        <v>115.539856</v>
      </c>
      <c r="Q19" s="143">
        <v>116.693398</v>
      </c>
      <c r="R19" s="143">
        <v>117.934776</v>
      </c>
      <c r="S19" s="143">
        <v>119.26325199999999</v>
      </c>
      <c r="T19" s="143">
        <v>120.517143</v>
      </c>
      <c r="U19" s="143">
        <v>121.965698</v>
      </c>
      <c r="V19" s="143">
        <v>123.543205</v>
      </c>
      <c r="W19" s="143">
        <v>125.055435</v>
      </c>
      <c r="X19" s="143">
        <v>126.490196</v>
      </c>
      <c r="Y19" s="143">
        <v>127.831902</v>
      </c>
      <c r="Z19" s="143">
        <v>129.14802599999999</v>
      </c>
      <c r="AA19" s="143">
        <v>130.647919</v>
      </c>
      <c r="AB19" s="143">
        <v>132.25534099999999</v>
      </c>
      <c r="AC19" s="143">
        <v>133.71923799999999</v>
      </c>
      <c r="AD19" s="143">
        <v>135.16911300000001</v>
      </c>
      <c r="AE19" s="143">
        <v>137.065033</v>
      </c>
      <c r="AF19" s="144">
        <v>1.0533000000000001E-2</v>
      </c>
      <c r="AG19" s="134"/>
    </row>
    <row r="20" spans="1:33" ht="15" customHeight="1">
      <c r="A20" s="15" t="s">
        <v>94</v>
      </c>
      <c r="B20" s="142" t="s">
        <v>93</v>
      </c>
      <c r="C20" s="143">
        <v>321.95498700000002</v>
      </c>
      <c r="D20" s="143">
        <v>320.72061200000002</v>
      </c>
      <c r="E20" s="143">
        <v>321.15664700000002</v>
      </c>
      <c r="F20" s="143">
        <v>324.03918499999997</v>
      </c>
      <c r="G20" s="143">
        <v>328.45147700000001</v>
      </c>
      <c r="H20" s="143">
        <v>332.319275</v>
      </c>
      <c r="I20" s="143">
        <v>335.87875400000001</v>
      </c>
      <c r="J20" s="143">
        <v>338.62100199999998</v>
      </c>
      <c r="K20" s="143">
        <v>341.15325899999999</v>
      </c>
      <c r="L20" s="143">
        <v>344.16229199999998</v>
      </c>
      <c r="M20" s="143">
        <v>348.16583300000002</v>
      </c>
      <c r="N20" s="143">
        <v>351.54122899999999</v>
      </c>
      <c r="O20" s="143">
        <v>354.83010899999999</v>
      </c>
      <c r="P20" s="143">
        <v>358.344696</v>
      </c>
      <c r="Q20" s="143">
        <v>361.39355499999999</v>
      </c>
      <c r="R20" s="143">
        <v>364.92678799999999</v>
      </c>
      <c r="S20" s="143">
        <v>368.38064600000001</v>
      </c>
      <c r="T20" s="143">
        <v>371.81143200000002</v>
      </c>
      <c r="U20" s="143">
        <v>375.58807400000001</v>
      </c>
      <c r="V20" s="143">
        <v>379.58752399999997</v>
      </c>
      <c r="W20" s="143">
        <v>383.51464800000002</v>
      </c>
      <c r="X20" s="143">
        <v>387.20883199999997</v>
      </c>
      <c r="Y20" s="143">
        <v>390.63339200000001</v>
      </c>
      <c r="Z20" s="143">
        <v>393.83795199999997</v>
      </c>
      <c r="AA20" s="143">
        <v>397.54263300000002</v>
      </c>
      <c r="AB20" s="143">
        <v>401.35467499999999</v>
      </c>
      <c r="AC20" s="143">
        <v>404.65982100000002</v>
      </c>
      <c r="AD20" s="143">
        <v>408.22445699999997</v>
      </c>
      <c r="AE20" s="143">
        <v>413.08251999999999</v>
      </c>
      <c r="AF20" s="144">
        <v>8.9409999999999993E-3</v>
      </c>
      <c r="AG20" s="134"/>
    </row>
    <row r="21" spans="1:33" ht="15" customHeight="1">
      <c r="B21" s="141" t="s">
        <v>252</v>
      </c>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c r="AA21" s="134"/>
      <c r="AB21" s="134"/>
      <c r="AC21" s="134"/>
      <c r="AD21" s="134"/>
      <c r="AE21" s="134"/>
      <c r="AF21" s="134"/>
      <c r="AG21" s="134"/>
    </row>
    <row r="22" spans="1:33" ht="15" customHeight="1">
      <c r="A22" s="15" t="s">
        <v>248</v>
      </c>
      <c r="B22" s="142" t="s">
        <v>249</v>
      </c>
      <c r="C22" s="143">
        <v>175.473648</v>
      </c>
      <c r="D22" s="143">
        <v>186.883286</v>
      </c>
      <c r="E22" s="143">
        <v>193.369202</v>
      </c>
      <c r="F22" s="143">
        <v>197.39228800000001</v>
      </c>
      <c r="G22" s="143">
        <v>200.32751500000001</v>
      </c>
      <c r="H22" s="143">
        <v>202.52967799999999</v>
      </c>
      <c r="I22" s="143">
        <v>204.211411</v>
      </c>
      <c r="J22" s="143">
        <v>205.46838399999999</v>
      </c>
      <c r="K22" s="143">
        <v>206.39357000000001</v>
      </c>
      <c r="L22" s="143">
        <v>207.029404</v>
      </c>
      <c r="M22" s="143">
        <v>207.54084800000001</v>
      </c>
      <c r="N22" s="143">
        <v>207.99565100000001</v>
      </c>
      <c r="O22" s="143">
        <v>208.43975800000001</v>
      </c>
      <c r="P22" s="143">
        <v>208.79684399999999</v>
      </c>
      <c r="Q22" s="143">
        <v>209.10339400000001</v>
      </c>
      <c r="R22" s="143">
        <v>209.37013200000001</v>
      </c>
      <c r="S22" s="143">
        <v>209.49378999999999</v>
      </c>
      <c r="T22" s="143">
        <v>209.54415900000001</v>
      </c>
      <c r="U22" s="143">
        <v>209.54357899999999</v>
      </c>
      <c r="V22" s="143">
        <v>209.49118000000001</v>
      </c>
      <c r="W22" s="143">
        <v>209.41184999999999</v>
      </c>
      <c r="X22" s="143">
        <v>209.25843800000001</v>
      </c>
      <c r="Y22" s="143">
        <v>209.10913099999999</v>
      </c>
      <c r="Z22" s="143">
        <v>208.931015</v>
      </c>
      <c r="AA22" s="143">
        <v>208.81189000000001</v>
      </c>
      <c r="AB22" s="143">
        <v>208.60612499999999</v>
      </c>
      <c r="AC22" s="143">
        <v>208.41769400000001</v>
      </c>
      <c r="AD22" s="143">
        <v>208.192352</v>
      </c>
      <c r="AE22" s="143">
        <v>207.995926</v>
      </c>
      <c r="AF22" s="144">
        <v>6.0910000000000001E-3</v>
      </c>
      <c r="AG22" s="134"/>
    </row>
    <row r="23" spans="1:33" ht="15" customHeight="1">
      <c r="A23" s="15" t="s">
        <v>250</v>
      </c>
      <c r="B23" s="142" t="s">
        <v>251</v>
      </c>
      <c r="C23" s="143">
        <v>30.144946999999998</v>
      </c>
      <c r="D23" s="143">
        <v>32.030231000000001</v>
      </c>
      <c r="E23" s="143">
        <v>33.064109999999999</v>
      </c>
      <c r="F23" s="143">
        <v>33.706195999999998</v>
      </c>
      <c r="G23" s="143">
        <v>34.620327000000003</v>
      </c>
      <c r="H23" s="143">
        <v>35.443916000000002</v>
      </c>
      <c r="I23" s="143">
        <v>36.137473999999997</v>
      </c>
      <c r="J23" s="143">
        <v>36.650322000000003</v>
      </c>
      <c r="K23" s="143">
        <v>37.00806</v>
      </c>
      <c r="L23" s="143">
        <v>37.264552999999999</v>
      </c>
      <c r="M23" s="143">
        <v>37.633518000000002</v>
      </c>
      <c r="N23" s="143">
        <v>38.067889999999998</v>
      </c>
      <c r="O23" s="143">
        <v>38.564194000000001</v>
      </c>
      <c r="P23" s="143">
        <v>38.985652999999999</v>
      </c>
      <c r="Q23" s="143">
        <v>39.398944999999998</v>
      </c>
      <c r="R23" s="143">
        <v>39.809189000000003</v>
      </c>
      <c r="S23" s="143">
        <v>40.237045000000002</v>
      </c>
      <c r="T23" s="143">
        <v>40.652228999999998</v>
      </c>
      <c r="U23" s="143">
        <v>41.127974999999999</v>
      </c>
      <c r="V23" s="143">
        <v>41.567630999999999</v>
      </c>
      <c r="W23" s="143">
        <v>42.019573000000001</v>
      </c>
      <c r="X23" s="143">
        <v>42.407310000000003</v>
      </c>
      <c r="Y23" s="143">
        <v>42.842342000000002</v>
      </c>
      <c r="Z23" s="143">
        <v>43.266334999999998</v>
      </c>
      <c r="AA23" s="143">
        <v>43.867863</v>
      </c>
      <c r="AB23" s="143">
        <v>44.361511</v>
      </c>
      <c r="AC23" s="143">
        <v>44.905074999999997</v>
      </c>
      <c r="AD23" s="143">
        <v>45.395485000000001</v>
      </c>
      <c r="AE23" s="143">
        <v>46.002594000000002</v>
      </c>
      <c r="AF23" s="144">
        <v>1.521E-2</v>
      </c>
      <c r="AG23" s="134"/>
    </row>
    <row r="24" spans="1:33" ht="15" customHeight="1">
      <c r="B24" s="141" t="s">
        <v>92</v>
      </c>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row>
    <row r="25" spans="1:33" ht="15" customHeight="1">
      <c r="A25" s="15" t="s">
        <v>91</v>
      </c>
      <c r="B25" s="142" t="s">
        <v>90</v>
      </c>
      <c r="C25" s="143">
        <v>1173.034668</v>
      </c>
      <c r="D25" s="143">
        <v>1318.6945800000001</v>
      </c>
      <c r="E25" s="143">
        <v>1361.6110839999999</v>
      </c>
      <c r="F25" s="143">
        <v>1371.6551509999999</v>
      </c>
      <c r="G25" s="143">
        <v>1402.9279790000001</v>
      </c>
      <c r="H25" s="143">
        <v>1433.8398440000001</v>
      </c>
      <c r="I25" s="143">
        <v>1461.472168</v>
      </c>
      <c r="J25" s="143">
        <v>1484.8291019999999</v>
      </c>
      <c r="K25" s="143">
        <v>1504.2687989999999</v>
      </c>
      <c r="L25" s="143">
        <v>1524.7269289999999</v>
      </c>
      <c r="M25" s="143">
        <v>1552.256836</v>
      </c>
      <c r="N25" s="143">
        <v>1583.9248050000001</v>
      </c>
      <c r="O25" s="143">
        <v>1615.380249</v>
      </c>
      <c r="P25" s="143">
        <v>1647.3461910000001</v>
      </c>
      <c r="Q25" s="143">
        <v>1682.5896</v>
      </c>
      <c r="R25" s="143">
        <v>1721.046875</v>
      </c>
      <c r="S25" s="143">
        <v>1761.139038</v>
      </c>
      <c r="T25" s="143">
        <v>1801.9410399999999</v>
      </c>
      <c r="U25" s="143">
        <v>1848.0720209999999</v>
      </c>
      <c r="V25" s="143">
        <v>1894.2041019999999</v>
      </c>
      <c r="W25" s="143">
        <v>1941.463013</v>
      </c>
      <c r="X25" s="143">
        <v>1990.3642580000001</v>
      </c>
      <c r="Y25" s="143">
        <v>2038.4373780000001</v>
      </c>
      <c r="Z25" s="143">
        <v>2085.6875</v>
      </c>
      <c r="AA25" s="143">
        <v>2134.0048830000001</v>
      </c>
      <c r="AB25" s="143">
        <v>2185.8969729999999</v>
      </c>
      <c r="AC25" s="143">
        <v>2238.836182</v>
      </c>
      <c r="AD25" s="143">
        <v>2292.3554690000001</v>
      </c>
      <c r="AE25" s="143">
        <v>2350.2690429999998</v>
      </c>
      <c r="AF25" s="144">
        <v>2.513E-2</v>
      </c>
      <c r="AG25" s="134"/>
    </row>
    <row r="26" spans="1:33" ht="15" customHeight="1">
      <c r="B26" s="141" t="s">
        <v>89</v>
      </c>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c r="AA26" s="134"/>
      <c r="AB26" s="134"/>
      <c r="AC26" s="134"/>
      <c r="AD26" s="134"/>
      <c r="AE26" s="134"/>
      <c r="AF26" s="134"/>
      <c r="AG26" s="134"/>
    </row>
    <row r="27" spans="1:33" ht="15" customHeight="1">
      <c r="A27" s="15" t="s">
        <v>88</v>
      </c>
      <c r="B27" s="142" t="s">
        <v>47</v>
      </c>
      <c r="C27" s="143">
        <v>1620.4948730000001</v>
      </c>
      <c r="D27" s="143">
        <v>1600.1008300000001</v>
      </c>
      <c r="E27" s="143">
        <v>1666.9197999999999</v>
      </c>
      <c r="F27" s="143">
        <v>1628.408447</v>
      </c>
      <c r="G27" s="143">
        <v>1561.420654</v>
      </c>
      <c r="H27" s="143">
        <v>1509.649414</v>
      </c>
      <c r="I27" s="143">
        <v>1489.7312010000001</v>
      </c>
      <c r="J27" s="143">
        <v>1507.5151370000001</v>
      </c>
      <c r="K27" s="143">
        <v>1500.1649170000001</v>
      </c>
      <c r="L27" s="143">
        <v>1506.952393</v>
      </c>
      <c r="M27" s="143">
        <v>1522.1982419999999</v>
      </c>
      <c r="N27" s="143">
        <v>1534.73938</v>
      </c>
      <c r="O27" s="143">
        <v>1543.237427</v>
      </c>
      <c r="P27" s="143">
        <v>1554.590698</v>
      </c>
      <c r="Q27" s="143">
        <v>1557.5253909999999</v>
      </c>
      <c r="R27" s="143">
        <v>1562.481567</v>
      </c>
      <c r="S27" s="143">
        <v>1568.966064</v>
      </c>
      <c r="T27" s="143">
        <v>1568.3394780000001</v>
      </c>
      <c r="U27" s="143">
        <v>1571.777466</v>
      </c>
      <c r="V27" s="143">
        <v>1585.611206</v>
      </c>
      <c r="W27" s="143">
        <v>1597.3070070000001</v>
      </c>
      <c r="X27" s="143">
        <v>1600.190918</v>
      </c>
      <c r="Y27" s="143">
        <v>1601.832764</v>
      </c>
      <c r="Z27" s="143">
        <v>1602.998779</v>
      </c>
      <c r="AA27" s="143">
        <v>1608.1293949999999</v>
      </c>
      <c r="AB27" s="143">
        <v>1618.0823969999999</v>
      </c>
      <c r="AC27" s="143">
        <v>1630.8079829999999</v>
      </c>
      <c r="AD27" s="143">
        <v>1636.8905030000001</v>
      </c>
      <c r="AE27" s="143">
        <v>1649.469482</v>
      </c>
      <c r="AF27" s="144">
        <v>6.3299999999999999E-4</v>
      </c>
      <c r="AG27" s="134"/>
    </row>
    <row r="28" spans="1:33" ht="15" customHeight="1">
      <c r="A28" s="15" t="s">
        <v>87</v>
      </c>
      <c r="B28" s="142" t="s">
        <v>45</v>
      </c>
      <c r="C28" s="143">
        <v>444.898865</v>
      </c>
      <c r="D28" s="143">
        <v>450.42761200000001</v>
      </c>
      <c r="E28" s="143">
        <v>448.61004600000001</v>
      </c>
      <c r="F28" s="143">
        <v>446.74627700000002</v>
      </c>
      <c r="G28" s="143">
        <v>445.22772200000003</v>
      </c>
      <c r="H28" s="143">
        <v>442.84777800000001</v>
      </c>
      <c r="I28" s="143">
        <v>440.43005399999998</v>
      </c>
      <c r="J28" s="143">
        <v>437.02459700000003</v>
      </c>
      <c r="K28" s="143">
        <v>434.036407</v>
      </c>
      <c r="L28" s="143">
        <v>431.39211999999998</v>
      </c>
      <c r="M28" s="143">
        <v>429.99737499999998</v>
      </c>
      <c r="N28" s="143">
        <v>428.16067500000003</v>
      </c>
      <c r="O28" s="143">
        <v>426.27862499999998</v>
      </c>
      <c r="P28" s="143">
        <v>424.17816199999999</v>
      </c>
      <c r="Q28" s="143">
        <v>421.71697999999998</v>
      </c>
      <c r="R28" s="143">
        <v>419.81463600000001</v>
      </c>
      <c r="S28" s="143">
        <v>417.567047</v>
      </c>
      <c r="T28" s="143">
        <v>415.80767800000001</v>
      </c>
      <c r="U28" s="143">
        <v>414.04513500000002</v>
      </c>
      <c r="V28" s="143">
        <v>412.52209499999998</v>
      </c>
      <c r="W28" s="143">
        <v>411.24774200000002</v>
      </c>
      <c r="X28" s="143">
        <v>409.97735599999999</v>
      </c>
      <c r="Y28" s="143">
        <v>408.52224699999999</v>
      </c>
      <c r="Z28" s="143">
        <v>406.63034099999999</v>
      </c>
      <c r="AA28" s="143">
        <v>405.358521</v>
      </c>
      <c r="AB28" s="143">
        <v>403.865906</v>
      </c>
      <c r="AC28" s="143">
        <v>401.97906499999999</v>
      </c>
      <c r="AD28" s="143">
        <v>400.55664100000001</v>
      </c>
      <c r="AE28" s="143">
        <v>400.09832799999998</v>
      </c>
      <c r="AF28" s="144">
        <v>-3.7829999999999999E-3</v>
      </c>
      <c r="AG28" s="134"/>
    </row>
    <row r="29" spans="1:33" ht="15" customHeight="1">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row>
    <row r="30" spans="1:33" ht="15" customHeight="1">
      <c r="B30" s="141" t="s">
        <v>86</v>
      </c>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c r="AA30" s="134"/>
      <c r="AB30" s="134"/>
      <c r="AC30" s="134"/>
      <c r="AD30" s="134"/>
      <c r="AE30" s="134"/>
      <c r="AF30" s="134"/>
      <c r="AG30" s="134"/>
    </row>
    <row r="31" spans="1:33" ht="12" customHeight="1">
      <c r="B31" s="141" t="s">
        <v>85</v>
      </c>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c r="AA31" s="134"/>
      <c r="AB31" s="134"/>
      <c r="AC31" s="134"/>
      <c r="AD31" s="134"/>
      <c r="AE31" s="134"/>
      <c r="AF31" s="134"/>
      <c r="AG31" s="134"/>
    </row>
    <row r="32" spans="1:33" ht="12" customHeight="1">
      <c r="A32" s="15" t="s">
        <v>84</v>
      </c>
      <c r="B32" s="142" t="s">
        <v>83</v>
      </c>
      <c r="C32" s="145">
        <v>35.855949000000003</v>
      </c>
      <c r="D32" s="145">
        <v>36.277985000000001</v>
      </c>
      <c r="E32" s="145">
        <v>39.337012999999999</v>
      </c>
      <c r="F32" s="145">
        <v>42.578201</v>
      </c>
      <c r="G32" s="145">
        <v>47.262627000000002</v>
      </c>
      <c r="H32" s="145">
        <v>47.227249</v>
      </c>
      <c r="I32" s="145">
        <v>47.18121</v>
      </c>
      <c r="J32" s="145">
        <v>47.168773999999999</v>
      </c>
      <c r="K32" s="145">
        <v>47.163848999999999</v>
      </c>
      <c r="L32" s="145">
        <v>47.152081000000003</v>
      </c>
      <c r="M32" s="145">
        <v>47.159278999999998</v>
      </c>
      <c r="N32" s="145">
        <v>47.152672000000003</v>
      </c>
      <c r="O32" s="145">
        <v>47.146118000000001</v>
      </c>
      <c r="P32" s="145">
        <v>47.131686999999999</v>
      </c>
      <c r="Q32" s="145">
        <v>47.138325000000002</v>
      </c>
      <c r="R32" s="145">
        <v>47.119869000000001</v>
      </c>
      <c r="S32" s="145">
        <v>47.100937000000002</v>
      </c>
      <c r="T32" s="145">
        <v>47.084251000000002</v>
      </c>
      <c r="U32" s="145">
        <v>47.059879000000002</v>
      </c>
      <c r="V32" s="145">
        <v>47.032314</v>
      </c>
      <c r="W32" s="145">
        <v>47.004074000000003</v>
      </c>
      <c r="X32" s="145">
        <v>46.960155</v>
      </c>
      <c r="Y32" s="145">
        <v>46.939563999999997</v>
      </c>
      <c r="Z32" s="145">
        <v>46.910690000000002</v>
      </c>
      <c r="AA32" s="145">
        <v>46.948238000000003</v>
      </c>
      <c r="AB32" s="145">
        <v>46.913113000000003</v>
      </c>
      <c r="AC32" s="145">
        <v>46.906829999999999</v>
      </c>
      <c r="AD32" s="145">
        <v>46.880138000000002</v>
      </c>
      <c r="AE32" s="145">
        <v>46.870857000000001</v>
      </c>
      <c r="AF32" s="144">
        <v>9.613E-3</v>
      </c>
      <c r="AG32" s="134"/>
    </row>
    <row r="33" spans="1:33" ht="12" customHeight="1">
      <c r="A33" s="15" t="s">
        <v>82</v>
      </c>
      <c r="B33" s="142" t="s">
        <v>81</v>
      </c>
      <c r="C33" s="145">
        <v>45.004654000000002</v>
      </c>
      <c r="D33" s="145">
        <v>45.471119000000002</v>
      </c>
      <c r="E33" s="145">
        <v>49.460312000000002</v>
      </c>
      <c r="F33" s="145">
        <v>53.789036000000003</v>
      </c>
      <c r="G33" s="145">
        <v>59.791530999999999</v>
      </c>
      <c r="H33" s="145">
        <v>59.803519999999999</v>
      </c>
      <c r="I33" s="145">
        <v>59.817413000000002</v>
      </c>
      <c r="J33" s="145">
        <v>59.819332000000003</v>
      </c>
      <c r="K33" s="145">
        <v>59.821598000000002</v>
      </c>
      <c r="L33" s="145">
        <v>59.822445000000002</v>
      </c>
      <c r="M33" s="145">
        <v>59.827472999999998</v>
      </c>
      <c r="N33" s="145">
        <v>59.828792999999997</v>
      </c>
      <c r="O33" s="145">
        <v>59.830779999999997</v>
      </c>
      <c r="P33" s="145">
        <v>59.831119999999999</v>
      </c>
      <c r="Q33" s="145">
        <v>59.842136000000004</v>
      </c>
      <c r="R33" s="145">
        <v>59.842136000000004</v>
      </c>
      <c r="S33" s="145">
        <v>59.842136000000004</v>
      </c>
      <c r="T33" s="145">
        <v>59.843197000000004</v>
      </c>
      <c r="U33" s="145">
        <v>59.843197000000004</v>
      </c>
      <c r="V33" s="145">
        <v>59.843231000000003</v>
      </c>
      <c r="W33" s="145">
        <v>59.845177</v>
      </c>
      <c r="X33" s="145">
        <v>59.845177</v>
      </c>
      <c r="Y33" s="145">
        <v>59.848227999999999</v>
      </c>
      <c r="Z33" s="145">
        <v>59.848227999999999</v>
      </c>
      <c r="AA33" s="145">
        <v>59.867775000000002</v>
      </c>
      <c r="AB33" s="145">
        <v>59.867775000000002</v>
      </c>
      <c r="AC33" s="145">
        <v>59.867775000000002</v>
      </c>
      <c r="AD33" s="145">
        <v>59.867775000000002</v>
      </c>
      <c r="AE33" s="145">
        <v>59.867775000000002</v>
      </c>
      <c r="AF33" s="144">
        <v>1.0244E-2</v>
      </c>
      <c r="AG33" s="134"/>
    </row>
    <row r="34" spans="1:33" ht="12" customHeight="1">
      <c r="A34" s="15" t="s">
        <v>80</v>
      </c>
      <c r="B34" s="142" t="s">
        <v>79</v>
      </c>
      <c r="C34" s="145">
        <v>32.047302000000002</v>
      </c>
      <c r="D34" s="145">
        <v>32.608868000000001</v>
      </c>
      <c r="E34" s="145">
        <v>35.403008</v>
      </c>
      <c r="F34" s="145">
        <v>38.46349</v>
      </c>
      <c r="G34" s="145">
        <v>42.755749000000002</v>
      </c>
      <c r="H34" s="145">
        <v>42.75658</v>
      </c>
      <c r="I34" s="145">
        <v>42.76173</v>
      </c>
      <c r="J34" s="145">
        <v>42.76173</v>
      </c>
      <c r="K34" s="145">
        <v>42.761840999999997</v>
      </c>
      <c r="L34" s="145">
        <v>42.762084999999999</v>
      </c>
      <c r="M34" s="145">
        <v>42.762169</v>
      </c>
      <c r="N34" s="145">
        <v>42.762360000000001</v>
      </c>
      <c r="O34" s="145">
        <v>42.762390000000003</v>
      </c>
      <c r="P34" s="145">
        <v>42.762520000000002</v>
      </c>
      <c r="Q34" s="145">
        <v>42.762554000000002</v>
      </c>
      <c r="R34" s="145">
        <v>42.762698999999998</v>
      </c>
      <c r="S34" s="145">
        <v>42.762756000000003</v>
      </c>
      <c r="T34" s="145">
        <v>42.762824999999999</v>
      </c>
      <c r="U34" s="145">
        <v>42.762897000000002</v>
      </c>
      <c r="V34" s="145">
        <v>42.762962000000002</v>
      </c>
      <c r="W34" s="145">
        <v>42.763016</v>
      </c>
      <c r="X34" s="145">
        <v>42.763103000000001</v>
      </c>
      <c r="Y34" s="145">
        <v>42.763103000000001</v>
      </c>
      <c r="Z34" s="145">
        <v>42.763184000000003</v>
      </c>
      <c r="AA34" s="145">
        <v>42.763184000000003</v>
      </c>
      <c r="AB34" s="145">
        <v>42.763294000000002</v>
      </c>
      <c r="AC34" s="145">
        <v>42.763294000000002</v>
      </c>
      <c r="AD34" s="145">
        <v>42.763393000000001</v>
      </c>
      <c r="AE34" s="145">
        <v>42.763393000000001</v>
      </c>
      <c r="AF34" s="144">
        <v>1.0356000000000001E-2</v>
      </c>
      <c r="AG34" s="134"/>
    </row>
    <row r="35" spans="1:33" ht="12" customHeight="1">
      <c r="A35" s="15" t="s">
        <v>78</v>
      </c>
      <c r="B35" s="142" t="s">
        <v>77</v>
      </c>
      <c r="C35" s="145">
        <v>41.802036000000001</v>
      </c>
      <c r="D35" s="145">
        <v>43.267200000000003</v>
      </c>
      <c r="E35" s="145">
        <v>44.448151000000003</v>
      </c>
      <c r="F35" s="145">
        <v>47.052714999999999</v>
      </c>
      <c r="G35" s="145">
        <v>48.571758000000003</v>
      </c>
      <c r="H35" s="145">
        <v>49.792529999999999</v>
      </c>
      <c r="I35" s="145">
        <v>52.281478999999997</v>
      </c>
      <c r="J35" s="145">
        <v>53.248958999999999</v>
      </c>
      <c r="K35" s="145">
        <v>53.962006000000002</v>
      </c>
      <c r="L35" s="145">
        <v>54.332034999999998</v>
      </c>
      <c r="M35" s="145">
        <v>54.872646000000003</v>
      </c>
      <c r="N35" s="145">
        <v>55.329352999999998</v>
      </c>
      <c r="O35" s="145">
        <v>55.771633000000001</v>
      </c>
      <c r="P35" s="145">
        <v>56.242725</v>
      </c>
      <c r="Q35" s="145">
        <v>56.632603000000003</v>
      </c>
      <c r="R35" s="145">
        <v>56.856194000000002</v>
      </c>
      <c r="S35" s="145">
        <v>57.030456999999998</v>
      </c>
      <c r="T35" s="145">
        <v>57.310715000000002</v>
      </c>
      <c r="U35" s="145">
        <v>57.240420999999998</v>
      </c>
      <c r="V35" s="145">
        <v>57.306023000000003</v>
      </c>
      <c r="W35" s="145">
        <v>57.371867999999999</v>
      </c>
      <c r="X35" s="145">
        <v>57.326743999999998</v>
      </c>
      <c r="Y35" s="145">
        <v>57.237999000000002</v>
      </c>
      <c r="Z35" s="145">
        <v>57.125121999999998</v>
      </c>
      <c r="AA35" s="145">
        <v>57.475963999999998</v>
      </c>
      <c r="AB35" s="145">
        <v>57.327747000000002</v>
      </c>
      <c r="AC35" s="145">
        <v>57.273457000000001</v>
      </c>
      <c r="AD35" s="145">
        <v>57.524818000000003</v>
      </c>
      <c r="AE35" s="145">
        <v>57.479156000000003</v>
      </c>
      <c r="AF35" s="144">
        <v>1.1439E-2</v>
      </c>
      <c r="AG35" s="134"/>
    </row>
    <row r="36" spans="1:33" ht="12" customHeight="1">
      <c r="A36" s="15" t="s">
        <v>76</v>
      </c>
      <c r="B36" s="142" t="s">
        <v>75</v>
      </c>
      <c r="C36" s="145">
        <v>56.582644999999999</v>
      </c>
      <c r="D36" s="145">
        <v>58.322226999999998</v>
      </c>
      <c r="E36" s="145">
        <v>59.783313999999997</v>
      </c>
      <c r="F36" s="145">
        <v>64.222374000000002</v>
      </c>
      <c r="G36" s="145">
        <v>65.997482000000005</v>
      </c>
      <c r="H36" s="145">
        <v>68.148635999999996</v>
      </c>
      <c r="I36" s="145">
        <v>72.759444999999999</v>
      </c>
      <c r="J36" s="145">
        <v>74.876166999999995</v>
      </c>
      <c r="K36" s="145">
        <v>76.446303999999998</v>
      </c>
      <c r="L36" s="145">
        <v>77.157302999999999</v>
      </c>
      <c r="M36" s="145">
        <v>78.145363000000003</v>
      </c>
      <c r="N36" s="145">
        <v>78.735664</v>
      </c>
      <c r="O36" s="145">
        <v>79.269256999999996</v>
      </c>
      <c r="P36" s="145">
        <v>79.864814999999993</v>
      </c>
      <c r="Q36" s="145">
        <v>80.311751999999998</v>
      </c>
      <c r="R36" s="145">
        <v>80.510566999999995</v>
      </c>
      <c r="S36" s="145">
        <v>80.643073999999999</v>
      </c>
      <c r="T36" s="145">
        <v>81.042243999999997</v>
      </c>
      <c r="U36" s="145">
        <v>80.790893999999994</v>
      </c>
      <c r="V36" s="145">
        <v>80.999863000000005</v>
      </c>
      <c r="W36" s="145">
        <v>81.213393999999994</v>
      </c>
      <c r="X36" s="145">
        <v>81.251564000000002</v>
      </c>
      <c r="Y36" s="145">
        <v>81.126784999999998</v>
      </c>
      <c r="Z36" s="145">
        <v>80.963654000000005</v>
      </c>
      <c r="AA36" s="145">
        <v>81.962256999999994</v>
      </c>
      <c r="AB36" s="145">
        <v>81.685669000000004</v>
      </c>
      <c r="AC36" s="145">
        <v>81.574020000000004</v>
      </c>
      <c r="AD36" s="145">
        <v>82.338425000000001</v>
      </c>
      <c r="AE36" s="145">
        <v>82.243483999999995</v>
      </c>
      <c r="AF36" s="144">
        <v>1.3446E-2</v>
      </c>
      <c r="AG36" s="134"/>
    </row>
    <row r="37" spans="1:33" ht="12" customHeight="1">
      <c r="A37" s="15" t="s">
        <v>74</v>
      </c>
      <c r="B37" s="142" t="s">
        <v>73</v>
      </c>
      <c r="C37" s="145">
        <v>36.263930999999999</v>
      </c>
      <c r="D37" s="145">
        <v>37.832123000000003</v>
      </c>
      <c r="E37" s="145">
        <v>39.014805000000003</v>
      </c>
      <c r="F37" s="145">
        <v>41.375152999999997</v>
      </c>
      <c r="G37" s="145">
        <v>42.876761999999999</v>
      </c>
      <c r="H37" s="145">
        <v>43.911583</v>
      </c>
      <c r="I37" s="145">
        <v>45.953789</v>
      </c>
      <c r="J37" s="145">
        <v>46.678477999999998</v>
      </c>
      <c r="K37" s="145">
        <v>47.207011999999999</v>
      </c>
      <c r="L37" s="145">
        <v>47.518374999999999</v>
      </c>
      <c r="M37" s="145">
        <v>47.939487</v>
      </c>
      <c r="N37" s="145">
        <v>48.362620999999997</v>
      </c>
      <c r="O37" s="145">
        <v>48.779860999999997</v>
      </c>
      <c r="P37" s="145">
        <v>49.233046999999999</v>
      </c>
      <c r="Q37" s="145">
        <v>49.585566999999998</v>
      </c>
      <c r="R37" s="145">
        <v>49.838344999999997</v>
      </c>
      <c r="S37" s="145">
        <v>50.048076999999999</v>
      </c>
      <c r="T37" s="145">
        <v>50.325744999999998</v>
      </c>
      <c r="U37" s="145">
        <v>50.338009</v>
      </c>
      <c r="V37" s="145">
        <v>50.426777000000001</v>
      </c>
      <c r="W37" s="145">
        <v>50.517310999999999</v>
      </c>
      <c r="X37" s="145">
        <v>50.542614</v>
      </c>
      <c r="Y37" s="145">
        <v>50.50412</v>
      </c>
      <c r="Z37" s="145">
        <v>50.459384999999997</v>
      </c>
      <c r="AA37" s="145">
        <v>50.618049999999997</v>
      </c>
      <c r="AB37" s="145">
        <v>50.565734999999997</v>
      </c>
      <c r="AC37" s="145">
        <v>50.535651999999999</v>
      </c>
      <c r="AD37" s="145">
        <v>50.739390999999998</v>
      </c>
      <c r="AE37" s="145">
        <v>50.721836000000003</v>
      </c>
      <c r="AF37" s="144">
        <v>1.2055E-2</v>
      </c>
      <c r="AG37" s="134"/>
    </row>
    <row r="38" spans="1:33" ht="12" customHeight="1">
      <c r="A38" s="15" t="s">
        <v>72</v>
      </c>
      <c r="B38" s="142" t="s">
        <v>71</v>
      </c>
      <c r="C38" s="145">
        <v>37.621077999999997</v>
      </c>
      <c r="D38" s="145">
        <v>38.382415999999999</v>
      </c>
      <c r="E38" s="145">
        <v>39.075671999999997</v>
      </c>
      <c r="F38" s="145">
        <v>40.794502000000001</v>
      </c>
      <c r="G38" s="145">
        <v>41.684994000000003</v>
      </c>
      <c r="H38" s="145">
        <v>42.387779000000002</v>
      </c>
      <c r="I38" s="145">
        <v>43.992404999999998</v>
      </c>
      <c r="J38" s="145">
        <v>44.482399000000001</v>
      </c>
      <c r="K38" s="145">
        <v>44.828845999999999</v>
      </c>
      <c r="L38" s="145">
        <v>45.012852000000002</v>
      </c>
      <c r="M38" s="145">
        <v>45.295108999999997</v>
      </c>
      <c r="N38" s="145">
        <v>45.549660000000003</v>
      </c>
      <c r="O38" s="145">
        <v>45.800465000000003</v>
      </c>
      <c r="P38" s="145">
        <v>46.072913999999997</v>
      </c>
      <c r="Q38" s="145">
        <v>46.308185999999999</v>
      </c>
      <c r="R38" s="145">
        <v>46.454895</v>
      </c>
      <c r="S38" s="145">
        <v>46.573441000000003</v>
      </c>
      <c r="T38" s="145">
        <v>46.763412000000002</v>
      </c>
      <c r="U38" s="145">
        <v>46.743324000000001</v>
      </c>
      <c r="V38" s="145">
        <v>46.781216000000001</v>
      </c>
      <c r="W38" s="145">
        <v>46.812752000000003</v>
      </c>
      <c r="X38" s="145">
        <v>46.781078000000001</v>
      </c>
      <c r="Y38" s="145">
        <v>46.720787000000001</v>
      </c>
      <c r="Z38" s="145">
        <v>46.649310999999997</v>
      </c>
      <c r="AA38" s="145">
        <v>46.812587999999998</v>
      </c>
      <c r="AB38" s="145">
        <v>46.721981</v>
      </c>
      <c r="AC38" s="145">
        <v>46.686661000000001</v>
      </c>
      <c r="AD38" s="145">
        <v>46.844208000000002</v>
      </c>
      <c r="AE38" s="145">
        <v>46.809134999999998</v>
      </c>
      <c r="AF38" s="144">
        <v>7.835E-3</v>
      </c>
      <c r="AG38" s="134"/>
    </row>
    <row r="39" spans="1:33" ht="12" customHeight="1">
      <c r="A39" s="15" t="s">
        <v>70</v>
      </c>
      <c r="B39" s="142" t="s">
        <v>69</v>
      </c>
      <c r="C39" s="145">
        <v>49.658656999999998</v>
      </c>
      <c r="D39" s="145">
        <v>50.63982</v>
      </c>
      <c r="E39" s="145">
        <v>51.418788999999997</v>
      </c>
      <c r="F39" s="145">
        <v>54.041266999999998</v>
      </c>
      <c r="G39" s="145">
        <v>54.808311000000003</v>
      </c>
      <c r="H39" s="145">
        <v>55.812793999999997</v>
      </c>
      <c r="I39" s="145">
        <v>58.414130999999998</v>
      </c>
      <c r="J39" s="145">
        <v>59.295653999999999</v>
      </c>
      <c r="K39" s="145">
        <v>59.885936999999998</v>
      </c>
      <c r="L39" s="145">
        <v>60.128425999999997</v>
      </c>
      <c r="M39" s="145">
        <v>60.482559000000002</v>
      </c>
      <c r="N39" s="145">
        <v>60.696911</v>
      </c>
      <c r="O39" s="145">
        <v>60.896141</v>
      </c>
      <c r="P39" s="145">
        <v>61.139969000000001</v>
      </c>
      <c r="Q39" s="145">
        <v>61.342109999999998</v>
      </c>
      <c r="R39" s="145">
        <v>61.456459000000002</v>
      </c>
      <c r="S39" s="145">
        <v>61.545490000000001</v>
      </c>
      <c r="T39" s="145">
        <v>61.791069</v>
      </c>
      <c r="U39" s="145">
        <v>61.720492999999998</v>
      </c>
      <c r="V39" s="145">
        <v>61.820892000000001</v>
      </c>
      <c r="W39" s="145">
        <v>61.909644999999998</v>
      </c>
      <c r="X39" s="145">
        <v>61.923454</v>
      </c>
      <c r="Y39" s="145">
        <v>61.848678999999997</v>
      </c>
      <c r="Z39" s="145">
        <v>61.762374999999999</v>
      </c>
      <c r="AA39" s="145">
        <v>62.120818999999997</v>
      </c>
      <c r="AB39" s="145">
        <v>61.989952000000002</v>
      </c>
      <c r="AC39" s="145">
        <v>61.932670999999999</v>
      </c>
      <c r="AD39" s="145">
        <v>62.331699</v>
      </c>
      <c r="AE39" s="145">
        <v>62.272804000000001</v>
      </c>
      <c r="AF39" s="144">
        <v>8.1169999999999992E-3</v>
      </c>
      <c r="AG39" s="134"/>
    </row>
    <row r="40" spans="1:33" ht="12" customHeight="1">
      <c r="A40" s="15" t="s">
        <v>68</v>
      </c>
      <c r="B40" s="142" t="s">
        <v>67</v>
      </c>
      <c r="C40" s="145">
        <v>32.951321</v>
      </c>
      <c r="D40" s="145">
        <v>33.825710000000001</v>
      </c>
      <c r="E40" s="145">
        <v>34.570250999999999</v>
      </c>
      <c r="F40" s="145">
        <v>36.235542000000002</v>
      </c>
      <c r="G40" s="145">
        <v>37.203814999999999</v>
      </c>
      <c r="H40" s="145">
        <v>37.859802000000002</v>
      </c>
      <c r="I40" s="145">
        <v>39.251300999999998</v>
      </c>
      <c r="J40" s="145">
        <v>39.654640000000001</v>
      </c>
      <c r="K40" s="145">
        <v>39.942870999999997</v>
      </c>
      <c r="L40" s="145">
        <v>40.123778999999999</v>
      </c>
      <c r="M40" s="145">
        <v>40.372107999999997</v>
      </c>
      <c r="N40" s="145">
        <v>40.635685000000002</v>
      </c>
      <c r="O40" s="145">
        <v>40.898228000000003</v>
      </c>
      <c r="P40" s="145">
        <v>41.187041999999998</v>
      </c>
      <c r="Q40" s="145">
        <v>41.415565000000001</v>
      </c>
      <c r="R40" s="145">
        <v>41.589336000000003</v>
      </c>
      <c r="S40" s="145">
        <v>41.735809000000003</v>
      </c>
      <c r="T40" s="145">
        <v>41.930031</v>
      </c>
      <c r="U40" s="145">
        <v>41.954326999999999</v>
      </c>
      <c r="V40" s="145">
        <v>42.014381</v>
      </c>
      <c r="W40" s="145">
        <v>42.070942000000002</v>
      </c>
      <c r="X40" s="145">
        <v>42.089371</v>
      </c>
      <c r="Y40" s="145">
        <v>42.062252000000001</v>
      </c>
      <c r="Z40" s="145">
        <v>42.034523</v>
      </c>
      <c r="AA40" s="145">
        <v>42.106945000000003</v>
      </c>
      <c r="AB40" s="145">
        <v>42.074627</v>
      </c>
      <c r="AC40" s="145">
        <v>42.053328999999998</v>
      </c>
      <c r="AD40" s="145">
        <v>42.192115999999999</v>
      </c>
      <c r="AE40" s="145">
        <v>42.175429999999999</v>
      </c>
      <c r="AF40" s="144">
        <v>8.8529999999999998E-3</v>
      </c>
      <c r="AG40" s="134"/>
    </row>
    <row r="41" spans="1:33" ht="12" customHeight="1">
      <c r="A41" s="15" t="s">
        <v>66</v>
      </c>
      <c r="B41" s="142" t="s">
        <v>65</v>
      </c>
      <c r="C41" s="145">
        <v>30.687853</v>
      </c>
      <c r="D41" s="145">
        <v>31.308468000000001</v>
      </c>
      <c r="E41" s="145">
        <v>31.873774999999998</v>
      </c>
      <c r="F41" s="145">
        <v>33.275241999999999</v>
      </c>
      <c r="G41" s="145">
        <v>34.001517999999997</v>
      </c>
      <c r="H41" s="145">
        <v>34.574638</v>
      </c>
      <c r="I41" s="145">
        <v>35.883228000000003</v>
      </c>
      <c r="J41" s="145">
        <v>36.282809999999998</v>
      </c>
      <c r="K41" s="145">
        <v>36.565350000000002</v>
      </c>
      <c r="L41" s="145">
        <v>36.715401</v>
      </c>
      <c r="M41" s="145">
        <v>36.945652000000003</v>
      </c>
      <c r="N41" s="145">
        <v>37.153278</v>
      </c>
      <c r="O41" s="145">
        <v>37.357868000000003</v>
      </c>
      <c r="P41" s="145">
        <v>37.580081999999997</v>
      </c>
      <c r="Q41" s="145">
        <v>37.772025999999997</v>
      </c>
      <c r="R41" s="145">
        <v>37.891651000000003</v>
      </c>
      <c r="S41" s="145">
        <v>37.988308000000004</v>
      </c>
      <c r="T41" s="145">
        <v>38.143211000000001</v>
      </c>
      <c r="U41" s="145">
        <v>38.126759</v>
      </c>
      <c r="V41" s="145">
        <v>38.157573999999997</v>
      </c>
      <c r="W41" s="145">
        <v>38.183200999999997</v>
      </c>
      <c r="X41" s="145">
        <v>38.157218999999998</v>
      </c>
      <c r="Y41" s="145">
        <v>38.107975000000003</v>
      </c>
      <c r="Z41" s="145">
        <v>38.049587000000002</v>
      </c>
      <c r="AA41" s="145">
        <v>38.182837999999997</v>
      </c>
      <c r="AB41" s="145">
        <v>38.108822000000004</v>
      </c>
      <c r="AC41" s="145">
        <v>38.080002</v>
      </c>
      <c r="AD41" s="145">
        <v>38.208388999999997</v>
      </c>
      <c r="AE41" s="145">
        <v>38.179749000000001</v>
      </c>
      <c r="AF41" s="144">
        <v>7.8320000000000004E-3</v>
      </c>
      <c r="AG41" s="134"/>
    </row>
    <row r="42" spans="1:33" ht="12" customHeight="1">
      <c r="A42" s="15" t="s">
        <v>64</v>
      </c>
      <c r="B42" s="142" t="s">
        <v>63</v>
      </c>
      <c r="C42" s="145">
        <v>40.552002000000002</v>
      </c>
      <c r="D42" s="145">
        <v>41.353237</v>
      </c>
      <c r="E42" s="145">
        <v>41.989353000000001</v>
      </c>
      <c r="F42" s="145">
        <v>44.130909000000003</v>
      </c>
      <c r="G42" s="145">
        <v>44.757289999999998</v>
      </c>
      <c r="H42" s="145">
        <v>45.577564000000002</v>
      </c>
      <c r="I42" s="145">
        <v>47.701855000000002</v>
      </c>
      <c r="J42" s="145">
        <v>48.421719000000003</v>
      </c>
      <c r="K42" s="145">
        <v>48.903754999999997</v>
      </c>
      <c r="L42" s="145">
        <v>49.101771999999997</v>
      </c>
      <c r="M42" s="145">
        <v>49.390965000000001</v>
      </c>
      <c r="N42" s="145">
        <v>49.566006000000002</v>
      </c>
      <c r="O42" s="145">
        <v>49.728703000000003</v>
      </c>
      <c r="P42" s="145">
        <v>49.927813999999998</v>
      </c>
      <c r="Q42" s="145">
        <v>50.092888000000002</v>
      </c>
      <c r="R42" s="145">
        <v>50.186264000000001</v>
      </c>
      <c r="S42" s="145">
        <v>50.258968000000003</v>
      </c>
      <c r="T42" s="145">
        <v>50.459515000000003</v>
      </c>
      <c r="U42" s="145">
        <v>50.401878000000004</v>
      </c>
      <c r="V42" s="145">
        <v>50.483868000000001</v>
      </c>
      <c r="W42" s="145">
        <v>50.556342999999998</v>
      </c>
      <c r="X42" s="145">
        <v>50.567619000000001</v>
      </c>
      <c r="Y42" s="145">
        <v>50.506557000000001</v>
      </c>
      <c r="Z42" s="145">
        <v>50.436081000000001</v>
      </c>
      <c r="AA42" s="145">
        <v>50.728789999999996</v>
      </c>
      <c r="AB42" s="145">
        <v>50.621924999999997</v>
      </c>
      <c r="AC42" s="145">
        <v>50.575145999999997</v>
      </c>
      <c r="AD42" s="145">
        <v>50.901001000000001</v>
      </c>
      <c r="AE42" s="145">
        <v>50.852905</v>
      </c>
      <c r="AF42" s="144">
        <v>8.1169999999999992E-3</v>
      </c>
      <c r="AG42" s="134"/>
    </row>
    <row r="43" spans="1:33" ht="12" customHeight="1">
      <c r="A43" s="15" t="s">
        <v>62</v>
      </c>
      <c r="B43" s="142" t="s">
        <v>61</v>
      </c>
      <c r="C43" s="145">
        <v>26.867122999999999</v>
      </c>
      <c r="D43" s="145">
        <v>27.580062999999999</v>
      </c>
      <c r="E43" s="145">
        <v>28.18713</v>
      </c>
      <c r="F43" s="145">
        <v>29.544938999999999</v>
      </c>
      <c r="G43" s="145">
        <v>30.334429</v>
      </c>
      <c r="H43" s="145">
        <v>30.869291</v>
      </c>
      <c r="I43" s="145">
        <v>32.003860000000003</v>
      </c>
      <c r="J43" s="145">
        <v>32.332729</v>
      </c>
      <c r="K43" s="145">
        <v>32.567737999999999</v>
      </c>
      <c r="L43" s="145">
        <v>32.715243999999998</v>
      </c>
      <c r="M43" s="145">
        <v>32.917721</v>
      </c>
      <c r="N43" s="145">
        <v>33.132629000000001</v>
      </c>
      <c r="O43" s="145">
        <v>33.346694999999997</v>
      </c>
      <c r="P43" s="145">
        <v>33.582183999999998</v>
      </c>
      <c r="Q43" s="145">
        <v>33.768512999999999</v>
      </c>
      <c r="R43" s="145">
        <v>33.910198000000001</v>
      </c>
      <c r="S43" s="145">
        <v>34.029625000000003</v>
      </c>
      <c r="T43" s="145">
        <v>34.187984</v>
      </c>
      <c r="U43" s="145">
        <v>34.207794</v>
      </c>
      <c r="V43" s="145">
        <v>34.25676</v>
      </c>
      <c r="W43" s="145">
        <v>34.302878999999997</v>
      </c>
      <c r="X43" s="145">
        <v>34.317905000000003</v>
      </c>
      <c r="Y43" s="145">
        <v>34.295791999999999</v>
      </c>
      <c r="Z43" s="145">
        <v>34.273186000000003</v>
      </c>
      <c r="AA43" s="145">
        <v>34.332233000000002</v>
      </c>
      <c r="AB43" s="145">
        <v>34.305881999999997</v>
      </c>
      <c r="AC43" s="145">
        <v>34.288516999999999</v>
      </c>
      <c r="AD43" s="145">
        <v>34.401679999999999</v>
      </c>
      <c r="AE43" s="145">
        <v>34.388072999999999</v>
      </c>
      <c r="AF43" s="144">
        <v>8.8529999999999998E-3</v>
      </c>
      <c r="AG43" s="134"/>
    </row>
    <row r="44" spans="1:33" ht="12" customHeight="1">
      <c r="A44" s="15" t="s">
        <v>60</v>
      </c>
      <c r="B44" s="142" t="s">
        <v>59</v>
      </c>
      <c r="C44" s="145">
        <v>24.416388999999999</v>
      </c>
      <c r="D44" s="145">
        <v>24.836956000000001</v>
      </c>
      <c r="E44" s="145">
        <v>25.286928</v>
      </c>
      <c r="F44" s="145">
        <v>25.785551000000002</v>
      </c>
      <c r="G44" s="145">
        <v>26.309719000000001</v>
      </c>
      <c r="H44" s="145">
        <v>26.853071</v>
      </c>
      <c r="I44" s="145">
        <v>27.439551999999999</v>
      </c>
      <c r="J44" s="145">
        <v>28.039261</v>
      </c>
      <c r="K44" s="145">
        <v>28.645572999999999</v>
      </c>
      <c r="L44" s="145">
        <v>29.223606</v>
      </c>
      <c r="M44" s="145">
        <v>29.795773000000001</v>
      </c>
      <c r="N44" s="145">
        <v>30.329742</v>
      </c>
      <c r="O44" s="145">
        <v>30.858115999999999</v>
      </c>
      <c r="P44" s="145">
        <v>31.383734</v>
      </c>
      <c r="Q44" s="145">
        <v>31.896933000000001</v>
      </c>
      <c r="R44" s="145">
        <v>32.386234000000002</v>
      </c>
      <c r="S44" s="145">
        <v>32.857269000000002</v>
      </c>
      <c r="T44" s="145">
        <v>33.317824999999999</v>
      </c>
      <c r="U44" s="145">
        <v>33.744926</v>
      </c>
      <c r="V44" s="145">
        <v>34.150565999999998</v>
      </c>
      <c r="W44" s="145">
        <v>34.526347999999999</v>
      </c>
      <c r="X44" s="145">
        <v>34.855293000000003</v>
      </c>
      <c r="Y44" s="145">
        <v>35.133709000000003</v>
      </c>
      <c r="Z44" s="145">
        <v>35.376598000000001</v>
      </c>
      <c r="AA44" s="145">
        <v>35.587673000000002</v>
      </c>
      <c r="AB44" s="145">
        <v>35.763168</v>
      </c>
      <c r="AC44" s="145">
        <v>35.911662999999997</v>
      </c>
      <c r="AD44" s="145">
        <v>36.041504000000003</v>
      </c>
      <c r="AE44" s="145">
        <v>36.145099999999999</v>
      </c>
      <c r="AF44" s="144">
        <v>1.4109E-2</v>
      </c>
      <c r="AG44" s="134"/>
    </row>
    <row r="45" spans="1:33" ht="12" customHeight="1">
      <c r="A45" s="15" t="s">
        <v>58</v>
      </c>
      <c r="B45" s="142" t="s">
        <v>57</v>
      </c>
      <c r="C45" s="145">
        <v>15.821263</v>
      </c>
      <c r="D45" s="145">
        <v>16.131247999999999</v>
      </c>
      <c r="E45" s="145">
        <v>16.678804</v>
      </c>
      <c r="F45" s="145">
        <v>17.193453000000002</v>
      </c>
      <c r="G45" s="145">
        <v>17.382670999999998</v>
      </c>
      <c r="H45" s="145">
        <v>17.655719999999999</v>
      </c>
      <c r="I45" s="145">
        <v>17.641428000000001</v>
      </c>
      <c r="J45" s="145">
        <v>17.714843999999999</v>
      </c>
      <c r="K45" s="145">
        <v>17.746100999999999</v>
      </c>
      <c r="L45" s="145">
        <v>17.752108</v>
      </c>
      <c r="M45" s="145">
        <v>17.726762999999998</v>
      </c>
      <c r="N45" s="145">
        <v>17.703925999999999</v>
      </c>
      <c r="O45" s="145">
        <v>17.685976</v>
      </c>
      <c r="P45" s="145">
        <v>17.669809000000001</v>
      </c>
      <c r="Q45" s="145">
        <v>17.656127999999999</v>
      </c>
      <c r="R45" s="145">
        <v>17.644224000000001</v>
      </c>
      <c r="S45" s="145">
        <v>17.635103000000001</v>
      </c>
      <c r="T45" s="145">
        <v>17.627134000000002</v>
      </c>
      <c r="U45" s="145">
        <v>17.621216</v>
      </c>
      <c r="V45" s="145">
        <v>17.615825999999998</v>
      </c>
      <c r="W45" s="145">
        <v>17.612106000000001</v>
      </c>
      <c r="X45" s="145">
        <v>17.608646</v>
      </c>
      <c r="Y45" s="145">
        <v>17.607035</v>
      </c>
      <c r="Z45" s="145">
        <v>17.606117000000001</v>
      </c>
      <c r="AA45" s="145">
        <v>17.607099999999999</v>
      </c>
      <c r="AB45" s="145">
        <v>17.455801000000001</v>
      </c>
      <c r="AC45" s="145">
        <v>17.469227</v>
      </c>
      <c r="AD45" s="145">
        <v>17.484673999999998</v>
      </c>
      <c r="AE45" s="145">
        <v>17.514999</v>
      </c>
      <c r="AF45" s="144">
        <v>3.6389999999999999E-3</v>
      </c>
      <c r="AG45" s="134"/>
    </row>
    <row r="46" spans="1:33" ht="12" customHeight="1">
      <c r="A46" s="15" t="s">
        <v>56</v>
      </c>
      <c r="B46" s="142" t="s">
        <v>55</v>
      </c>
      <c r="C46" s="145">
        <v>13.428094</v>
      </c>
      <c r="D46" s="145">
        <v>13.70518</v>
      </c>
      <c r="E46" s="145">
        <v>13.988607999999999</v>
      </c>
      <c r="F46" s="145">
        <v>14.298017</v>
      </c>
      <c r="G46" s="145">
        <v>14.623931000000001</v>
      </c>
      <c r="H46" s="145">
        <v>14.947717000000001</v>
      </c>
      <c r="I46" s="145">
        <v>15.224836</v>
      </c>
      <c r="J46" s="145">
        <v>15.477124999999999</v>
      </c>
      <c r="K46" s="145">
        <v>15.708449999999999</v>
      </c>
      <c r="L46" s="145">
        <v>15.906402999999999</v>
      </c>
      <c r="M46" s="145">
        <v>16.084123999999999</v>
      </c>
      <c r="N46" s="145">
        <v>16.239180000000001</v>
      </c>
      <c r="O46" s="145">
        <v>16.374127999999999</v>
      </c>
      <c r="P46" s="145">
        <v>16.504307000000001</v>
      </c>
      <c r="Q46" s="145">
        <v>16.623000999999999</v>
      </c>
      <c r="R46" s="145">
        <v>16.732641000000001</v>
      </c>
      <c r="S46" s="145">
        <v>16.834803000000001</v>
      </c>
      <c r="T46" s="145">
        <v>16.930444999999999</v>
      </c>
      <c r="U46" s="145">
        <v>17.012526000000001</v>
      </c>
      <c r="V46" s="145">
        <v>17.084282000000002</v>
      </c>
      <c r="W46" s="145">
        <v>17.141766000000001</v>
      </c>
      <c r="X46" s="145">
        <v>17.21096</v>
      </c>
      <c r="Y46" s="145">
        <v>17.279800000000002</v>
      </c>
      <c r="Z46" s="145">
        <v>17.324511999999999</v>
      </c>
      <c r="AA46" s="145">
        <v>17.374506</v>
      </c>
      <c r="AB46" s="145">
        <v>17.402925</v>
      </c>
      <c r="AC46" s="145">
        <v>17.441884999999999</v>
      </c>
      <c r="AD46" s="145">
        <v>17.468942999999999</v>
      </c>
      <c r="AE46" s="145">
        <v>17.502464</v>
      </c>
      <c r="AF46" s="144">
        <v>9.5090000000000001E-3</v>
      </c>
      <c r="AG46" s="134"/>
    </row>
    <row r="47" spans="1:33" ht="12" customHeight="1">
      <c r="A47" s="15" t="s">
        <v>54</v>
      </c>
      <c r="B47" s="142" t="s">
        <v>53</v>
      </c>
      <c r="C47" s="145">
        <v>7.4724060000000003</v>
      </c>
      <c r="D47" s="145">
        <v>7.5785289999999996</v>
      </c>
      <c r="E47" s="145">
        <v>7.7053229999999999</v>
      </c>
      <c r="F47" s="145">
        <v>7.8485899999999997</v>
      </c>
      <c r="G47" s="145">
        <v>8.002383</v>
      </c>
      <c r="H47" s="145">
        <v>8.1636769999999999</v>
      </c>
      <c r="I47" s="145">
        <v>8.3212849999999996</v>
      </c>
      <c r="J47" s="145">
        <v>8.4797550000000008</v>
      </c>
      <c r="K47" s="145">
        <v>8.6382940000000001</v>
      </c>
      <c r="L47" s="145">
        <v>8.7959300000000002</v>
      </c>
      <c r="M47" s="145">
        <v>8.9485489999999999</v>
      </c>
      <c r="N47" s="145">
        <v>9.0909969999999998</v>
      </c>
      <c r="O47" s="145">
        <v>9.2225160000000006</v>
      </c>
      <c r="P47" s="145">
        <v>9.3430680000000006</v>
      </c>
      <c r="Q47" s="145">
        <v>9.4533149999999999</v>
      </c>
      <c r="R47" s="145">
        <v>9.5530629999999999</v>
      </c>
      <c r="S47" s="145">
        <v>9.6434440000000006</v>
      </c>
      <c r="T47" s="145">
        <v>9.7267100000000006</v>
      </c>
      <c r="U47" s="145">
        <v>9.8045930000000006</v>
      </c>
      <c r="V47" s="145">
        <v>9.8772749999999991</v>
      </c>
      <c r="W47" s="145">
        <v>9.9424309999999991</v>
      </c>
      <c r="X47" s="145">
        <v>10.001567</v>
      </c>
      <c r="Y47" s="145">
        <v>10.055840999999999</v>
      </c>
      <c r="Z47" s="145">
        <v>10.108454</v>
      </c>
      <c r="AA47" s="145">
        <v>10.161227999999999</v>
      </c>
      <c r="AB47" s="145">
        <v>10.213310999999999</v>
      </c>
      <c r="AC47" s="145">
        <v>10.263764</v>
      </c>
      <c r="AD47" s="145">
        <v>10.314513</v>
      </c>
      <c r="AE47" s="145">
        <v>10.365861000000001</v>
      </c>
      <c r="AF47" s="144">
        <v>1.1757999999999999E-2</v>
      </c>
      <c r="AG47" s="134"/>
    </row>
    <row r="48" spans="1:33" ht="12" customHeight="1">
      <c r="B48" s="141" t="s">
        <v>52</v>
      </c>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c r="AA48" s="134"/>
      <c r="AB48" s="134"/>
      <c r="AC48" s="134"/>
      <c r="AD48" s="134"/>
      <c r="AE48" s="134"/>
      <c r="AF48" s="134"/>
      <c r="AG48" s="134"/>
    </row>
    <row r="49" spans="1:33" ht="12" customHeight="1">
      <c r="A49" s="15" t="s">
        <v>51</v>
      </c>
      <c r="B49" s="142" t="s">
        <v>50</v>
      </c>
      <c r="C49" s="145">
        <v>72.717087000000006</v>
      </c>
      <c r="D49" s="145">
        <v>73.091971999999998</v>
      </c>
      <c r="E49" s="145">
        <v>73.492531</v>
      </c>
      <c r="F49" s="145">
        <v>74.018456</v>
      </c>
      <c r="G49" s="145">
        <v>74.683121</v>
      </c>
      <c r="H49" s="145">
        <v>75.131766999999996</v>
      </c>
      <c r="I49" s="145">
        <v>75.592140000000001</v>
      </c>
      <c r="J49" s="145">
        <v>76.024017000000001</v>
      </c>
      <c r="K49" s="145">
        <v>76.492362999999997</v>
      </c>
      <c r="L49" s="145">
        <v>77.014213999999996</v>
      </c>
      <c r="M49" s="145">
        <v>77.600960000000001</v>
      </c>
      <c r="N49" s="145">
        <v>78.266677999999999</v>
      </c>
      <c r="O49" s="145">
        <v>78.981505999999996</v>
      </c>
      <c r="P49" s="145">
        <v>79.730591000000004</v>
      </c>
      <c r="Q49" s="145">
        <v>80.489220000000003</v>
      </c>
      <c r="R49" s="145">
        <v>81.260979000000006</v>
      </c>
      <c r="S49" s="145">
        <v>82.048454000000007</v>
      </c>
      <c r="T49" s="145">
        <v>82.814575000000005</v>
      </c>
      <c r="U49" s="145">
        <v>83.594772000000006</v>
      </c>
      <c r="V49" s="145">
        <v>84.382309000000006</v>
      </c>
      <c r="W49" s="145">
        <v>85.171204000000003</v>
      </c>
      <c r="X49" s="145">
        <v>85.974022000000005</v>
      </c>
      <c r="Y49" s="145">
        <v>86.764037999999999</v>
      </c>
      <c r="Z49" s="145">
        <v>87.549926999999997</v>
      </c>
      <c r="AA49" s="145">
        <v>88.321090999999996</v>
      </c>
      <c r="AB49" s="145">
        <v>89.091155999999998</v>
      </c>
      <c r="AC49" s="145">
        <v>89.849761999999998</v>
      </c>
      <c r="AD49" s="145">
        <v>90.593376000000006</v>
      </c>
      <c r="AE49" s="145">
        <v>91.328147999999999</v>
      </c>
      <c r="AF49" s="144">
        <v>8.1720000000000004E-3</v>
      </c>
      <c r="AG49" s="134"/>
    </row>
    <row r="50" spans="1:33" ht="15" customHeight="1">
      <c r="B50" s="141" t="s">
        <v>49</v>
      </c>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c r="AC50" s="134"/>
      <c r="AD50" s="134"/>
      <c r="AE50" s="134"/>
      <c r="AF50" s="134"/>
      <c r="AG50" s="134"/>
    </row>
    <row r="51" spans="1:33" ht="15" customHeight="1">
      <c r="A51" s="15" t="s">
        <v>48</v>
      </c>
      <c r="B51" s="142" t="s">
        <v>47</v>
      </c>
      <c r="C51" s="145">
        <v>3.3663400000000001</v>
      </c>
      <c r="D51" s="145">
        <v>3.3698929999999998</v>
      </c>
      <c r="E51" s="145">
        <v>3.3734500000000001</v>
      </c>
      <c r="F51" s="145">
        <v>3.3770099999999998</v>
      </c>
      <c r="G51" s="145">
        <v>3.3805740000000002</v>
      </c>
      <c r="H51" s="145">
        <v>3.3841420000000002</v>
      </c>
      <c r="I51" s="145">
        <v>3.3877130000000002</v>
      </c>
      <c r="J51" s="145">
        <v>3.391289</v>
      </c>
      <c r="K51" s="145">
        <v>3.3948680000000002</v>
      </c>
      <c r="L51" s="145">
        <v>3.3984510000000001</v>
      </c>
      <c r="M51" s="145">
        <v>3.402037</v>
      </c>
      <c r="N51" s="145">
        <v>3.4056280000000001</v>
      </c>
      <c r="O51" s="145">
        <v>3.4092220000000002</v>
      </c>
      <c r="P51" s="145">
        <v>3.41282</v>
      </c>
      <c r="Q51" s="145">
        <v>3.4164219999999998</v>
      </c>
      <c r="R51" s="145">
        <v>3.4200270000000002</v>
      </c>
      <c r="S51" s="145">
        <v>3.4236369999999998</v>
      </c>
      <c r="T51" s="145">
        <v>3.4272499999999999</v>
      </c>
      <c r="U51" s="145">
        <v>3.4308670000000001</v>
      </c>
      <c r="V51" s="145">
        <v>3.434488</v>
      </c>
      <c r="W51" s="145">
        <v>3.438113</v>
      </c>
      <c r="X51" s="145">
        <v>3.4417409999999999</v>
      </c>
      <c r="Y51" s="145">
        <v>3.445373</v>
      </c>
      <c r="Z51" s="145">
        <v>3.4490099999999999</v>
      </c>
      <c r="AA51" s="145">
        <v>3.4526490000000001</v>
      </c>
      <c r="AB51" s="145">
        <v>3.4562930000000001</v>
      </c>
      <c r="AC51" s="145">
        <v>3.4599410000000002</v>
      </c>
      <c r="AD51" s="145">
        <v>3.4635929999999999</v>
      </c>
      <c r="AE51" s="145">
        <v>3.4672480000000001</v>
      </c>
      <c r="AF51" s="144">
        <v>1.0549999999999999E-3</v>
      </c>
      <c r="AG51" s="134"/>
    </row>
    <row r="52" spans="1:33" ht="15" customHeight="1">
      <c r="A52" s="15" t="s">
        <v>46</v>
      </c>
      <c r="B52" s="142" t="s">
        <v>45</v>
      </c>
      <c r="C52" s="145">
        <v>4.8202259999999999</v>
      </c>
      <c r="D52" s="145">
        <v>4.8389660000000001</v>
      </c>
      <c r="E52" s="145">
        <v>4.8577789999999998</v>
      </c>
      <c r="F52" s="145">
        <v>4.876665</v>
      </c>
      <c r="G52" s="145">
        <v>4.8956239999999998</v>
      </c>
      <c r="H52" s="145">
        <v>4.9146570000000001</v>
      </c>
      <c r="I52" s="145">
        <v>4.933764</v>
      </c>
      <c r="J52" s="145">
        <v>4.9529449999999997</v>
      </c>
      <c r="K52" s="145">
        <v>4.9722</v>
      </c>
      <c r="L52" s="145">
        <v>4.9915310000000002</v>
      </c>
      <c r="M52" s="145">
        <v>5.0109370000000002</v>
      </c>
      <c r="N52" s="145">
        <v>5.0304180000000001</v>
      </c>
      <c r="O52" s="145">
        <v>5.0499749999999999</v>
      </c>
      <c r="P52" s="145">
        <v>5.0696079999999997</v>
      </c>
      <c r="Q52" s="145">
        <v>5.0893170000000003</v>
      </c>
      <c r="R52" s="145">
        <v>5.1091030000000002</v>
      </c>
      <c r="S52" s="145">
        <v>5.1289660000000001</v>
      </c>
      <c r="T52" s="145">
        <v>5.1489060000000002</v>
      </c>
      <c r="U52" s="145">
        <v>5.1689230000000004</v>
      </c>
      <c r="V52" s="145">
        <v>5.189019</v>
      </c>
      <c r="W52" s="145">
        <v>5.2091919999999998</v>
      </c>
      <c r="X52" s="145">
        <v>5.2294450000000001</v>
      </c>
      <c r="Y52" s="145">
        <v>5.2497749999999996</v>
      </c>
      <c r="Z52" s="145">
        <v>5.2701849999999997</v>
      </c>
      <c r="AA52" s="145">
        <v>5.2906740000000001</v>
      </c>
      <c r="AB52" s="145">
        <v>5.3112430000000002</v>
      </c>
      <c r="AC52" s="145">
        <v>5.3318919999999999</v>
      </c>
      <c r="AD52" s="145">
        <v>5.3526210000000001</v>
      </c>
      <c r="AE52" s="145">
        <v>5.3734299999999999</v>
      </c>
      <c r="AF52" s="144">
        <v>3.888E-3</v>
      </c>
      <c r="AG52" s="134"/>
    </row>
    <row r="53" spans="1:33" ht="15" customHeight="1">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4"/>
      <c r="AG53" s="134"/>
    </row>
    <row r="54" spans="1:33" ht="15" customHeight="1">
      <c r="B54" s="141" t="s">
        <v>44</v>
      </c>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c r="AA54" s="134"/>
      <c r="AB54" s="134"/>
      <c r="AC54" s="134"/>
      <c r="AD54" s="134"/>
      <c r="AE54" s="134"/>
      <c r="AF54" s="134"/>
      <c r="AG54" s="134"/>
    </row>
    <row r="55" spans="1:33" ht="15" customHeight="1">
      <c r="B55" s="141" t="s">
        <v>43</v>
      </c>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c r="AA55" s="134"/>
      <c r="AB55" s="134"/>
      <c r="AC55" s="134"/>
      <c r="AD55" s="134"/>
      <c r="AE55" s="134"/>
      <c r="AF55" s="134"/>
      <c r="AG55" s="134"/>
    </row>
    <row r="56" spans="1:33" ht="15" customHeight="1">
      <c r="A56" s="15" t="s">
        <v>42</v>
      </c>
      <c r="B56" s="142" t="s">
        <v>26</v>
      </c>
      <c r="C56" s="146">
        <v>14.541973</v>
      </c>
      <c r="D56" s="146">
        <v>14.586114</v>
      </c>
      <c r="E56" s="146">
        <v>14.429691999999999</v>
      </c>
      <c r="F56" s="146">
        <v>14.201924999999999</v>
      </c>
      <c r="G56" s="146">
        <v>14.016909</v>
      </c>
      <c r="H56" s="146">
        <v>13.860763</v>
      </c>
      <c r="I56" s="146">
        <v>13.679087000000001</v>
      </c>
      <c r="J56" s="146">
        <v>13.473832</v>
      </c>
      <c r="K56" s="146">
        <v>13.253083</v>
      </c>
      <c r="L56" s="146">
        <v>13.044086</v>
      </c>
      <c r="M56" s="146">
        <v>12.836978</v>
      </c>
      <c r="N56" s="146">
        <v>12.674039</v>
      </c>
      <c r="O56" s="146">
        <v>12.534656</v>
      </c>
      <c r="P56" s="146">
        <v>12.394664000000001</v>
      </c>
      <c r="Q56" s="146">
        <v>12.251548</v>
      </c>
      <c r="R56" s="146">
        <v>12.130822</v>
      </c>
      <c r="S56" s="146">
        <v>12.028416</v>
      </c>
      <c r="T56" s="146">
        <v>11.933923</v>
      </c>
      <c r="U56" s="146">
        <v>11.864001</v>
      </c>
      <c r="V56" s="146">
        <v>11.805396</v>
      </c>
      <c r="W56" s="146">
        <v>11.762741999999999</v>
      </c>
      <c r="X56" s="146">
        <v>11.733644</v>
      </c>
      <c r="Y56" s="146">
        <v>11.725387</v>
      </c>
      <c r="Z56" s="146">
        <v>11.735775</v>
      </c>
      <c r="AA56" s="146">
        <v>11.770763000000001</v>
      </c>
      <c r="AB56" s="146">
        <v>11.824349</v>
      </c>
      <c r="AC56" s="146">
        <v>11.889715000000001</v>
      </c>
      <c r="AD56" s="146">
        <v>11.962910000000001</v>
      </c>
      <c r="AE56" s="146">
        <v>12.054455000000001</v>
      </c>
      <c r="AF56" s="144">
        <v>-6.6779999999999999E-3</v>
      </c>
      <c r="AG56" s="134"/>
    </row>
    <row r="57" spans="1:33" ht="15" customHeight="1">
      <c r="A57" s="15" t="s">
        <v>41</v>
      </c>
      <c r="B57" s="142" t="s">
        <v>24</v>
      </c>
      <c r="C57" s="146">
        <v>0.95150299999999999</v>
      </c>
      <c r="D57" s="146">
        <v>0.94255800000000001</v>
      </c>
      <c r="E57" s="146">
        <v>0.92534000000000005</v>
      </c>
      <c r="F57" s="146">
        <v>0.91245200000000004</v>
      </c>
      <c r="G57" s="146">
        <v>0.903111</v>
      </c>
      <c r="H57" s="146">
        <v>0.89480700000000002</v>
      </c>
      <c r="I57" s="146">
        <v>0.88838499999999998</v>
      </c>
      <c r="J57" s="146">
        <v>0.88299499999999997</v>
      </c>
      <c r="K57" s="146">
        <v>0.87703299999999995</v>
      </c>
      <c r="L57" s="146">
        <v>0.87279099999999998</v>
      </c>
      <c r="M57" s="146">
        <v>0.87179099999999998</v>
      </c>
      <c r="N57" s="146">
        <v>0.87186799999999998</v>
      </c>
      <c r="O57" s="146">
        <v>0.87303399999999998</v>
      </c>
      <c r="P57" s="146">
        <v>0.87507400000000002</v>
      </c>
      <c r="Q57" s="146">
        <v>0.87749999999999995</v>
      </c>
      <c r="R57" s="146">
        <v>0.881023</v>
      </c>
      <c r="S57" s="146">
        <v>0.88554100000000002</v>
      </c>
      <c r="T57" s="146">
        <v>0.88979600000000003</v>
      </c>
      <c r="U57" s="146">
        <v>0.896146</v>
      </c>
      <c r="V57" s="146">
        <v>0.90392399999999995</v>
      </c>
      <c r="W57" s="146">
        <v>0.91192099999999998</v>
      </c>
      <c r="X57" s="146">
        <v>0.91867500000000002</v>
      </c>
      <c r="Y57" s="146">
        <v>0.92472100000000002</v>
      </c>
      <c r="Z57" s="146">
        <v>0.93183000000000005</v>
      </c>
      <c r="AA57" s="146">
        <v>0.93994</v>
      </c>
      <c r="AB57" s="146">
        <v>0.94994999999999996</v>
      </c>
      <c r="AC57" s="146">
        <v>0.95831999999999995</v>
      </c>
      <c r="AD57" s="146">
        <v>0.96721000000000001</v>
      </c>
      <c r="AE57" s="146">
        <v>0.97889800000000005</v>
      </c>
      <c r="AF57" s="144">
        <v>1.0139999999999999E-3</v>
      </c>
      <c r="AG57" s="134"/>
    </row>
    <row r="58" spans="1:33" ht="15" customHeight="1">
      <c r="A58" s="15" t="s">
        <v>40</v>
      </c>
      <c r="B58" s="142" t="s">
        <v>22</v>
      </c>
      <c r="C58" s="146">
        <v>0.21216299999999999</v>
      </c>
      <c r="D58" s="146">
        <v>0.22231200000000001</v>
      </c>
      <c r="E58" s="146">
        <v>0.22695699999999999</v>
      </c>
      <c r="F58" s="146">
        <v>0.22801299999999999</v>
      </c>
      <c r="G58" s="146">
        <v>0.228798</v>
      </c>
      <c r="H58" s="146">
        <v>0.229238</v>
      </c>
      <c r="I58" s="146">
        <v>0.229403</v>
      </c>
      <c r="J58" s="146">
        <v>0.229156</v>
      </c>
      <c r="K58" s="146">
        <v>0.228548</v>
      </c>
      <c r="L58" s="146">
        <v>0.22755600000000001</v>
      </c>
      <c r="M58" s="146">
        <v>0.22653000000000001</v>
      </c>
      <c r="N58" s="146">
        <v>0.22600500000000001</v>
      </c>
      <c r="O58" s="146">
        <v>0.22533600000000001</v>
      </c>
      <c r="P58" s="146">
        <v>0.22447300000000001</v>
      </c>
      <c r="Q58" s="146">
        <v>0.223496</v>
      </c>
      <c r="R58" s="146">
        <v>0.22194</v>
      </c>
      <c r="S58" s="146">
        <v>0.22057599999999999</v>
      </c>
      <c r="T58" s="146">
        <v>0.21909899999999999</v>
      </c>
      <c r="U58" s="146">
        <v>0.2175</v>
      </c>
      <c r="V58" s="146">
        <v>0.215784</v>
      </c>
      <c r="W58" s="146">
        <v>0.214032</v>
      </c>
      <c r="X58" s="146">
        <v>0.21201700000000001</v>
      </c>
      <c r="Y58" s="146">
        <v>0.21015400000000001</v>
      </c>
      <c r="Z58" s="146">
        <v>0.20821500000000001</v>
      </c>
      <c r="AA58" s="146">
        <v>0.206535</v>
      </c>
      <c r="AB58" s="146">
        <v>0.20446300000000001</v>
      </c>
      <c r="AC58" s="146">
        <v>0.20246</v>
      </c>
      <c r="AD58" s="146">
        <v>0.20028199999999999</v>
      </c>
      <c r="AE58" s="146">
        <v>0.198183</v>
      </c>
      <c r="AF58" s="144">
        <v>-2.4320000000000001E-3</v>
      </c>
      <c r="AG58" s="134"/>
    </row>
    <row r="59" spans="1:33" ht="15" customHeight="1">
      <c r="A59" s="15" t="s">
        <v>39</v>
      </c>
      <c r="B59" s="142" t="s">
        <v>20</v>
      </c>
      <c r="C59" s="146">
        <v>5.9211260000000001</v>
      </c>
      <c r="D59" s="146">
        <v>5.8150050000000002</v>
      </c>
      <c r="E59" s="146">
        <v>5.7261790000000001</v>
      </c>
      <c r="F59" s="146">
        <v>5.6708869999999996</v>
      </c>
      <c r="G59" s="146">
        <v>5.6364150000000004</v>
      </c>
      <c r="H59" s="146">
        <v>5.5889559999999996</v>
      </c>
      <c r="I59" s="146">
        <v>5.5406930000000001</v>
      </c>
      <c r="J59" s="146">
        <v>5.4803899999999999</v>
      </c>
      <c r="K59" s="146">
        <v>5.4188489999999998</v>
      </c>
      <c r="L59" s="146">
        <v>5.3674910000000002</v>
      </c>
      <c r="M59" s="146">
        <v>5.3360620000000001</v>
      </c>
      <c r="N59" s="146">
        <v>5.3021260000000003</v>
      </c>
      <c r="O59" s="146">
        <v>5.2741230000000003</v>
      </c>
      <c r="P59" s="146">
        <v>5.25631</v>
      </c>
      <c r="Q59" s="146">
        <v>5.2378020000000003</v>
      </c>
      <c r="R59" s="146">
        <v>5.2322259999999998</v>
      </c>
      <c r="S59" s="146">
        <v>5.2306210000000002</v>
      </c>
      <c r="T59" s="146">
        <v>5.2322899999999999</v>
      </c>
      <c r="U59" s="146">
        <v>5.2416010000000002</v>
      </c>
      <c r="V59" s="146">
        <v>5.2565660000000003</v>
      </c>
      <c r="W59" s="146">
        <v>5.2744609999999996</v>
      </c>
      <c r="X59" s="146">
        <v>5.2923179999999999</v>
      </c>
      <c r="Y59" s="146">
        <v>5.3090260000000002</v>
      </c>
      <c r="Z59" s="146">
        <v>5.323563</v>
      </c>
      <c r="AA59" s="146">
        <v>5.3446429999999996</v>
      </c>
      <c r="AB59" s="146">
        <v>5.367305</v>
      </c>
      <c r="AC59" s="146">
        <v>5.3838540000000004</v>
      </c>
      <c r="AD59" s="146">
        <v>5.4034690000000003</v>
      </c>
      <c r="AE59" s="146">
        <v>5.43954</v>
      </c>
      <c r="AF59" s="144">
        <v>-3.0249999999999999E-3</v>
      </c>
      <c r="AG59" s="134"/>
    </row>
    <row r="60" spans="1:33" ht="15" customHeight="1">
      <c r="A60" s="15" t="s">
        <v>38</v>
      </c>
      <c r="B60" s="142" t="s">
        <v>18</v>
      </c>
      <c r="C60" s="146">
        <v>4.3913000000000001E-2</v>
      </c>
      <c r="D60" s="146">
        <v>4.5564E-2</v>
      </c>
      <c r="E60" s="146">
        <v>4.6540999999999999E-2</v>
      </c>
      <c r="F60" s="146">
        <v>4.7204999999999997E-2</v>
      </c>
      <c r="G60" s="146">
        <v>4.7899999999999998E-2</v>
      </c>
      <c r="H60" s="146">
        <v>4.8571000000000003E-2</v>
      </c>
      <c r="I60" s="146">
        <v>4.9133000000000003E-2</v>
      </c>
      <c r="J60" s="146">
        <v>4.9707000000000001E-2</v>
      </c>
      <c r="K60" s="146">
        <v>5.015E-2</v>
      </c>
      <c r="L60" s="146">
        <v>5.0598999999999998E-2</v>
      </c>
      <c r="M60" s="146">
        <v>5.1139999999999998E-2</v>
      </c>
      <c r="N60" s="146">
        <v>5.1727000000000002E-2</v>
      </c>
      <c r="O60" s="146">
        <v>5.2368999999999999E-2</v>
      </c>
      <c r="P60" s="146">
        <v>5.2923999999999999E-2</v>
      </c>
      <c r="Q60" s="146">
        <v>5.3456999999999998E-2</v>
      </c>
      <c r="R60" s="146">
        <v>5.3973E-2</v>
      </c>
      <c r="S60" s="146">
        <v>5.4510000000000003E-2</v>
      </c>
      <c r="T60" s="146">
        <v>5.5034E-2</v>
      </c>
      <c r="U60" s="146">
        <v>5.5627000000000003E-2</v>
      </c>
      <c r="V60" s="146">
        <v>5.6181000000000002E-2</v>
      </c>
      <c r="W60" s="146">
        <v>5.6753999999999999E-2</v>
      </c>
      <c r="X60" s="146">
        <v>5.7258000000000003E-2</v>
      </c>
      <c r="Y60" s="146">
        <v>5.7815999999999999E-2</v>
      </c>
      <c r="Z60" s="146">
        <v>5.8367000000000002E-2</v>
      </c>
      <c r="AA60" s="146">
        <v>5.9116000000000002E-2</v>
      </c>
      <c r="AB60" s="146">
        <v>5.9750999999999999E-2</v>
      </c>
      <c r="AC60" s="146">
        <v>6.0444999999999999E-2</v>
      </c>
      <c r="AD60" s="146">
        <v>6.1081000000000003E-2</v>
      </c>
      <c r="AE60" s="146">
        <v>6.1848E-2</v>
      </c>
      <c r="AF60" s="144">
        <v>1.2305999999999999E-2</v>
      </c>
      <c r="AG60" s="134"/>
    </row>
    <row r="61" spans="1:33" ht="15" customHeight="1">
      <c r="A61" s="15" t="s">
        <v>37</v>
      </c>
      <c r="B61" s="142" t="s">
        <v>16</v>
      </c>
      <c r="C61" s="146">
        <v>0.48138199999999998</v>
      </c>
      <c r="D61" s="146">
        <v>0.47482200000000002</v>
      </c>
      <c r="E61" s="146">
        <v>0.49412899999999998</v>
      </c>
      <c r="F61" s="146">
        <v>0.48220400000000002</v>
      </c>
      <c r="G61" s="146">
        <v>0.46188000000000001</v>
      </c>
      <c r="H61" s="146">
        <v>0.44609500000000002</v>
      </c>
      <c r="I61" s="146">
        <v>0.439745</v>
      </c>
      <c r="J61" s="146">
        <v>0.44452599999999998</v>
      </c>
      <c r="K61" s="146">
        <v>0.44189200000000001</v>
      </c>
      <c r="L61" s="146">
        <v>0.44342300000000001</v>
      </c>
      <c r="M61" s="146">
        <v>0.44743699999999997</v>
      </c>
      <c r="N61" s="146">
        <v>0.45064799999999999</v>
      </c>
      <c r="O61" s="146">
        <v>0.45266600000000001</v>
      </c>
      <c r="P61" s="146">
        <v>0.455515</v>
      </c>
      <c r="Q61" s="146">
        <v>0.45589400000000002</v>
      </c>
      <c r="R61" s="146">
        <v>0.45686199999999999</v>
      </c>
      <c r="S61" s="146">
        <v>0.45827499999999999</v>
      </c>
      <c r="T61" s="146">
        <v>0.45760899999999999</v>
      </c>
      <c r="U61" s="146">
        <v>0.45812799999999998</v>
      </c>
      <c r="V61" s="146">
        <v>0.461673</v>
      </c>
      <c r="W61" s="146">
        <v>0.464588</v>
      </c>
      <c r="X61" s="146">
        <v>0.46493699999999999</v>
      </c>
      <c r="Y61" s="146">
        <v>0.46492299999999998</v>
      </c>
      <c r="Z61" s="146">
        <v>0.46477099999999999</v>
      </c>
      <c r="AA61" s="146">
        <v>0.46576699999999999</v>
      </c>
      <c r="AB61" s="146">
        <v>0.46815499999999999</v>
      </c>
      <c r="AC61" s="146">
        <v>0.47133999999999998</v>
      </c>
      <c r="AD61" s="146">
        <v>0.47259899999999999</v>
      </c>
      <c r="AE61" s="146">
        <v>0.47572900000000001</v>
      </c>
      <c r="AF61" s="144">
        <v>-4.2200000000000001E-4</v>
      </c>
      <c r="AG61" s="134"/>
    </row>
    <row r="62" spans="1:33" ht="15" customHeight="1">
      <c r="A62" s="15" t="s">
        <v>36</v>
      </c>
      <c r="B62" s="142" t="s">
        <v>14</v>
      </c>
      <c r="C62" s="146">
        <v>9.8239000000000007E-2</v>
      </c>
      <c r="D62" s="146">
        <v>9.8920999999999995E-2</v>
      </c>
      <c r="E62" s="146">
        <v>9.8114999999999994E-2</v>
      </c>
      <c r="F62" s="146">
        <v>9.7346000000000002E-2</v>
      </c>
      <c r="G62" s="146">
        <v>9.6685999999999994E-2</v>
      </c>
      <c r="H62" s="146">
        <v>9.5823000000000005E-2</v>
      </c>
      <c r="I62" s="146">
        <v>9.4964999999999994E-2</v>
      </c>
      <c r="J62" s="146">
        <v>9.3891000000000002E-2</v>
      </c>
      <c r="K62" s="146">
        <v>9.2919000000000002E-2</v>
      </c>
      <c r="L62" s="146">
        <v>9.2030000000000001E-2</v>
      </c>
      <c r="M62" s="146">
        <v>9.1400999999999996E-2</v>
      </c>
      <c r="N62" s="146">
        <v>9.0674000000000005E-2</v>
      </c>
      <c r="O62" s="146">
        <v>8.9934E-2</v>
      </c>
      <c r="P62" s="146">
        <v>8.9168999999999998E-2</v>
      </c>
      <c r="Q62" s="146">
        <v>8.8332999999999995E-2</v>
      </c>
      <c r="R62" s="146">
        <v>8.7614999999999998E-2</v>
      </c>
      <c r="S62" s="146">
        <v>8.6832999999999994E-2</v>
      </c>
      <c r="T62" s="146">
        <v>8.6156999999999997E-2</v>
      </c>
      <c r="U62" s="146">
        <v>8.5473999999999994E-2</v>
      </c>
      <c r="V62" s="146">
        <v>8.4846000000000005E-2</v>
      </c>
      <c r="W62" s="146">
        <v>8.4274000000000002E-2</v>
      </c>
      <c r="X62" s="146">
        <v>8.3705000000000002E-2</v>
      </c>
      <c r="Y62" s="146">
        <v>8.3102999999999996E-2</v>
      </c>
      <c r="Z62" s="146">
        <v>8.2418000000000005E-2</v>
      </c>
      <c r="AA62" s="146">
        <v>8.1855999999999998E-2</v>
      </c>
      <c r="AB62" s="146">
        <v>8.1249000000000002E-2</v>
      </c>
      <c r="AC62" s="146">
        <v>8.0573000000000006E-2</v>
      </c>
      <c r="AD62" s="146">
        <v>7.9990000000000006E-2</v>
      </c>
      <c r="AE62" s="146">
        <v>7.9592999999999997E-2</v>
      </c>
      <c r="AF62" s="144">
        <v>-7.489E-3</v>
      </c>
      <c r="AG62" s="134"/>
    </row>
    <row r="63" spans="1:33" ht="15" customHeight="1">
      <c r="A63" s="15" t="s">
        <v>35</v>
      </c>
      <c r="B63" s="142" t="s">
        <v>12</v>
      </c>
      <c r="C63" s="146">
        <v>0.93502799999999997</v>
      </c>
      <c r="D63" s="146">
        <v>0.88183</v>
      </c>
      <c r="E63" s="146">
        <v>0.87772700000000003</v>
      </c>
      <c r="F63" s="146">
        <v>0.87860400000000005</v>
      </c>
      <c r="G63" s="146">
        <v>0.87124999999999997</v>
      </c>
      <c r="H63" s="146">
        <v>0.86844900000000003</v>
      </c>
      <c r="I63" s="146">
        <v>0.86268900000000004</v>
      </c>
      <c r="J63" s="146">
        <v>0.85914199999999996</v>
      </c>
      <c r="K63" s="146">
        <v>0.85663400000000001</v>
      </c>
      <c r="L63" s="146">
        <v>0.85713600000000001</v>
      </c>
      <c r="M63" s="146">
        <v>0.857437</v>
      </c>
      <c r="N63" s="146">
        <v>0.85799999999999998</v>
      </c>
      <c r="O63" s="146">
        <v>0.85775999999999997</v>
      </c>
      <c r="P63" s="146">
        <v>0.85821800000000004</v>
      </c>
      <c r="Q63" s="146">
        <v>0.85754699999999995</v>
      </c>
      <c r="R63" s="146">
        <v>0.85761399999999999</v>
      </c>
      <c r="S63" s="146">
        <v>0.85763500000000004</v>
      </c>
      <c r="T63" s="146">
        <v>0.85734999999999995</v>
      </c>
      <c r="U63" s="146">
        <v>0.85724500000000003</v>
      </c>
      <c r="V63" s="146">
        <v>0.85730099999999998</v>
      </c>
      <c r="W63" s="146">
        <v>0.85782999999999998</v>
      </c>
      <c r="X63" s="146">
        <v>0.85782000000000003</v>
      </c>
      <c r="Y63" s="146">
        <v>0.85804800000000003</v>
      </c>
      <c r="Z63" s="146">
        <v>0.85806800000000005</v>
      </c>
      <c r="AA63" s="146">
        <v>0.86063299999999998</v>
      </c>
      <c r="AB63" s="146">
        <v>0.86092400000000002</v>
      </c>
      <c r="AC63" s="146">
        <v>0.85983399999999999</v>
      </c>
      <c r="AD63" s="146">
        <v>0.85912200000000005</v>
      </c>
      <c r="AE63" s="146">
        <v>0.85809500000000005</v>
      </c>
      <c r="AF63" s="144">
        <v>-3.0620000000000001E-3</v>
      </c>
      <c r="AG63" s="134"/>
    </row>
    <row r="64" spans="1:33" ht="15" customHeight="1">
      <c r="A64" s="15" t="s">
        <v>34</v>
      </c>
      <c r="B64" s="142" t="s">
        <v>10</v>
      </c>
      <c r="C64" s="146">
        <v>0.20283699999999999</v>
      </c>
      <c r="D64" s="146">
        <v>0.19916300000000001</v>
      </c>
      <c r="E64" s="146">
        <v>0.19580500000000001</v>
      </c>
      <c r="F64" s="146">
        <v>0.19373699999999999</v>
      </c>
      <c r="G64" s="146">
        <v>0.19281300000000001</v>
      </c>
      <c r="H64" s="146">
        <v>0.19189700000000001</v>
      </c>
      <c r="I64" s="146">
        <v>0.19073399999999999</v>
      </c>
      <c r="J64" s="146">
        <v>0.18920999999999999</v>
      </c>
      <c r="K64" s="146">
        <v>0.18740399999999999</v>
      </c>
      <c r="L64" s="146">
        <v>0.18567700000000001</v>
      </c>
      <c r="M64" s="146">
        <v>0.18446699999999999</v>
      </c>
      <c r="N64" s="146">
        <v>0.18361</v>
      </c>
      <c r="O64" s="146">
        <v>0.182778</v>
      </c>
      <c r="P64" s="146">
        <v>0.18199799999999999</v>
      </c>
      <c r="Q64" s="146">
        <v>0.18145</v>
      </c>
      <c r="R64" s="146">
        <v>0.18110599999999999</v>
      </c>
      <c r="S64" s="146">
        <v>0.18074599999999999</v>
      </c>
      <c r="T64" s="146">
        <v>0.18038299999999999</v>
      </c>
      <c r="U64" s="146">
        <v>0.18029500000000001</v>
      </c>
      <c r="V64" s="146">
        <v>0.18016099999999999</v>
      </c>
      <c r="W64" s="146">
        <v>0.17998800000000001</v>
      </c>
      <c r="X64" s="146">
        <v>0.179814</v>
      </c>
      <c r="Y64" s="146">
        <v>0.17955699999999999</v>
      </c>
      <c r="Z64" s="146">
        <v>0.17924399999999999</v>
      </c>
      <c r="AA64" s="146">
        <v>0.17895</v>
      </c>
      <c r="AB64" s="146">
        <v>0.178728</v>
      </c>
      <c r="AC64" s="146">
        <v>0.17849100000000001</v>
      </c>
      <c r="AD64" s="146">
        <v>0.178228</v>
      </c>
      <c r="AE64" s="146">
        <v>0.17815600000000001</v>
      </c>
      <c r="AF64" s="144">
        <v>-4.6230000000000004E-3</v>
      </c>
      <c r="AG64" s="134"/>
    </row>
    <row r="65" spans="1:33" s="171" customFormat="1" ht="15" customHeight="1">
      <c r="A65" s="166" t="s">
        <v>33</v>
      </c>
      <c r="B65" s="167" t="s">
        <v>8</v>
      </c>
      <c r="C65" s="168">
        <v>2.8028080000000002</v>
      </c>
      <c r="D65" s="168">
        <v>3.008168</v>
      </c>
      <c r="E65" s="168">
        <v>3.0512030000000001</v>
      </c>
      <c r="F65" s="168">
        <v>3.0571109999999999</v>
      </c>
      <c r="G65" s="168">
        <v>3.095898</v>
      </c>
      <c r="H65" s="168">
        <v>3.1342270000000001</v>
      </c>
      <c r="I65" s="168">
        <v>3.164552</v>
      </c>
      <c r="J65" s="168">
        <v>3.1871079999999998</v>
      </c>
      <c r="K65" s="168">
        <v>3.2029380000000001</v>
      </c>
      <c r="L65" s="168">
        <v>3.2187830000000002</v>
      </c>
      <c r="M65" s="168">
        <v>3.2439369999999998</v>
      </c>
      <c r="N65" s="168">
        <v>3.270448</v>
      </c>
      <c r="O65" s="168">
        <v>3.294403</v>
      </c>
      <c r="P65" s="168">
        <v>3.322924</v>
      </c>
      <c r="Q65" s="168">
        <v>3.3598249999999998</v>
      </c>
      <c r="R65" s="168">
        <v>3.4038949999999999</v>
      </c>
      <c r="S65" s="168">
        <v>3.4501719999999998</v>
      </c>
      <c r="T65" s="168">
        <v>3.498488</v>
      </c>
      <c r="U65" s="168">
        <v>3.5546440000000001</v>
      </c>
      <c r="V65" s="168">
        <v>3.608403</v>
      </c>
      <c r="W65" s="168">
        <v>3.6630980000000002</v>
      </c>
      <c r="X65" s="168">
        <v>3.7186249999999998</v>
      </c>
      <c r="Y65" s="168">
        <v>3.7740100000000001</v>
      </c>
      <c r="Z65" s="168">
        <v>3.8279190000000001</v>
      </c>
      <c r="AA65" s="168">
        <v>3.8804340000000002</v>
      </c>
      <c r="AB65" s="168">
        <v>3.9367380000000001</v>
      </c>
      <c r="AC65" s="168">
        <v>3.9936039999999999</v>
      </c>
      <c r="AD65" s="168">
        <v>4.0496509999999999</v>
      </c>
      <c r="AE65" s="168">
        <v>4.112158</v>
      </c>
      <c r="AF65" s="169">
        <v>1.3783999999999999E-2</v>
      </c>
      <c r="AG65" s="170"/>
    </row>
    <row r="66" spans="1:33" ht="12" customHeight="1">
      <c r="A66" s="15" t="s">
        <v>32</v>
      </c>
      <c r="B66" s="142" t="s">
        <v>6</v>
      </c>
      <c r="C66" s="146">
        <v>0.43083199999999999</v>
      </c>
      <c r="D66" s="146">
        <v>0.43313099999999999</v>
      </c>
      <c r="E66" s="146">
        <v>0.43396800000000002</v>
      </c>
      <c r="F66" s="146">
        <v>0.43462800000000001</v>
      </c>
      <c r="G66" s="146">
        <v>0.43516199999999999</v>
      </c>
      <c r="H66" s="146">
        <v>0.43594699999999997</v>
      </c>
      <c r="I66" s="146">
        <v>0.43650600000000001</v>
      </c>
      <c r="J66" s="146">
        <v>0.43695099999999998</v>
      </c>
      <c r="K66" s="146">
        <v>0.437332</v>
      </c>
      <c r="L66" s="146">
        <v>0.43757600000000002</v>
      </c>
      <c r="M66" s="146">
        <v>0.43774400000000002</v>
      </c>
      <c r="N66" s="146">
        <v>0.43782700000000002</v>
      </c>
      <c r="O66" s="146">
        <v>0.43785800000000002</v>
      </c>
      <c r="P66" s="146">
        <v>0.43787900000000002</v>
      </c>
      <c r="Q66" s="146">
        <v>0.438004</v>
      </c>
      <c r="R66" s="146">
        <v>0.43820300000000001</v>
      </c>
      <c r="S66" s="146">
        <v>0.43841200000000002</v>
      </c>
      <c r="T66" s="146">
        <v>0.43863099999999999</v>
      </c>
      <c r="U66" s="146">
        <v>0.43885800000000003</v>
      </c>
      <c r="V66" s="146">
        <v>0.43909300000000001</v>
      </c>
      <c r="W66" s="146">
        <v>0.43933499999999998</v>
      </c>
      <c r="X66" s="146">
        <v>0.43958399999999997</v>
      </c>
      <c r="Y66" s="146">
        <v>0.43983899999999998</v>
      </c>
      <c r="Z66" s="146">
        <v>0.44009900000000002</v>
      </c>
      <c r="AA66" s="146">
        <v>0.44036399999999998</v>
      </c>
      <c r="AB66" s="146">
        <v>0.440633</v>
      </c>
      <c r="AC66" s="146">
        <v>0.44090699999999999</v>
      </c>
      <c r="AD66" s="146">
        <v>0.44118400000000002</v>
      </c>
      <c r="AE66" s="146">
        <v>0.441465</v>
      </c>
      <c r="AF66" s="144">
        <v>8.7100000000000003E-4</v>
      </c>
      <c r="AG66" s="134"/>
    </row>
    <row r="67" spans="1:33" ht="15" customHeight="1">
      <c r="A67" s="15" t="s">
        <v>31</v>
      </c>
      <c r="B67" s="142" t="s">
        <v>4</v>
      </c>
      <c r="C67" s="146">
        <v>0.125945</v>
      </c>
      <c r="D67" s="146">
        <v>0.12592500000000001</v>
      </c>
      <c r="E67" s="146">
        <v>0.12601200000000001</v>
      </c>
      <c r="F67" s="146">
        <v>0.12605</v>
      </c>
      <c r="G67" s="146">
        <v>0.126114</v>
      </c>
      <c r="H67" s="146">
        <v>0.12598400000000001</v>
      </c>
      <c r="I67" s="146">
        <v>0.12585299999999999</v>
      </c>
      <c r="J67" s="146">
        <v>0.12575500000000001</v>
      </c>
      <c r="K67" s="146">
        <v>0.12565200000000001</v>
      </c>
      <c r="L67" s="146">
        <v>0.12554599999999999</v>
      </c>
      <c r="M67" s="146">
        <v>0.12543899999999999</v>
      </c>
      <c r="N67" s="146">
        <v>0.12533</v>
      </c>
      <c r="O67" s="146">
        <v>0.12525</v>
      </c>
      <c r="P67" s="146">
        <v>0.125225</v>
      </c>
      <c r="Q67" s="146">
        <v>0.12525500000000001</v>
      </c>
      <c r="R67" s="146">
        <v>0.12531800000000001</v>
      </c>
      <c r="S67" s="146">
        <v>0.125412</v>
      </c>
      <c r="T67" s="146">
        <v>0.125527</v>
      </c>
      <c r="U67" s="146">
        <v>0.125667</v>
      </c>
      <c r="V67" s="146">
        <v>0.12579699999999999</v>
      </c>
      <c r="W67" s="146">
        <v>0.12592500000000001</v>
      </c>
      <c r="X67" s="146">
        <v>0.12604599999999999</v>
      </c>
      <c r="Y67" s="146">
        <v>0.126166</v>
      </c>
      <c r="Z67" s="146">
        <v>0.12631999999999999</v>
      </c>
      <c r="AA67" s="146">
        <v>0.12649199999999999</v>
      </c>
      <c r="AB67" s="146">
        <v>0.126661</v>
      </c>
      <c r="AC67" s="146">
        <v>0.12681100000000001</v>
      </c>
      <c r="AD67" s="146">
        <v>0.126974</v>
      </c>
      <c r="AE67" s="146">
        <v>0.12715899999999999</v>
      </c>
      <c r="AF67" s="144">
        <v>3.4200000000000002E-4</v>
      </c>
      <c r="AG67" s="134"/>
    </row>
    <row r="68" spans="1:33" ht="15" customHeight="1">
      <c r="A68" s="15" t="s">
        <v>30</v>
      </c>
      <c r="B68" s="142" t="s">
        <v>253</v>
      </c>
      <c r="C68" s="146">
        <v>0.90573199999999998</v>
      </c>
      <c r="D68" s="146">
        <v>0.82054300000000002</v>
      </c>
      <c r="E68" s="146">
        <v>0.76098200000000005</v>
      </c>
      <c r="F68" s="146">
        <v>0.72675199999999995</v>
      </c>
      <c r="G68" s="146">
        <v>0.69584999999999997</v>
      </c>
      <c r="H68" s="146">
        <v>0.65398500000000004</v>
      </c>
      <c r="I68" s="146">
        <v>0.61392800000000003</v>
      </c>
      <c r="J68" s="146">
        <v>0.61203300000000005</v>
      </c>
      <c r="K68" s="146">
        <v>0.61031599999999997</v>
      </c>
      <c r="L68" s="146">
        <v>0.61189700000000002</v>
      </c>
      <c r="M68" s="146">
        <v>0.61776399999999998</v>
      </c>
      <c r="N68" s="146">
        <v>0.62628499999999998</v>
      </c>
      <c r="O68" s="146">
        <v>0.63076699999999997</v>
      </c>
      <c r="P68" s="146">
        <v>0.63347699999999996</v>
      </c>
      <c r="Q68" s="146">
        <v>0.63400299999999998</v>
      </c>
      <c r="R68" s="146">
        <v>0.63296799999999998</v>
      </c>
      <c r="S68" s="146">
        <v>0.63783100000000004</v>
      </c>
      <c r="T68" s="146">
        <v>0.63666800000000001</v>
      </c>
      <c r="U68" s="146">
        <v>0.64580700000000002</v>
      </c>
      <c r="V68" s="146">
        <v>0.65242699999999998</v>
      </c>
      <c r="W68" s="146">
        <v>0.65816600000000003</v>
      </c>
      <c r="X68" s="146">
        <v>0.66099399999999997</v>
      </c>
      <c r="Y68" s="146">
        <v>0.66509499999999999</v>
      </c>
      <c r="Z68" s="146">
        <v>0.66920299999999999</v>
      </c>
      <c r="AA68" s="146">
        <v>0.67453399999999997</v>
      </c>
      <c r="AB68" s="146">
        <v>0.68213500000000005</v>
      </c>
      <c r="AC68" s="146">
        <v>0.68949099999999997</v>
      </c>
      <c r="AD68" s="146">
        <v>0.691882</v>
      </c>
      <c r="AE68" s="146">
        <v>0.69677699999999998</v>
      </c>
      <c r="AF68" s="144">
        <v>-9.3229999999999997E-3</v>
      </c>
      <c r="AG68" s="134"/>
    </row>
    <row r="69" spans="1:33" ht="15" customHeight="1">
      <c r="A69" s="15" t="s">
        <v>1069</v>
      </c>
      <c r="B69" s="142" t="s">
        <v>1070</v>
      </c>
      <c r="C69" s="146">
        <v>0.33252300000000001</v>
      </c>
      <c r="D69" s="146">
        <v>0.377971</v>
      </c>
      <c r="E69" s="146">
        <v>0.38400499999999999</v>
      </c>
      <c r="F69" s="146">
        <v>0.40878300000000001</v>
      </c>
      <c r="G69" s="146">
        <v>0.44626100000000002</v>
      </c>
      <c r="H69" s="146">
        <v>0.47717300000000001</v>
      </c>
      <c r="I69" s="146">
        <v>0.50361</v>
      </c>
      <c r="J69" s="146">
        <v>0.52757100000000001</v>
      </c>
      <c r="K69" s="146">
        <v>0.57796899999999996</v>
      </c>
      <c r="L69" s="146">
        <v>0.62836700000000001</v>
      </c>
      <c r="M69" s="146">
        <v>0.68000400000000005</v>
      </c>
      <c r="N69" s="146">
        <v>0.72916400000000003</v>
      </c>
      <c r="O69" s="146">
        <v>0.77116200000000001</v>
      </c>
      <c r="P69" s="146">
        <v>0.79636099999999999</v>
      </c>
      <c r="Q69" s="146">
        <v>0.81439899999999998</v>
      </c>
      <c r="R69" s="146">
        <v>0.82996000000000003</v>
      </c>
      <c r="S69" s="146">
        <v>0.83835999999999999</v>
      </c>
      <c r="T69" s="146">
        <v>0.83835999999999999</v>
      </c>
      <c r="U69" s="146">
        <v>0.83959799999999996</v>
      </c>
      <c r="V69" s="146">
        <v>0.83835999999999999</v>
      </c>
      <c r="W69" s="146">
        <v>0.83835999999999999</v>
      </c>
      <c r="X69" s="146">
        <v>0.83835999999999999</v>
      </c>
      <c r="Y69" s="146">
        <v>0.83959799999999996</v>
      </c>
      <c r="Z69" s="146">
        <v>0.83835999999999999</v>
      </c>
      <c r="AA69" s="146">
        <v>0.83835999999999999</v>
      </c>
      <c r="AB69" s="146">
        <v>0.83835999999999999</v>
      </c>
      <c r="AC69" s="146">
        <v>0.83959799999999996</v>
      </c>
      <c r="AD69" s="146">
        <v>0.83835999999999999</v>
      </c>
      <c r="AE69" s="146">
        <v>0.83835999999999999</v>
      </c>
      <c r="AF69" s="144">
        <v>3.3577999999999997E-2</v>
      </c>
      <c r="AG69" s="134"/>
    </row>
    <row r="70" spans="1:33" ht="15" customHeight="1">
      <c r="A70" s="15" t="s">
        <v>29</v>
      </c>
      <c r="B70" s="141" t="s">
        <v>1</v>
      </c>
      <c r="C70" s="147">
        <v>27.986006</v>
      </c>
      <c r="D70" s="147">
        <v>28.032028</v>
      </c>
      <c r="E70" s="147">
        <v>27.776655000000002</v>
      </c>
      <c r="F70" s="147">
        <v>27.465699999999998</v>
      </c>
      <c r="G70" s="147">
        <v>27.255044999999999</v>
      </c>
      <c r="H70" s="147">
        <v>27.051918000000001</v>
      </c>
      <c r="I70" s="147">
        <v>26.819282999999999</v>
      </c>
      <c r="J70" s="147">
        <v>26.592269999999999</v>
      </c>
      <c r="K70" s="147">
        <v>26.360721999999999</v>
      </c>
      <c r="L70" s="147">
        <v>26.162958</v>
      </c>
      <c r="M70" s="147">
        <v>26.008129</v>
      </c>
      <c r="N70" s="147">
        <v>25.897749000000001</v>
      </c>
      <c r="O70" s="147">
        <v>25.802094</v>
      </c>
      <c r="P70" s="147">
        <v>25.704211999999998</v>
      </c>
      <c r="Q70" s="147">
        <v>25.598514999999999</v>
      </c>
      <c r="R70" s="147">
        <v>25.533525000000001</v>
      </c>
      <c r="S70" s="147">
        <v>25.493338000000001</v>
      </c>
      <c r="T70" s="147">
        <v>25.449311999999999</v>
      </c>
      <c r="U70" s="147">
        <v>25.46059</v>
      </c>
      <c r="V70" s="147">
        <v>25.485914000000001</v>
      </c>
      <c r="W70" s="147">
        <v>25.531475</v>
      </c>
      <c r="X70" s="147">
        <v>25.583796</v>
      </c>
      <c r="Y70" s="147">
        <v>25.657437999999999</v>
      </c>
      <c r="Z70" s="147">
        <v>25.744152</v>
      </c>
      <c r="AA70" s="147">
        <v>25.868386999999998</v>
      </c>
      <c r="AB70" s="147">
        <v>26.019403000000001</v>
      </c>
      <c r="AC70" s="147">
        <v>26.175443999999999</v>
      </c>
      <c r="AD70" s="147">
        <v>26.332941000000002</v>
      </c>
      <c r="AE70" s="147">
        <v>26.540414999999999</v>
      </c>
      <c r="AF70" s="148">
        <v>-1.892E-3</v>
      </c>
      <c r="AG70" s="134"/>
    </row>
    <row r="71" spans="1:33" ht="15" customHeight="1">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row>
    <row r="72" spans="1:33" ht="15" customHeight="1">
      <c r="B72" s="141" t="s">
        <v>28</v>
      </c>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c r="AA72" s="134"/>
      <c r="AB72" s="134"/>
      <c r="AC72" s="134"/>
      <c r="AD72" s="134"/>
      <c r="AE72" s="134"/>
      <c r="AF72" s="134"/>
      <c r="AG72" s="134"/>
    </row>
    <row r="73" spans="1:33" ht="12" customHeight="1">
      <c r="A73" s="15" t="s">
        <v>27</v>
      </c>
      <c r="B73" s="142" t="s">
        <v>26</v>
      </c>
      <c r="C73" s="146">
        <v>7.8874019999999998</v>
      </c>
      <c r="D73" s="146">
        <v>7.9122269999999997</v>
      </c>
      <c r="E73" s="146">
        <v>7.8274340000000002</v>
      </c>
      <c r="F73" s="146">
        <v>7.7041750000000002</v>
      </c>
      <c r="G73" s="146">
        <v>7.6036460000000003</v>
      </c>
      <c r="H73" s="146">
        <v>7.5184980000000001</v>
      </c>
      <c r="I73" s="146">
        <v>7.419035</v>
      </c>
      <c r="J73" s="146">
        <v>7.3065249999999997</v>
      </c>
      <c r="K73" s="146">
        <v>7.1853569999999998</v>
      </c>
      <c r="L73" s="146">
        <v>7.0706910000000001</v>
      </c>
      <c r="M73" s="146">
        <v>6.9570160000000003</v>
      </c>
      <c r="N73" s="146">
        <v>6.8672800000000001</v>
      </c>
      <c r="O73" s="146">
        <v>6.7902670000000001</v>
      </c>
      <c r="P73" s="146">
        <v>6.712955</v>
      </c>
      <c r="Q73" s="146">
        <v>6.6337719999999996</v>
      </c>
      <c r="R73" s="146">
        <v>6.566808</v>
      </c>
      <c r="S73" s="146">
        <v>6.509881</v>
      </c>
      <c r="T73" s="146">
        <v>6.457382</v>
      </c>
      <c r="U73" s="146">
        <v>6.4183839999999996</v>
      </c>
      <c r="V73" s="146">
        <v>6.3855760000000004</v>
      </c>
      <c r="W73" s="146">
        <v>6.3615849999999998</v>
      </c>
      <c r="X73" s="146">
        <v>6.3450730000000002</v>
      </c>
      <c r="Y73" s="146">
        <v>6.3401059999999996</v>
      </c>
      <c r="Z73" s="146">
        <v>6.3454620000000004</v>
      </c>
      <c r="AA73" s="146">
        <v>6.3641899999999998</v>
      </c>
      <c r="AB73" s="146">
        <v>6.3931519999999997</v>
      </c>
      <c r="AC73" s="146">
        <v>6.428598</v>
      </c>
      <c r="AD73" s="146">
        <v>6.4683789999999997</v>
      </c>
      <c r="AE73" s="146">
        <v>6.5181990000000001</v>
      </c>
      <c r="AF73" s="144">
        <v>-6.7860000000000004E-3</v>
      </c>
      <c r="AG73" s="134"/>
    </row>
    <row r="74" spans="1:33" ht="15" customHeight="1">
      <c r="A74" s="15" t="s">
        <v>25</v>
      </c>
      <c r="B74" s="142" t="s">
        <v>24</v>
      </c>
      <c r="C74" s="146">
        <v>0.496809</v>
      </c>
      <c r="D74" s="146">
        <v>0.49219299999999999</v>
      </c>
      <c r="E74" s="146">
        <v>0.48331400000000002</v>
      </c>
      <c r="F74" s="146">
        <v>0.47684199999999999</v>
      </c>
      <c r="G74" s="146">
        <v>0.472221</v>
      </c>
      <c r="H74" s="146">
        <v>0.46793200000000001</v>
      </c>
      <c r="I74" s="146">
        <v>0.46471200000000001</v>
      </c>
      <c r="J74" s="146">
        <v>0.46205299999999999</v>
      </c>
      <c r="K74" s="146">
        <v>0.45911099999999999</v>
      </c>
      <c r="L74" s="146">
        <v>0.45708399999999999</v>
      </c>
      <c r="M74" s="146">
        <v>0.45675399999999999</v>
      </c>
      <c r="N74" s="146">
        <v>0.45698899999999998</v>
      </c>
      <c r="O74" s="146">
        <v>0.457814</v>
      </c>
      <c r="P74" s="146">
        <v>0.45909100000000003</v>
      </c>
      <c r="Q74" s="146">
        <v>0.46056399999999997</v>
      </c>
      <c r="R74" s="146">
        <v>0.462619</v>
      </c>
      <c r="S74" s="146">
        <v>0.46518900000000002</v>
      </c>
      <c r="T74" s="146">
        <v>0.46762300000000001</v>
      </c>
      <c r="U74" s="146">
        <v>0.47117599999999998</v>
      </c>
      <c r="V74" s="146">
        <v>0.47543600000000003</v>
      </c>
      <c r="W74" s="146">
        <v>0.47985299999999997</v>
      </c>
      <c r="X74" s="146">
        <v>0.48379299999999997</v>
      </c>
      <c r="Y74" s="146">
        <v>0.48735400000000001</v>
      </c>
      <c r="Z74" s="146">
        <v>0.49135299999999998</v>
      </c>
      <c r="AA74" s="146">
        <v>0.49600300000000003</v>
      </c>
      <c r="AB74" s="146">
        <v>0.50156500000000004</v>
      </c>
      <c r="AC74" s="146">
        <v>0.50649100000000002</v>
      </c>
      <c r="AD74" s="146">
        <v>0.51146199999999997</v>
      </c>
      <c r="AE74" s="146">
        <v>0.51798100000000002</v>
      </c>
      <c r="AF74" s="144">
        <v>1.4920000000000001E-3</v>
      </c>
      <c r="AG74" s="134"/>
    </row>
    <row r="75" spans="1:33" ht="15" customHeight="1">
      <c r="A75" s="15" t="s">
        <v>23</v>
      </c>
      <c r="B75" s="142" t="s">
        <v>22</v>
      </c>
      <c r="C75" s="146">
        <v>0.105213</v>
      </c>
      <c r="D75" s="146">
        <v>0.11029600000000001</v>
      </c>
      <c r="E75" s="146">
        <v>0.11259</v>
      </c>
      <c r="F75" s="146">
        <v>0.113083</v>
      </c>
      <c r="G75" s="146">
        <v>0.113492</v>
      </c>
      <c r="H75" s="146">
        <v>0.113737</v>
      </c>
      <c r="I75" s="146">
        <v>0.113843</v>
      </c>
      <c r="J75" s="146">
        <v>0.113729</v>
      </c>
      <c r="K75" s="146">
        <v>0.11343399999999999</v>
      </c>
      <c r="L75" s="146">
        <v>0.112917</v>
      </c>
      <c r="M75" s="146">
        <v>0.112403</v>
      </c>
      <c r="N75" s="146">
        <v>0.11212900000000001</v>
      </c>
      <c r="O75" s="146">
        <v>0.111806</v>
      </c>
      <c r="P75" s="146">
        <v>0.11138099999999999</v>
      </c>
      <c r="Q75" s="146">
        <v>0.110915</v>
      </c>
      <c r="R75" s="146">
        <v>0.110151</v>
      </c>
      <c r="S75" s="146">
        <v>0.109477</v>
      </c>
      <c r="T75" s="146">
        <v>0.108762</v>
      </c>
      <c r="U75" s="146">
        <v>0.107969</v>
      </c>
      <c r="V75" s="146">
        <v>0.107129</v>
      </c>
      <c r="W75" s="146">
        <v>0.10628799999999999</v>
      </c>
      <c r="X75" s="146">
        <v>0.105307</v>
      </c>
      <c r="Y75" s="146">
        <v>0.104391</v>
      </c>
      <c r="Z75" s="146">
        <v>0.103434</v>
      </c>
      <c r="AA75" s="146">
        <v>0.102605</v>
      </c>
      <c r="AB75" s="146">
        <v>0.101578</v>
      </c>
      <c r="AC75" s="146">
        <v>0.10058599999999999</v>
      </c>
      <c r="AD75" s="146">
        <v>9.9506999999999998E-2</v>
      </c>
      <c r="AE75" s="146">
        <v>9.8460000000000006E-2</v>
      </c>
      <c r="AF75" s="144">
        <v>-2.366E-3</v>
      </c>
      <c r="AG75" s="134"/>
    </row>
    <row r="76" spans="1:33" ht="15" customHeight="1">
      <c r="A76" s="15" t="s">
        <v>21</v>
      </c>
      <c r="B76" s="142" t="s">
        <v>20</v>
      </c>
      <c r="C76" s="146">
        <v>2.850965</v>
      </c>
      <c r="D76" s="146">
        <v>2.8004340000000001</v>
      </c>
      <c r="E76" s="146">
        <v>2.7581639999999998</v>
      </c>
      <c r="F76" s="146">
        <v>2.7321939999999998</v>
      </c>
      <c r="G76" s="146">
        <v>2.7161360000000001</v>
      </c>
      <c r="H76" s="146">
        <v>2.6936719999999998</v>
      </c>
      <c r="I76" s="146">
        <v>2.6712570000000002</v>
      </c>
      <c r="J76" s="146">
        <v>2.6429619999999998</v>
      </c>
      <c r="K76" s="146">
        <v>2.6141770000000002</v>
      </c>
      <c r="L76" s="146">
        <v>2.5901740000000002</v>
      </c>
      <c r="M76" s="146">
        <v>2.5759319999999999</v>
      </c>
      <c r="N76" s="146">
        <v>2.560368</v>
      </c>
      <c r="O76" s="146">
        <v>2.5477449999999999</v>
      </c>
      <c r="P76" s="146">
        <v>2.5398450000000001</v>
      </c>
      <c r="Q76" s="146">
        <v>2.5316429999999999</v>
      </c>
      <c r="R76" s="146">
        <v>2.5296340000000002</v>
      </c>
      <c r="S76" s="146">
        <v>2.5295000000000001</v>
      </c>
      <c r="T76" s="146">
        <v>2.5309710000000001</v>
      </c>
      <c r="U76" s="146">
        <v>2.536117</v>
      </c>
      <c r="V76" s="146">
        <v>2.5440339999999999</v>
      </c>
      <c r="W76" s="146">
        <v>2.553331</v>
      </c>
      <c r="X76" s="146">
        <v>2.5625979999999999</v>
      </c>
      <c r="Y76" s="146">
        <v>2.571348</v>
      </c>
      <c r="Z76" s="146">
        <v>2.5790220000000001</v>
      </c>
      <c r="AA76" s="146">
        <v>2.5899839999999998</v>
      </c>
      <c r="AB76" s="146">
        <v>2.6017070000000002</v>
      </c>
      <c r="AC76" s="146">
        <v>2.6103890000000001</v>
      </c>
      <c r="AD76" s="146">
        <v>2.6206119999999999</v>
      </c>
      <c r="AE76" s="146">
        <v>2.6388850000000001</v>
      </c>
      <c r="AF76" s="144">
        <v>-2.7569999999999999E-3</v>
      </c>
      <c r="AG76" s="134"/>
    </row>
    <row r="77" spans="1:33" ht="15" customHeight="1">
      <c r="A77" s="15" t="s">
        <v>19</v>
      </c>
      <c r="B77" s="142" t="s">
        <v>18</v>
      </c>
      <c r="C77" s="146">
        <v>2.0781000000000001E-2</v>
      </c>
      <c r="D77" s="146">
        <v>2.1562999999999999E-2</v>
      </c>
      <c r="E77" s="146">
        <v>2.2024999999999999E-2</v>
      </c>
      <c r="F77" s="146">
        <v>2.2339999999999999E-2</v>
      </c>
      <c r="G77" s="146">
        <v>2.2668000000000001E-2</v>
      </c>
      <c r="H77" s="146">
        <v>2.2984000000000001E-2</v>
      </c>
      <c r="I77" s="146">
        <v>2.3251000000000001E-2</v>
      </c>
      <c r="J77" s="146">
        <v>2.3522999999999999E-2</v>
      </c>
      <c r="K77" s="146">
        <v>2.3733000000000001E-2</v>
      </c>
      <c r="L77" s="146">
        <v>2.3945000000000001E-2</v>
      </c>
      <c r="M77" s="146">
        <v>2.4201E-2</v>
      </c>
      <c r="N77" s="146">
        <v>2.4479000000000001E-2</v>
      </c>
      <c r="O77" s="146">
        <v>2.4782999999999999E-2</v>
      </c>
      <c r="P77" s="146">
        <v>2.5045000000000001E-2</v>
      </c>
      <c r="Q77" s="146">
        <v>2.5298000000000001E-2</v>
      </c>
      <c r="R77" s="146">
        <v>2.5541999999999999E-2</v>
      </c>
      <c r="S77" s="146">
        <v>2.5795999999999999E-2</v>
      </c>
      <c r="T77" s="146">
        <v>2.6044000000000001E-2</v>
      </c>
      <c r="U77" s="146">
        <v>2.6325000000000001E-2</v>
      </c>
      <c r="V77" s="146">
        <v>2.6587E-2</v>
      </c>
      <c r="W77" s="146">
        <v>2.6858E-2</v>
      </c>
      <c r="X77" s="146">
        <v>2.7097E-2</v>
      </c>
      <c r="Y77" s="146">
        <v>2.7361E-2</v>
      </c>
      <c r="Z77" s="146">
        <v>2.7622000000000001E-2</v>
      </c>
      <c r="AA77" s="146">
        <v>2.7976999999999998E-2</v>
      </c>
      <c r="AB77" s="146">
        <v>2.8278000000000001E-2</v>
      </c>
      <c r="AC77" s="146">
        <v>2.8604999999999998E-2</v>
      </c>
      <c r="AD77" s="146">
        <v>2.8906000000000001E-2</v>
      </c>
      <c r="AE77" s="146">
        <v>2.9270000000000001E-2</v>
      </c>
      <c r="AF77" s="144">
        <v>1.2307999999999999E-2</v>
      </c>
      <c r="AG77" s="134"/>
    </row>
    <row r="78" spans="1:33" ht="15" customHeight="1">
      <c r="A78" s="15" t="s">
        <v>17</v>
      </c>
      <c r="B78" s="142" t="s">
        <v>16</v>
      </c>
      <c r="C78" s="146">
        <v>0.22834699999999999</v>
      </c>
      <c r="D78" s="146">
        <v>0.22523399999999999</v>
      </c>
      <c r="E78" s="146">
        <v>0.234373</v>
      </c>
      <c r="F78" s="146">
        <v>0.228717</v>
      </c>
      <c r="G78" s="146">
        <v>0.21906</v>
      </c>
      <c r="H78" s="146">
        <v>0.21154500000000001</v>
      </c>
      <c r="I78" s="146">
        <v>0.208541</v>
      </c>
      <c r="J78" s="146">
        <v>0.21080599999999999</v>
      </c>
      <c r="K78" s="146">
        <v>0.209559</v>
      </c>
      <c r="L78" s="146">
        <v>0.21027599999999999</v>
      </c>
      <c r="M78" s="146">
        <v>0.21217800000000001</v>
      </c>
      <c r="N78" s="146">
        <v>0.21369199999999999</v>
      </c>
      <c r="O78" s="146">
        <v>0.21465000000000001</v>
      </c>
      <c r="P78" s="146">
        <v>0.21598899999999999</v>
      </c>
      <c r="Q78" s="146">
        <v>0.216165</v>
      </c>
      <c r="R78" s="146">
        <v>0.216616</v>
      </c>
      <c r="S78" s="146">
        <v>0.21728</v>
      </c>
      <c r="T78" s="146">
        <v>0.21695600000000001</v>
      </c>
      <c r="U78" s="146">
        <v>0.217194</v>
      </c>
      <c r="V78" s="146">
        <v>0.218865</v>
      </c>
      <c r="W78" s="146">
        <v>0.22023400000000001</v>
      </c>
      <c r="X78" s="146">
        <v>0.220387</v>
      </c>
      <c r="Y78" s="146">
        <v>0.22037000000000001</v>
      </c>
      <c r="Z78" s="146">
        <v>0.22028300000000001</v>
      </c>
      <c r="AA78" s="146">
        <v>0.220747</v>
      </c>
      <c r="AB78" s="146">
        <v>0.22186600000000001</v>
      </c>
      <c r="AC78" s="146">
        <v>0.223355</v>
      </c>
      <c r="AD78" s="146">
        <v>0.223935</v>
      </c>
      <c r="AE78" s="146">
        <v>0.225407</v>
      </c>
      <c r="AF78" s="144">
        <v>-4.6299999999999998E-4</v>
      </c>
      <c r="AG78" s="134"/>
    </row>
    <row r="79" spans="1:33" ht="12" customHeight="1">
      <c r="A79" s="15" t="s">
        <v>15</v>
      </c>
      <c r="B79" s="142" t="s">
        <v>14</v>
      </c>
      <c r="C79" s="146">
        <v>4.6526999999999999E-2</v>
      </c>
      <c r="D79" s="146">
        <v>4.6852999999999999E-2</v>
      </c>
      <c r="E79" s="146">
        <v>4.6469999999999997E-2</v>
      </c>
      <c r="F79" s="146">
        <v>4.6109999999999998E-2</v>
      </c>
      <c r="G79" s="146">
        <v>4.5796000000000003E-2</v>
      </c>
      <c r="H79" s="146">
        <v>4.5385000000000002E-2</v>
      </c>
      <c r="I79" s="146">
        <v>4.4983000000000002E-2</v>
      </c>
      <c r="J79" s="146">
        <v>4.4476000000000002E-2</v>
      </c>
      <c r="K79" s="146">
        <v>4.4019999999999997E-2</v>
      </c>
      <c r="L79" s="146">
        <v>4.36E-2</v>
      </c>
      <c r="M79" s="146">
        <v>4.3305999999999997E-2</v>
      </c>
      <c r="N79" s="146">
        <v>4.2963000000000001E-2</v>
      </c>
      <c r="O79" s="146">
        <v>4.2617000000000002E-2</v>
      </c>
      <c r="P79" s="146">
        <v>4.2256000000000002E-2</v>
      </c>
      <c r="Q79" s="146">
        <v>4.1862999999999997E-2</v>
      </c>
      <c r="R79" s="146">
        <v>4.1524999999999999E-2</v>
      </c>
      <c r="S79" s="146">
        <v>4.1158E-2</v>
      </c>
      <c r="T79" s="146">
        <v>4.0840000000000001E-2</v>
      </c>
      <c r="U79" s="146">
        <v>4.0518999999999999E-2</v>
      </c>
      <c r="V79" s="146">
        <v>4.0222000000000001E-2</v>
      </c>
      <c r="W79" s="146">
        <v>3.9949999999999999E-2</v>
      </c>
      <c r="X79" s="146">
        <v>3.9681000000000001E-2</v>
      </c>
      <c r="Y79" s="146">
        <v>3.9394999999999999E-2</v>
      </c>
      <c r="Z79" s="146">
        <v>3.9070000000000001E-2</v>
      </c>
      <c r="AA79" s="146">
        <v>3.8804999999999999E-2</v>
      </c>
      <c r="AB79" s="146">
        <v>3.8517000000000003E-2</v>
      </c>
      <c r="AC79" s="146">
        <v>3.8196000000000001E-2</v>
      </c>
      <c r="AD79" s="146">
        <v>3.7919000000000001E-2</v>
      </c>
      <c r="AE79" s="146">
        <v>3.7732000000000002E-2</v>
      </c>
      <c r="AF79" s="144">
        <v>-7.4549999999999998E-3</v>
      </c>
      <c r="AG79" s="134"/>
    </row>
    <row r="80" spans="1:33" ht="15" customHeight="1">
      <c r="A80" s="15" t="s">
        <v>13</v>
      </c>
      <c r="B80" s="142" t="s">
        <v>12</v>
      </c>
      <c r="C80" s="146">
        <v>0.41703200000000001</v>
      </c>
      <c r="D80" s="146">
        <v>0.39771000000000001</v>
      </c>
      <c r="E80" s="146">
        <v>0.396229</v>
      </c>
      <c r="F80" s="146">
        <v>0.39661299999999999</v>
      </c>
      <c r="G80" s="146">
        <v>0.39397500000000002</v>
      </c>
      <c r="H80" s="146">
        <v>0.39299699999999999</v>
      </c>
      <c r="I80" s="146">
        <v>0.39095600000000003</v>
      </c>
      <c r="J80" s="146">
        <v>0.38970900000000003</v>
      </c>
      <c r="K80" s="146">
        <v>0.388847</v>
      </c>
      <c r="L80" s="146">
        <v>0.389075</v>
      </c>
      <c r="M80" s="146">
        <v>0.38924700000000001</v>
      </c>
      <c r="N80" s="146">
        <v>0.38950699999999999</v>
      </c>
      <c r="O80" s="146">
        <v>0.38948100000000002</v>
      </c>
      <c r="P80" s="146">
        <v>0.38969799999999999</v>
      </c>
      <c r="Q80" s="146">
        <v>0.38950499999999999</v>
      </c>
      <c r="R80" s="146">
        <v>0.389575</v>
      </c>
      <c r="S80" s="146">
        <v>0.38963399999999998</v>
      </c>
      <c r="T80" s="146">
        <v>0.38958100000000001</v>
      </c>
      <c r="U80" s="146">
        <v>0.38959700000000003</v>
      </c>
      <c r="V80" s="146">
        <v>0.38967000000000002</v>
      </c>
      <c r="W80" s="146">
        <v>0.38991700000000001</v>
      </c>
      <c r="X80" s="146">
        <v>0.38996900000000001</v>
      </c>
      <c r="Y80" s="146">
        <v>0.39011299999999999</v>
      </c>
      <c r="Z80" s="146">
        <v>0.39017800000000002</v>
      </c>
      <c r="AA80" s="146">
        <v>0.391183</v>
      </c>
      <c r="AB80" s="146">
        <v>0.391349</v>
      </c>
      <c r="AC80" s="146">
        <v>0.39100600000000002</v>
      </c>
      <c r="AD80" s="146">
        <v>0.39079999999999998</v>
      </c>
      <c r="AE80" s="146">
        <v>0.39048899999999998</v>
      </c>
      <c r="AF80" s="144">
        <v>-2.346E-3</v>
      </c>
      <c r="AG80" s="134"/>
    </row>
    <row r="81" spans="1:34" ht="12" customHeight="1">
      <c r="A81" s="15" t="s">
        <v>11</v>
      </c>
      <c r="B81" s="142" t="s">
        <v>10</v>
      </c>
      <c r="C81" s="146">
        <v>0.11000600000000001</v>
      </c>
      <c r="D81" s="146">
        <v>0.108038</v>
      </c>
      <c r="E81" s="146">
        <v>0.106242</v>
      </c>
      <c r="F81" s="146">
        <v>0.105144</v>
      </c>
      <c r="G81" s="146">
        <v>0.104667</v>
      </c>
      <c r="H81" s="146">
        <v>0.104195</v>
      </c>
      <c r="I81" s="146">
        <v>0.103587</v>
      </c>
      <c r="J81" s="146">
        <v>0.102784</v>
      </c>
      <c r="K81" s="146">
        <v>0.101827</v>
      </c>
      <c r="L81" s="146">
        <v>0.100913</v>
      </c>
      <c r="M81" s="146">
        <v>0.10027899999999999</v>
      </c>
      <c r="N81" s="146">
        <v>9.9837999999999996E-2</v>
      </c>
      <c r="O81" s="146">
        <v>9.9408999999999997E-2</v>
      </c>
      <c r="P81" s="146">
        <v>9.9009E-2</v>
      </c>
      <c r="Q81" s="146">
        <v>9.8730999999999999E-2</v>
      </c>
      <c r="R81" s="146">
        <v>9.8563999999999999E-2</v>
      </c>
      <c r="S81" s="146">
        <v>9.8387000000000002E-2</v>
      </c>
      <c r="T81" s="146">
        <v>9.8209000000000005E-2</v>
      </c>
      <c r="U81" s="146">
        <v>9.8181000000000004E-2</v>
      </c>
      <c r="V81" s="146">
        <v>9.8125000000000004E-2</v>
      </c>
      <c r="W81" s="146">
        <v>9.8048999999999997E-2</v>
      </c>
      <c r="X81" s="146">
        <v>9.7971000000000003E-2</v>
      </c>
      <c r="Y81" s="146">
        <v>9.7849000000000005E-2</v>
      </c>
      <c r="Z81" s="146">
        <v>9.7695000000000004E-2</v>
      </c>
      <c r="AA81" s="146">
        <v>9.7552E-2</v>
      </c>
      <c r="AB81" s="146">
        <v>9.7448000000000007E-2</v>
      </c>
      <c r="AC81" s="146">
        <v>9.7337000000000007E-2</v>
      </c>
      <c r="AD81" s="146">
        <v>9.7211000000000006E-2</v>
      </c>
      <c r="AE81" s="146">
        <v>9.7187999999999997E-2</v>
      </c>
      <c r="AF81" s="144">
        <v>-4.4149999999999997E-3</v>
      </c>
      <c r="AG81" s="134"/>
    </row>
    <row r="82" spans="1:34" ht="15" customHeight="1">
      <c r="A82" s="15" t="s">
        <v>9</v>
      </c>
      <c r="B82" s="142" t="s">
        <v>8</v>
      </c>
      <c r="C82" s="146">
        <v>1.355634</v>
      </c>
      <c r="D82" s="146">
        <v>1.4548650000000001</v>
      </c>
      <c r="E82" s="146">
        <v>1.475662</v>
      </c>
      <c r="F82" s="146">
        <v>1.4785189999999999</v>
      </c>
      <c r="G82" s="146">
        <v>1.497263</v>
      </c>
      <c r="H82" s="146">
        <v>1.5157860000000001</v>
      </c>
      <c r="I82" s="146">
        <v>1.5304420000000001</v>
      </c>
      <c r="J82" s="146">
        <v>1.541344</v>
      </c>
      <c r="K82" s="146">
        <v>1.5489949999999999</v>
      </c>
      <c r="L82" s="146">
        <v>1.556654</v>
      </c>
      <c r="M82" s="146">
        <v>1.568811</v>
      </c>
      <c r="N82" s="146">
        <v>1.5816239999999999</v>
      </c>
      <c r="O82" s="146">
        <v>1.593202</v>
      </c>
      <c r="P82" s="146">
        <v>1.606986</v>
      </c>
      <c r="Q82" s="146">
        <v>1.624819</v>
      </c>
      <c r="R82" s="146">
        <v>1.6461159999999999</v>
      </c>
      <c r="S82" s="146">
        <v>1.668479</v>
      </c>
      <c r="T82" s="146">
        <v>1.6918280000000001</v>
      </c>
      <c r="U82" s="146">
        <v>1.7189650000000001</v>
      </c>
      <c r="V82" s="146">
        <v>1.7449429999999999</v>
      </c>
      <c r="W82" s="146">
        <v>1.7713730000000001</v>
      </c>
      <c r="X82" s="146">
        <v>1.798206</v>
      </c>
      <c r="Y82" s="146">
        <v>1.82497</v>
      </c>
      <c r="Z82" s="146">
        <v>1.851021</v>
      </c>
      <c r="AA82" s="146">
        <v>1.876398</v>
      </c>
      <c r="AB82" s="146">
        <v>1.9036059999999999</v>
      </c>
      <c r="AC82" s="146">
        <v>1.9310860000000001</v>
      </c>
      <c r="AD82" s="146">
        <v>1.95817</v>
      </c>
      <c r="AE82" s="146">
        <v>1.988375</v>
      </c>
      <c r="AF82" s="144">
        <v>1.3774E-2</v>
      </c>
      <c r="AG82" s="134"/>
    </row>
    <row r="83" spans="1:34" ht="15" customHeight="1">
      <c r="A83" s="15" t="s">
        <v>7</v>
      </c>
      <c r="B83" s="142" t="s">
        <v>6</v>
      </c>
      <c r="C83" s="146">
        <v>0.20732500000000001</v>
      </c>
      <c r="D83" s="146">
        <v>0.20843100000000001</v>
      </c>
      <c r="E83" s="146">
        <v>0.20882999999999999</v>
      </c>
      <c r="F83" s="146">
        <v>0.209148</v>
      </c>
      <c r="G83" s="146">
        <v>0.209402</v>
      </c>
      <c r="H83" s="146">
        <v>0.20977399999999999</v>
      </c>
      <c r="I83" s="146">
        <v>0.21004500000000001</v>
      </c>
      <c r="J83" s="146">
        <v>0.210259</v>
      </c>
      <c r="K83" s="146">
        <v>0.21044299999999999</v>
      </c>
      <c r="L83" s="146">
        <v>0.21056</v>
      </c>
      <c r="M83" s="146">
        <v>0.21064099999999999</v>
      </c>
      <c r="N83" s="146">
        <v>0.21068000000000001</v>
      </c>
      <c r="O83" s="146">
        <v>0.210697</v>
      </c>
      <c r="P83" s="146">
        <v>0.210706</v>
      </c>
      <c r="Q83" s="146">
        <v>0.21076600000000001</v>
      </c>
      <c r="R83" s="146">
        <v>0.21086199999999999</v>
      </c>
      <c r="S83" s="146">
        <v>0.21096400000000001</v>
      </c>
      <c r="T83" s="146">
        <v>0.21106900000000001</v>
      </c>
      <c r="U83" s="146">
        <v>0.21117900000000001</v>
      </c>
      <c r="V83" s="146">
        <v>0.21129200000000001</v>
      </c>
      <c r="W83" s="146">
        <v>0.21140900000000001</v>
      </c>
      <c r="X83" s="146">
        <v>0.21152899999999999</v>
      </c>
      <c r="Y83" s="146">
        <v>0.21165200000000001</v>
      </c>
      <c r="Z83" s="146">
        <v>0.21177699999999999</v>
      </c>
      <c r="AA83" s="146">
        <v>0.21190600000000001</v>
      </c>
      <c r="AB83" s="146">
        <v>0.212036</v>
      </c>
      <c r="AC83" s="146">
        <v>0.21216699999999999</v>
      </c>
      <c r="AD83" s="146">
        <v>0.21229999999999999</v>
      </c>
      <c r="AE83" s="146">
        <v>0.21243699999999999</v>
      </c>
      <c r="AF83" s="144">
        <v>8.7000000000000001E-4</v>
      </c>
      <c r="AG83" s="134"/>
    </row>
    <row r="84" spans="1:34" ht="15" customHeight="1">
      <c r="A84" s="15" t="s">
        <v>5</v>
      </c>
      <c r="B84" s="142" t="s">
        <v>4</v>
      </c>
      <c r="C84" s="146">
        <v>5.9492000000000003E-2</v>
      </c>
      <c r="D84" s="146">
        <v>5.9483000000000001E-2</v>
      </c>
      <c r="E84" s="146">
        <v>5.9524000000000001E-2</v>
      </c>
      <c r="F84" s="146">
        <v>5.9541999999999998E-2</v>
      </c>
      <c r="G84" s="146">
        <v>5.9572E-2</v>
      </c>
      <c r="H84" s="146">
        <v>5.9511000000000001E-2</v>
      </c>
      <c r="I84" s="146">
        <v>5.9449000000000002E-2</v>
      </c>
      <c r="J84" s="146">
        <v>5.9402999999999997E-2</v>
      </c>
      <c r="K84" s="146">
        <v>5.9353999999999997E-2</v>
      </c>
      <c r="L84" s="146">
        <v>5.9304000000000003E-2</v>
      </c>
      <c r="M84" s="146">
        <v>5.9253E-2</v>
      </c>
      <c r="N84" s="146">
        <v>5.9201999999999998E-2</v>
      </c>
      <c r="O84" s="146">
        <v>5.9164000000000001E-2</v>
      </c>
      <c r="P84" s="146">
        <v>5.9152000000000003E-2</v>
      </c>
      <c r="Q84" s="146">
        <v>5.9166000000000003E-2</v>
      </c>
      <c r="R84" s="146">
        <v>5.9195999999999999E-2</v>
      </c>
      <c r="S84" s="146">
        <v>5.9240000000000001E-2</v>
      </c>
      <c r="T84" s="146">
        <v>5.9295E-2</v>
      </c>
      <c r="U84" s="146">
        <v>5.9360999999999997E-2</v>
      </c>
      <c r="V84" s="146">
        <v>5.9422000000000003E-2</v>
      </c>
      <c r="W84" s="146">
        <v>5.9483000000000001E-2</v>
      </c>
      <c r="X84" s="146">
        <v>5.9540000000000003E-2</v>
      </c>
      <c r="Y84" s="146">
        <v>5.9596999999999997E-2</v>
      </c>
      <c r="Z84" s="146">
        <v>5.9669E-2</v>
      </c>
      <c r="AA84" s="146">
        <v>5.9750999999999999E-2</v>
      </c>
      <c r="AB84" s="146">
        <v>5.9830000000000001E-2</v>
      </c>
      <c r="AC84" s="146">
        <v>5.9901000000000003E-2</v>
      </c>
      <c r="AD84" s="146">
        <v>5.9977999999999997E-2</v>
      </c>
      <c r="AE84" s="146">
        <v>6.0066000000000001E-2</v>
      </c>
      <c r="AF84" s="144">
        <v>3.4200000000000002E-4</v>
      </c>
      <c r="AG84" s="134"/>
    </row>
    <row r="85" spans="1:34" ht="15" customHeight="1">
      <c r="A85" s="15" t="s">
        <v>3</v>
      </c>
      <c r="B85" s="142" t="s">
        <v>253</v>
      </c>
      <c r="C85" s="146">
        <v>0.427838</v>
      </c>
      <c r="D85" s="146">
        <v>0.38759700000000002</v>
      </c>
      <c r="E85" s="146">
        <v>0.35946299999999998</v>
      </c>
      <c r="F85" s="146">
        <v>0.34329399999999999</v>
      </c>
      <c r="G85" s="146">
        <v>0.32869599999999999</v>
      </c>
      <c r="H85" s="146">
        <v>0.308921</v>
      </c>
      <c r="I85" s="146">
        <v>0.28999900000000001</v>
      </c>
      <c r="J85" s="146">
        <v>0.28910400000000003</v>
      </c>
      <c r="K85" s="146">
        <v>0.28829300000000002</v>
      </c>
      <c r="L85" s="146">
        <v>0.28903899999999999</v>
      </c>
      <c r="M85" s="146">
        <v>0.29181099999999999</v>
      </c>
      <c r="N85" s="146">
        <v>0.29583599999999999</v>
      </c>
      <c r="O85" s="146">
        <v>0.29795300000000002</v>
      </c>
      <c r="P85" s="146">
        <v>0.29923300000000003</v>
      </c>
      <c r="Q85" s="146">
        <v>0.29948200000000003</v>
      </c>
      <c r="R85" s="146">
        <v>0.29899300000000001</v>
      </c>
      <c r="S85" s="146">
        <v>0.30129</v>
      </c>
      <c r="T85" s="146">
        <v>0.30074099999999998</v>
      </c>
      <c r="U85" s="146">
        <v>0.305058</v>
      </c>
      <c r="V85" s="146">
        <v>0.30818499999999999</v>
      </c>
      <c r="W85" s="146">
        <v>0.31089600000000001</v>
      </c>
      <c r="X85" s="146">
        <v>0.31223099999999998</v>
      </c>
      <c r="Y85" s="146">
        <v>0.314168</v>
      </c>
      <c r="Z85" s="146">
        <v>0.31610899999999997</v>
      </c>
      <c r="AA85" s="146">
        <v>0.31862699999999999</v>
      </c>
      <c r="AB85" s="146">
        <v>0.322218</v>
      </c>
      <c r="AC85" s="146">
        <v>0.32569199999999998</v>
      </c>
      <c r="AD85" s="146">
        <v>0.326822</v>
      </c>
      <c r="AE85" s="146">
        <v>0.32913399999999998</v>
      </c>
      <c r="AF85" s="144">
        <v>-9.3229999999999997E-3</v>
      </c>
      <c r="AG85" s="134"/>
    </row>
    <row r="86" spans="1:34" ht="15" customHeight="1">
      <c r="A86" s="15" t="s">
        <v>1071</v>
      </c>
      <c r="B86" s="142" t="s">
        <v>1070</v>
      </c>
      <c r="C86" s="146">
        <v>0.15707299999999999</v>
      </c>
      <c r="D86" s="146">
        <v>0.17854100000000001</v>
      </c>
      <c r="E86" s="146">
        <v>0.181391</v>
      </c>
      <c r="F86" s="146">
        <v>0.19309499999999999</v>
      </c>
      <c r="G86" s="146">
        <v>0.21079899999999999</v>
      </c>
      <c r="H86" s="146">
        <v>0.22539999999999999</v>
      </c>
      <c r="I86" s="146">
        <v>0.23788899999999999</v>
      </c>
      <c r="J86" s="146">
        <v>0.24920700000000001</v>
      </c>
      <c r="K86" s="146">
        <v>0.27301300000000001</v>
      </c>
      <c r="L86" s="146">
        <v>0.29681999999999997</v>
      </c>
      <c r="M86" s="146">
        <v>0.32121100000000002</v>
      </c>
      <c r="N86" s="146">
        <v>0.34443299999999999</v>
      </c>
      <c r="O86" s="146">
        <v>0.36427100000000001</v>
      </c>
      <c r="P86" s="146">
        <v>0.37617400000000001</v>
      </c>
      <c r="Q86" s="146">
        <v>0.38469500000000001</v>
      </c>
      <c r="R86" s="146">
        <v>0.39204499999999998</v>
      </c>
      <c r="S86" s="146">
        <v>0.396013</v>
      </c>
      <c r="T86" s="146">
        <v>0.396013</v>
      </c>
      <c r="U86" s="146">
        <v>0.39659800000000001</v>
      </c>
      <c r="V86" s="146">
        <v>0.396013</v>
      </c>
      <c r="W86" s="146">
        <v>0.396013</v>
      </c>
      <c r="X86" s="146">
        <v>0.396013</v>
      </c>
      <c r="Y86" s="146">
        <v>0.39659800000000001</v>
      </c>
      <c r="Z86" s="146">
        <v>0.396013</v>
      </c>
      <c r="AA86" s="146">
        <v>0.396013</v>
      </c>
      <c r="AB86" s="146">
        <v>0.396013</v>
      </c>
      <c r="AC86" s="146">
        <v>0.39659800000000001</v>
      </c>
      <c r="AD86" s="146">
        <v>0.396013</v>
      </c>
      <c r="AE86" s="146">
        <v>0.396013</v>
      </c>
      <c r="AF86" s="144">
        <v>3.3577999999999997E-2</v>
      </c>
      <c r="AG86" s="134"/>
    </row>
    <row r="87" spans="1:34" ht="15" customHeight="1">
      <c r="A87" s="15" t="s">
        <v>2</v>
      </c>
      <c r="B87" s="141" t="s">
        <v>1</v>
      </c>
      <c r="C87" s="147">
        <v>14.370443</v>
      </c>
      <c r="D87" s="147">
        <v>14.403465000000001</v>
      </c>
      <c r="E87" s="147">
        <v>14.271711</v>
      </c>
      <c r="F87" s="147">
        <v>14.108815</v>
      </c>
      <c r="G87" s="147">
        <v>13.997396</v>
      </c>
      <c r="H87" s="147">
        <v>13.890337000000001</v>
      </c>
      <c r="I87" s="147">
        <v>13.767988000000001</v>
      </c>
      <c r="J87" s="147">
        <v>13.645885</v>
      </c>
      <c r="K87" s="147">
        <v>13.520163999999999</v>
      </c>
      <c r="L87" s="147">
        <v>13.411051</v>
      </c>
      <c r="M87" s="147">
        <v>13.323045</v>
      </c>
      <c r="N87" s="147">
        <v>13.25902</v>
      </c>
      <c r="O87" s="147">
        <v>13.203858</v>
      </c>
      <c r="P87" s="147">
        <v>13.147519000000001</v>
      </c>
      <c r="Q87" s="147">
        <v>13.087383000000001</v>
      </c>
      <c r="R87" s="147">
        <v>13.048246000000001</v>
      </c>
      <c r="S87" s="147">
        <v>13.022289000000001</v>
      </c>
      <c r="T87" s="147">
        <v>12.995312</v>
      </c>
      <c r="U87" s="147">
        <v>12.996620999999999</v>
      </c>
      <c r="V87" s="147">
        <v>13.0055</v>
      </c>
      <c r="W87" s="147">
        <v>13.025238999999999</v>
      </c>
      <c r="X87" s="147">
        <v>13.049395000000001</v>
      </c>
      <c r="Y87" s="147">
        <v>13.085273000000001</v>
      </c>
      <c r="Z87" s="147">
        <v>13.128707</v>
      </c>
      <c r="AA87" s="147">
        <v>13.191739999999999</v>
      </c>
      <c r="AB87" s="147">
        <v>13.269163000000001</v>
      </c>
      <c r="AC87" s="147">
        <v>13.350009</v>
      </c>
      <c r="AD87" s="147">
        <v>13.432016000000001</v>
      </c>
      <c r="AE87" s="147">
        <v>13.539635000000001</v>
      </c>
      <c r="AF87" s="148">
        <v>-2.1250000000000002E-3</v>
      </c>
      <c r="AG87" s="134"/>
    </row>
    <row r="88" spans="1:34" ht="15" customHeight="1" thickBot="1">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c r="AA88" s="134"/>
      <c r="AB88" s="134"/>
      <c r="AC88" s="134"/>
      <c r="AD88" s="134"/>
      <c r="AE88" s="134"/>
      <c r="AF88" s="134"/>
      <c r="AG88" s="134"/>
    </row>
    <row r="89" spans="1:34" ht="15" customHeight="1">
      <c r="B89" s="132" t="s">
        <v>1072</v>
      </c>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c r="AA89" s="149"/>
      <c r="AB89" s="149"/>
      <c r="AC89" s="149"/>
      <c r="AD89" s="149"/>
      <c r="AE89" s="149"/>
      <c r="AF89" s="149"/>
      <c r="AG89" s="149"/>
      <c r="AH89" s="149"/>
    </row>
    <row r="90" spans="1:34" ht="15" customHeight="1">
      <c r="B90" s="134" t="s">
        <v>533</v>
      </c>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c r="AA90" s="134"/>
      <c r="AB90" s="134"/>
      <c r="AC90" s="134"/>
      <c r="AD90" s="134"/>
      <c r="AE90" s="134"/>
      <c r="AF90" s="134"/>
      <c r="AG90" s="134"/>
    </row>
    <row r="91" spans="1:34" ht="15" customHeight="1">
      <c r="B91" s="134" t="s">
        <v>534</v>
      </c>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c r="AA91" s="134"/>
      <c r="AB91" s="134"/>
      <c r="AC91" s="134"/>
      <c r="AD91" s="134"/>
      <c r="AE91" s="134"/>
      <c r="AF91" s="134"/>
      <c r="AG91" s="134"/>
    </row>
    <row r="92" spans="1:34" ht="12" customHeight="1">
      <c r="B92" s="134" t="s">
        <v>1073</v>
      </c>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c r="AA92" s="134"/>
      <c r="AB92" s="134"/>
      <c r="AC92" s="134"/>
      <c r="AD92" s="134"/>
      <c r="AE92" s="134"/>
      <c r="AF92" s="134"/>
      <c r="AG92" s="134"/>
    </row>
    <row r="93" spans="1:34" ht="15" customHeight="1">
      <c r="B93" s="134" t="s">
        <v>535</v>
      </c>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c r="AA93" s="134"/>
      <c r="AB93" s="134"/>
      <c r="AC93" s="134"/>
      <c r="AD93" s="134"/>
      <c r="AE93" s="134"/>
      <c r="AF93" s="134"/>
      <c r="AG93" s="134"/>
    </row>
    <row r="94" spans="1:34" ht="15" customHeight="1">
      <c r="B94" s="134" t="s">
        <v>536</v>
      </c>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c r="AA94" s="134"/>
      <c r="AB94" s="134"/>
      <c r="AC94" s="134"/>
      <c r="AD94" s="134"/>
      <c r="AE94" s="134"/>
      <c r="AF94" s="134"/>
      <c r="AG94" s="134"/>
    </row>
    <row r="95" spans="1:34" ht="15" customHeight="1">
      <c r="B95" s="134" t="s">
        <v>1074</v>
      </c>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row>
    <row r="96" spans="1:34" ht="15" customHeight="1">
      <c r="B96" s="134" t="s">
        <v>537</v>
      </c>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c r="AA96" s="134"/>
      <c r="AB96" s="134"/>
      <c r="AC96" s="134"/>
      <c r="AD96" s="134"/>
      <c r="AE96" s="134"/>
      <c r="AF96" s="134"/>
      <c r="AG96" s="134"/>
    </row>
    <row r="97" spans="2:33" ht="15" customHeight="1">
      <c r="B97" s="134" t="s">
        <v>538</v>
      </c>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c r="AA97" s="134"/>
      <c r="AB97" s="134"/>
      <c r="AC97" s="134"/>
      <c r="AD97" s="134"/>
      <c r="AE97" s="134"/>
      <c r="AF97" s="134"/>
      <c r="AG97" s="134"/>
    </row>
    <row r="98" spans="2:33" ht="15" customHeight="1">
      <c r="B98" s="134" t="s">
        <v>539</v>
      </c>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c r="AA98" s="134"/>
      <c r="AB98" s="134"/>
      <c r="AC98" s="134"/>
      <c r="AD98" s="134"/>
      <c r="AE98" s="134"/>
      <c r="AF98" s="134"/>
      <c r="AG98" s="134"/>
    </row>
    <row r="99" spans="2:33" ht="15" customHeight="1">
      <c r="B99" s="134" t="s">
        <v>1075</v>
      </c>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c r="AA99" s="134"/>
      <c r="AB99" s="134"/>
      <c r="AC99" s="134"/>
      <c r="AD99" s="134"/>
      <c r="AE99" s="134"/>
      <c r="AF99" s="134"/>
      <c r="AG99" s="134"/>
    </row>
    <row r="100" spans="2:33" ht="15" customHeight="1">
      <c r="B100" s="134" t="s">
        <v>1076</v>
      </c>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c r="AA100" s="134"/>
      <c r="AB100" s="134"/>
      <c r="AC100" s="134"/>
      <c r="AD100" s="134"/>
      <c r="AE100" s="134"/>
      <c r="AF100" s="134"/>
      <c r="AG100" s="134"/>
    </row>
    <row r="101" spans="2:33" ht="12" customHeight="1">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c r="AA101" s="134"/>
      <c r="AB101" s="134"/>
      <c r="AC101" s="134"/>
      <c r="AD101" s="134"/>
      <c r="AE101" s="134"/>
      <c r="AF101" s="134"/>
      <c r="AG101" s="134"/>
    </row>
    <row r="102" spans="2:33" ht="12" customHeight="1">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c r="AA102" s="134"/>
      <c r="AB102" s="134"/>
      <c r="AC102" s="134"/>
      <c r="AD102" s="134"/>
      <c r="AE102" s="134"/>
      <c r="AF102" s="134"/>
      <c r="AG102" s="134"/>
    </row>
    <row r="103" spans="2:33" ht="15" customHeight="1">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c r="AA103" s="134"/>
      <c r="AB103" s="134"/>
      <c r="AC103" s="134"/>
      <c r="AD103" s="134"/>
      <c r="AE103" s="134"/>
      <c r="AF103" s="134"/>
      <c r="AG103" s="134"/>
    </row>
    <row r="104" spans="2:33" ht="15" customHeight="1">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row>
    <row r="105" spans="2:33" ht="15" customHeight="1">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c r="AA105" s="134"/>
      <c r="AB105" s="134"/>
      <c r="AC105" s="134"/>
      <c r="AD105" s="134"/>
      <c r="AE105" s="134"/>
      <c r="AF105" s="134"/>
      <c r="AG105" s="134"/>
    </row>
    <row r="106" spans="2:33" ht="15" customHeight="1">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c r="AA106" s="134"/>
      <c r="AB106" s="134"/>
      <c r="AC106" s="134"/>
      <c r="AD106" s="134"/>
      <c r="AE106" s="134"/>
      <c r="AF106" s="134"/>
      <c r="AG106" s="134"/>
    </row>
    <row r="107" spans="2:33" ht="15" customHeight="1">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c r="AA107" s="134"/>
      <c r="AB107" s="134"/>
      <c r="AC107" s="134"/>
      <c r="AD107" s="134"/>
      <c r="AE107" s="134"/>
      <c r="AF107" s="134"/>
      <c r="AG107" s="134"/>
    </row>
    <row r="108" spans="2:33" ht="15" customHeight="1">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c r="AA108" s="134"/>
      <c r="AB108" s="134"/>
      <c r="AC108" s="134"/>
      <c r="AD108" s="134"/>
      <c r="AE108" s="134"/>
      <c r="AF108" s="134"/>
      <c r="AG108" s="134"/>
    </row>
    <row r="109" spans="2:33" ht="15" customHeight="1">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c r="AA109" s="134"/>
      <c r="AB109" s="134"/>
      <c r="AC109" s="134"/>
      <c r="AD109" s="134"/>
      <c r="AE109" s="134"/>
      <c r="AF109" s="134"/>
      <c r="AG109" s="134"/>
    </row>
    <row r="110" spans="2:33" ht="15" customHeight="1">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c r="AA110" s="134"/>
      <c r="AB110" s="134"/>
      <c r="AC110" s="134"/>
      <c r="AD110" s="134"/>
      <c r="AE110" s="134"/>
      <c r="AF110" s="134"/>
      <c r="AG110" s="134"/>
    </row>
    <row r="111" spans="2:33" ht="15" customHeight="1">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c r="AA111" s="134"/>
      <c r="AB111" s="134"/>
      <c r="AC111" s="134"/>
      <c r="AD111" s="134"/>
      <c r="AE111" s="134"/>
      <c r="AF111" s="134"/>
      <c r="AG111" s="134"/>
    </row>
    <row r="112" spans="2:33" ht="15" customHeight="1">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row>
    <row r="113" spans="2:33" ht="15" customHeight="1">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c r="AA113" s="134"/>
      <c r="AB113" s="134"/>
      <c r="AC113" s="134"/>
      <c r="AD113" s="134"/>
      <c r="AE113" s="134"/>
      <c r="AF113" s="134"/>
      <c r="AG113" s="134"/>
    </row>
    <row r="114" spans="2:33" ht="15" customHeight="1">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c r="AA114" s="134"/>
      <c r="AB114" s="134"/>
      <c r="AC114" s="134"/>
      <c r="AD114" s="134"/>
      <c r="AE114" s="134"/>
      <c r="AF114" s="134"/>
      <c r="AG114" s="134"/>
    </row>
    <row r="115" spans="2:33" ht="15" customHeight="1">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c r="AA115" s="134"/>
      <c r="AB115" s="134"/>
      <c r="AC115" s="134"/>
      <c r="AD115" s="134"/>
      <c r="AE115" s="134"/>
      <c r="AF115" s="134"/>
      <c r="AG115" s="134"/>
    </row>
    <row r="116" spans="2:33" ht="15" customHeight="1">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c r="AA116" s="134"/>
      <c r="AB116" s="134"/>
      <c r="AC116" s="134"/>
      <c r="AD116" s="134"/>
      <c r="AE116" s="134"/>
      <c r="AF116" s="134"/>
      <c r="AG116" s="134"/>
    </row>
    <row r="117" spans="2:33" ht="15" customHeight="1">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c r="AA117" s="134"/>
      <c r="AB117" s="134"/>
      <c r="AC117" s="134"/>
      <c r="AD117" s="134"/>
      <c r="AE117" s="134"/>
      <c r="AF117" s="134"/>
      <c r="AG117" s="134"/>
    </row>
    <row r="118" spans="2:33" ht="15" customHeight="1">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c r="AA118" s="134"/>
      <c r="AB118" s="134"/>
      <c r="AC118" s="134"/>
      <c r="AD118" s="134"/>
      <c r="AE118" s="134"/>
      <c r="AF118" s="134"/>
      <c r="AG118" s="134"/>
    </row>
    <row r="119" spans="2:33" ht="15" customHeight="1">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c r="AA119" s="134"/>
      <c r="AB119" s="134"/>
      <c r="AC119" s="134"/>
      <c r="AD119" s="134"/>
      <c r="AE119" s="134"/>
      <c r="AF119" s="134"/>
      <c r="AG119" s="134"/>
    </row>
    <row r="120" spans="2:33" ht="15" customHeight="1">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c r="AA120" s="134"/>
      <c r="AB120" s="134"/>
      <c r="AC120" s="134"/>
      <c r="AD120" s="134"/>
      <c r="AE120" s="134"/>
      <c r="AF120" s="134"/>
      <c r="AG120" s="134"/>
    </row>
    <row r="121" spans="2:33" ht="15" customHeight="1">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c r="AA121" s="134"/>
      <c r="AB121" s="134"/>
      <c r="AC121" s="134"/>
      <c r="AD121" s="134"/>
      <c r="AE121" s="134"/>
      <c r="AF121" s="134"/>
      <c r="AG121" s="134"/>
    </row>
    <row r="122" spans="2:33" ht="15" customHeight="1">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c r="AA122" s="134"/>
      <c r="AB122" s="134"/>
      <c r="AC122" s="134"/>
      <c r="AD122" s="134"/>
      <c r="AE122" s="134"/>
      <c r="AF122" s="134"/>
      <c r="AG122" s="134"/>
    </row>
    <row r="123" spans="2:33" ht="15" customHeight="1">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c r="AA123" s="134"/>
      <c r="AB123" s="134"/>
      <c r="AC123" s="134"/>
      <c r="AD123" s="134"/>
      <c r="AE123" s="134"/>
      <c r="AF123" s="134"/>
      <c r="AG123" s="134"/>
    </row>
    <row r="124" spans="2:33" ht="15" customHeight="1">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c r="AA124" s="134"/>
      <c r="AB124" s="134"/>
      <c r="AC124" s="134"/>
      <c r="AD124" s="134"/>
      <c r="AE124" s="134"/>
      <c r="AF124" s="134"/>
      <c r="AG124" s="134"/>
    </row>
    <row r="125" spans="2:33" ht="15" customHeight="1">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c r="AA125" s="134"/>
      <c r="AB125" s="134"/>
      <c r="AC125" s="134"/>
      <c r="AD125" s="134"/>
      <c r="AE125" s="134"/>
      <c r="AF125" s="134"/>
      <c r="AG125" s="134"/>
    </row>
    <row r="126" spans="2:33" ht="15" customHeight="1">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c r="AA126" s="134"/>
      <c r="AB126" s="134"/>
      <c r="AC126" s="134"/>
      <c r="AD126" s="134"/>
      <c r="AE126" s="134"/>
      <c r="AF126" s="134"/>
      <c r="AG126" s="134"/>
    </row>
    <row r="127" spans="2:33" ht="15" customHeight="1">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c r="AA127" s="134"/>
      <c r="AB127" s="134"/>
      <c r="AC127" s="134"/>
      <c r="AD127" s="134"/>
      <c r="AE127" s="134"/>
      <c r="AF127" s="134"/>
      <c r="AG127" s="134"/>
    </row>
    <row r="128" spans="2:33" ht="15" customHeight="1">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c r="AA128" s="134"/>
      <c r="AB128" s="134"/>
      <c r="AC128" s="134"/>
      <c r="AD128" s="134"/>
      <c r="AE128" s="134"/>
      <c r="AF128" s="134"/>
      <c r="AG128" s="134"/>
    </row>
    <row r="129" spans="2:33" ht="15" customHeight="1">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c r="AA129" s="134"/>
      <c r="AB129" s="134"/>
      <c r="AC129" s="134"/>
      <c r="AD129" s="134"/>
      <c r="AE129" s="134"/>
      <c r="AF129" s="134"/>
      <c r="AG129" s="134"/>
    </row>
    <row r="130" spans="2:33" ht="15" customHeight="1">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c r="AA130" s="134"/>
      <c r="AB130" s="134"/>
      <c r="AC130" s="134"/>
      <c r="AD130" s="134"/>
      <c r="AE130" s="134"/>
      <c r="AF130" s="134"/>
      <c r="AG130" s="134"/>
    </row>
    <row r="131" spans="2:33" ht="15" customHeight="1">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c r="AA131" s="134"/>
      <c r="AB131" s="134"/>
      <c r="AC131" s="134"/>
      <c r="AD131" s="134"/>
      <c r="AE131" s="134"/>
      <c r="AF131" s="134"/>
      <c r="AG131" s="134"/>
    </row>
    <row r="132" spans="2:33" ht="15" customHeight="1">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c r="AA132" s="134"/>
      <c r="AB132" s="134"/>
      <c r="AC132" s="134"/>
      <c r="AD132" s="134"/>
      <c r="AE132" s="134"/>
      <c r="AF132" s="134"/>
      <c r="AG132" s="134"/>
    </row>
    <row r="133" spans="2:33" ht="15" customHeight="1">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c r="AA133" s="134"/>
      <c r="AB133" s="134"/>
      <c r="AC133" s="134"/>
      <c r="AD133" s="134"/>
      <c r="AE133" s="134"/>
      <c r="AF133" s="134"/>
      <c r="AG133" s="134"/>
    </row>
    <row r="134" spans="2:33" ht="15" customHeight="1">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c r="AA134" s="134"/>
      <c r="AB134" s="134"/>
      <c r="AC134" s="134"/>
      <c r="AD134" s="134"/>
      <c r="AE134" s="134"/>
      <c r="AF134" s="134"/>
      <c r="AG134" s="134"/>
    </row>
    <row r="135" spans="2:33" ht="15" customHeight="1">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c r="AA135" s="134"/>
      <c r="AB135" s="134"/>
      <c r="AC135" s="134"/>
      <c r="AD135" s="134"/>
      <c r="AE135" s="134"/>
      <c r="AF135" s="134"/>
      <c r="AG135" s="134"/>
    </row>
    <row r="136" spans="2:33" ht="15" customHeight="1">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c r="AA136" s="134"/>
      <c r="AB136" s="134"/>
      <c r="AC136" s="134"/>
      <c r="AD136" s="134"/>
      <c r="AE136" s="134"/>
      <c r="AF136" s="134"/>
      <c r="AG136" s="134"/>
    </row>
    <row r="137" spans="2:33" ht="15" customHeight="1">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c r="AA137" s="134"/>
      <c r="AB137" s="134"/>
      <c r="AC137" s="134"/>
      <c r="AD137" s="134"/>
      <c r="AE137" s="134"/>
      <c r="AF137" s="134"/>
      <c r="AG137" s="134"/>
    </row>
    <row r="138" spans="2:33" ht="15" customHeight="1">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c r="AA138" s="134"/>
      <c r="AB138" s="134"/>
      <c r="AC138" s="134"/>
      <c r="AD138" s="134"/>
      <c r="AE138" s="134"/>
      <c r="AF138" s="134"/>
      <c r="AG138" s="134"/>
    </row>
    <row r="139" spans="2:33" ht="15" customHeight="1">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c r="AA139" s="134"/>
      <c r="AB139" s="134"/>
      <c r="AC139" s="134"/>
      <c r="AD139" s="134"/>
      <c r="AE139" s="134"/>
      <c r="AF139" s="134"/>
      <c r="AG139" s="134"/>
    </row>
    <row r="140" spans="2:33" ht="15" customHeight="1">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c r="AA140" s="134"/>
      <c r="AB140" s="134"/>
      <c r="AC140" s="134"/>
      <c r="AD140" s="134"/>
      <c r="AE140" s="134"/>
      <c r="AF140" s="134"/>
      <c r="AG140" s="134"/>
    </row>
    <row r="141" spans="2:33" ht="12" customHeight="1">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c r="AA141" s="134"/>
      <c r="AB141" s="134"/>
      <c r="AC141" s="134"/>
      <c r="AD141" s="134"/>
      <c r="AE141" s="134"/>
      <c r="AF141" s="134"/>
      <c r="AG141" s="134"/>
    </row>
    <row r="142" spans="2:33" ht="12" customHeight="1">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c r="AA142" s="134"/>
      <c r="AB142" s="134"/>
      <c r="AC142" s="134"/>
      <c r="AD142" s="134"/>
      <c r="AE142" s="134"/>
      <c r="AF142" s="134"/>
      <c r="AG142" s="134"/>
    </row>
    <row r="143" spans="2:33" ht="12" customHeight="1">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c r="AA143" s="134"/>
      <c r="AB143" s="134"/>
      <c r="AC143" s="134"/>
      <c r="AD143" s="134"/>
      <c r="AE143" s="134"/>
      <c r="AF143" s="134"/>
      <c r="AG143" s="134"/>
    </row>
    <row r="144" spans="2:33" ht="12" customHeight="1">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c r="AA144" s="134"/>
      <c r="AB144" s="134"/>
      <c r="AC144" s="134"/>
      <c r="AD144" s="134"/>
      <c r="AE144" s="134"/>
      <c r="AF144" s="134"/>
      <c r="AG144" s="134"/>
    </row>
    <row r="145" spans="2:33" ht="12" customHeight="1">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c r="AA145" s="134"/>
      <c r="AB145" s="134"/>
      <c r="AC145" s="134"/>
      <c r="AD145" s="134"/>
      <c r="AE145" s="134"/>
      <c r="AF145" s="134"/>
      <c r="AG145" s="134"/>
    </row>
    <row r="146" spans="2:33" ht="12" customHeight="1">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c r="AA146" s="134"/>
      <c r="AB146" s="134"/>
      <c r="AC146" s="134"/>
      <c r="AD146" s="134"/>
      <c r="AE146" s="134"/>
      <c r="AF146" s="134"/>
      <c r="AG146" s="134"/>
    </row>
    <row r="147" spans="2:33" ht="12" customHeight="1">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c r="AA147" s="134"/>
      <c r="AB147" s="134"/>
      <c r="AC147" s="134"/>
      <c r="AD147" s="134"/>
      <c r="AE147" s="134"/>
      <c r="AF147" s="134"/>
      <c r="AG147" s="134"/>
    </row>
    <row r="148" spans="2:33" ht="12" customHeight="1">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c r="AA148" s="134"/>
      <c r="AB148" s="134"/>
      <c r="AC148" s="134"/>
      <c r="AD148" s="134"/>
      <c r="AE148" s="134"/>
      <c r="AF148" s="134"/>
      <c r="AG148" s="134"/>
    </row>
    <row r="149" spans="2:33" ht="12" customHeight="1">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c r="AA149" s="134"/>
      <c r="AB149" s="134"/>
      <c r="AC149" s="134"/>
      <c r="AD149" s="134"/>
      <c r="AE149" s="134"/>
      <c r="AF149" s="134"/>
      <c r="AG149" s="134"/>
    </row>
    <row r="150" spans="2:33" ht="15" customHeight="1">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c r="AA150" s="134"/>
      <c r="AB150" s="134"/>
      <c r="AC150" s="134"/>
      <c r="AD150" s="134"/>
      <c r="AE150" s="134"/>
      <c r="AF150" s="134"/>
      <c r="AG150" s="134"/>
    </row>
    <row r="151" spans="2:33" ht="15" customHeight="1">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c r="AA151" s="134"/>
      <c r="AB151" s="134"/>
      <c r="AC151" s="134"/>
      <c r="AD151" s="134"/>
      <c r="AE151" s="134"/>
      <c r="AF151" s="134"/>
      <c r="AG151" s="134"/>
    </row>
    <row r="152" spans="2:33" ht="15" customHeight="1">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c r="AA152" s="134"/>
      <c r="AB152" s="134"/>
      <c r="AC152" s="134"/>
      <c r="AD152" s="134"/>
      <c r="AE152" s="134"/>
      <c r="AF152" s="134"/>
      <c r="AG152" s="134"/>
    </row>
    <row r="153" spans="2:33" ht="15" customHeight="1">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c r="AA153" s="134"/>
      <c r="AB153" s="134"/>
      <c r="AC153" s="134"/>
      <c r="AD153" s="134"/>
      <c r="AE153" s="134"/>
      <c r="AF153" s="134"/>
      <c r="AG153" s="134"/>
    </row>
    <row r="154" spans="2:33" ht="15" customHeight="1">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c r="AA154" s="134"/>
      <c r="AB154" s="134"/>
      <c r="AC154" s="134"/>
      <c r="AD154" s="134"/>
      <c r="AE154" s="134"/>
      <c r="AF154" s="134"/>
      <c r="AG154" s="134"/>
    </row>
    <row r="155" spans="2:33" ht="15" customHeight="1">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c r="AA155" s="134"/>
      <c r="AB155" s="134"/>
      <c r="AC155" s="134"/>
      <c r="AD155" s="134"/>
      <c r="AE155" s="134"/>
      <c r="AF155" s="134"/>
      <c r="AG155" s="134"/>
    </row>
    <row r="156" spans="2:33" ht="15" customHeight="1">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c r="AA156" s="134"/>
      <c r="AB156" s="134"/>
      <c r="AC156" s="134"/>
      <c r="AD156" s="134"/>
      <c r="AE156" s="134"/>
      <c r="AF156" s="134"/>
      <c r="AG156" s="134"/>
    </row>
    <row r="157" spans="2:33" ht="15" customHeight="1">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c r="AA157" s="134"/>
      <c r="AB157" s="134"/>
      <c r="AC157" s="134"/>
      <c r="AD157" s="134"/>
      <c r="AE157" s="134"/>
      <c r="AF157" s="134"/>
      <c r="AG157" s="134"/>
    </row>
    <row r="158" spans="2:33" ht="15" customHeight="1">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c r="AA158" s="134"/>
      <c r="AB158" s="134"/>
      <c r="AC158" s="134"/>
      <c r="AD158" s="134"/>
      <c r="AE158" s="134"/>
      <c r="AF158" s="134"/>
      <c r="AG158" s="134"/>
    </row>
    <row r="159" spans="2:33" ht="15" customHeight="1">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c r="AA159" s="134"/>
      <c r="AB159" s="134"/>
      <c r="AC159" s="134"/>
      <c r="AD159" s="134"/>
      <c r="AE159" s="134"/>
      <c r="AF159" s="134"/>
      <c r="AG159" s="134"/>
    </row>
    <row r="161" customFormat="1" ht="15" customHeight="1"/>
    <row r="162" customFormat="1" ht="15" customHeight="1"/>
    <row r="163" customFormat="1" ht="15" customHeight="1"/>
    <row r="164" customFormat="1" ht="15" customHeight="1"/>
    <row r="165" customFormat="1" ht="12" customHeight="1"/>
    <row r="166" customFormat="1" ht="15" customHeight="1"/>
    <row r="167" customFormat="1" ht="15" customHeight="1"/>
    <row r="168" customFormat="1" ht="15" customHeight="1"/>
    <row r="169" customFormat="1" ht="15" customHeight="1"/>
    <row r="170" customFormat="1" ht="15" customHeight="1"/>
    <row r="171" customFormat="1" ht="15" customHeight="1"/>
    <row r="172" customFormat="1" ht="15" customHeight="1"/>
    <row r="173" customFormat="1" ht="15" customHeight="1"/>
    <row r="174" customFormat="1" ht="15" customHeight="1"/>
    <row r="175" customFormat="1" ht="15" customHeight="1"/>
    <row r="176" customFormat="1" ht="15" customHeight="1"/>
    <row r="177" customFormat="1" ht="15" customHeight="1"/>
    <row r="178" customFormat="1" ht="15" customHeight="1"/>
    <row r="179" customFormat="1" ht="15" customHeight="1"/>
    <row r="180" customFormat="1" ht="12" customHeight="1"/>
    <row r="181" customFormat="1" ht="15" customHeight="1"/>
    <row r="182" customFormat="1" ht="15" customHeight="1"/>
    <row r="183" customFormat="1" ht="15" customHeight="1"/>
    <row r="184" customFormat="1" ht="15" customHeight="1"/>
    <row r="185" customFormat="1" ht="15" customHeight="1"/>
    <row r="186" customFormat="1" ht="15" customHeight="1"/>
    <row r="187" customFormat="1" ht="15" customHeight="1"/>
    <row r="188" customFormat="1" ht="15" customHeight="1"/>
    <row r="189" customFormat="1" ht="15" customHeight="1"/>
    <row r="190" customFormat="1" ht="15" customHeight="1"/>
    <row r="191" customFormat="1" ht="15" customHeight="1"/>
    <row r="192" customFormat="1" ht="15" customHeight="1"/>
    <row r="193" customFormat="1" ht="15" customHeight="1"/>
    <row r="194" customFormat="1" ht="15" customHeight="1"/>
    <row r="195" customFormat="1" ht="15" customHeight="1"/>
    <row r="196" customFormat="1" ht="15" customHeight="1"/>
    <row r="197" customFormat="1" ht="15" customHeight="1"/>
    <row r="198" customFormat="1" ht="15" customHeight="1"/>
    <row r="199" customFormat="1" ht="15" customHeight="1"/>
    <row r="200" customFormat="1" ht="15" customHeight="1"/>
    <row r="201" customFormat="1" ht="15" customHeight="1"/>
    <row r="202" customFormat="1" ht="15" customHeight="1"/>
    <row r="203" customFormat="1" ht="15" customHeight="1"/>
    <row r="204" customFormat="1" ht="12" customHeight="1"/>
    <row r="205" customFormat="1" ht="12" customHeight="1"/>
    <row r="206" customFormat="1" ht="15" customHeight="1"/>
    <row r="207" customFormat="1" ht="15" customHeight="1"/>
    <row r="208" customFormat="1" ht="15" customHeight="1"/>
    <row r="209" customFormat="1" ht="15" customHeight="1"/>
    <row r="210" customFormat="1" ht="15" customHeight="1"/>
    <row r="211" customFormat="1" ht="15" customHeight="1"/>
    <row r="212" customFormat="1" ht="15" customHeight="1"/>
    <row r="213" customFormat="1" ht="15" customHeight="1"/>
    <row r="214" customFormat="1" ht="15" customHeight="1"/>
    <row r="215" customFormat="1" ht="15" customHeight="1"/>
    <row r="216" customFormat="1" ht="15" customHeight="1"/>
    <row r="217" customFormat="1" ht="15" customHeight="1"/>
    <row r="218" customFormat="1" ht="15" customHeight="1"/>
    <row r="219" customFormat="1" ht="15" customHeight="1"/>
    <row r="220" customFormat="1" ht="15" customHeight="1"/>
    <row r="221" customFormat="1" ht="15" customHeight="1"/>
    <row r="222" customFormat="1" ht="15" customHeight="1"/>
    <row r="223" customFormat="1" ht="12" customHeight="1"/>
    <row r="224" customFormat="1" ht="15" customHeight="1"/>
    <row r="225" customFormat="1" ht="15" customHeight="1"/>
    <row r="226" customFormat="1" ht="12" customHeight="1"/>
    <row r="227" customFormat="1" ht="15" customHeight="1"/>
    <row r="228" customFormat="1" ht="15" customHeight="1"/>
    <row r="229" customFormat="1" ht="15" customHeight="1"/>
    <row r="230" customFormat="1" ht="15" customHeight="1"/>
    <row r="231" customFormat="1" ht="15" customHeight="1"/>
    <row r="232" customFormat="1" ht="15" customHeight="1"/>
    <row r="233" customFormat="1" ht="15" customHeight="1"/>
    <row r="234" customFormat="1" ht="15" customHeight="1"/>
    <row r="235" customFormat="1" ht="15" customHeight="1"/>
    <row r="236" customFormat="1" ht="15" customHeight="1"/>
    <row r="237" customFormat="1" ht="15" customHeight="1"/>
    <row r="238" customFormat="1" ht="15" customHeight="1"/>
    <row r="239" customFormat="1" ht="15" customHeight="1"/>
    <row r="240" customFormat="1" ht="15" customHeight="1"/>
    <row r="241" customFormat="1" ht="15" customHeight="1"/>
    <row r="242" customFormat="1" ht="15" customHeight="1"/>
    <row r="243" customFormat="1" ht="15" customHeight="1"/>
    <row r="244" customFormat="1" ht="15" customHeight="1"/>
    <row r="245" customFormat="1" ht="15" customHeight="1"/>
    <row r="246" customFormat="1" ht="15" customHeight="1"/>
    <row r="247" customFormat="1" ht="15" customHeight="1"/>
    <row r="248" customFormat="1" ht="15" customHeight="1"/>
    <row r="249" customFormat="1" ht="15" customHeight="1"/>
    <row r="250" customFormat="1" ht="15" customHeight="1"/>
    <row r="251" customFormat="1" ht="15" customHeight="1"/>
    <row r="252" customFormat="1" ht="15" customHeight="1"/>
    <row r="253" customFormat="1" ht="15" customHeight="1"/>
    <row r="254" customFormat="1" ht="15" customHeight="1"/>
    <row r="255" customFormat="1" ht="15" customHeight="1"/>
    <row r="256" customFormat="1" ht="12" customHeight="1"/>
    <row r="257" customFormat="1" ht="12" customHeight="1"/>
    <row r="258" customFormat="1" ht="15" customHeight="1"/>
    <row r="259" customFormat="1" ht="15" customHeight="1"/>
    <row r="260" customFormat="1" ht="15" customHeight="1"/>
    <row r="261" customFormat="1" ht="15" customHeight="1"/>
    <row r="262" customFormat="1" ht="15" customHeight="1"/>
    <row r="263" customFormat="1" ht="15" customHeight="1"/>
    <row r="264" customFormat="1" ht="15" customHeight="1"/>
    <row r="265" customFormat="1" ht="15" customHeight="1"/>
    <row r="266" customFormat="1" ht="15" customHeight="1"/>
    <row r="267" customFormat="1" ht="15" customHeight="1"/>
    <row r="268" customFormat="1" ht="15" customHeight="1"/>
    <row r="269" customFormat="1" ht="12" customHeight="1"/>
    <row r="270" customFormat="1" ht="15" customHeight="1"/>
    <row r="271" customFormat="1" ht="15" customHeight="1"/>
    <row r="272" customFormat="1" ht="15" customHeight="1"/>
    <row r="273" customFormat="1" ht="15" customHeight="1"/>
    <row r="274" customFormat="1" ht="15" customHeight="1"/>
    <row r="275" customFormat="1" ht="15" customHeight="1"/>
    <row r="276" customFormat="1" ht="15" customHeight="1"/>
    <row r="277" customFormat="1" ht="15" customHeight="1"/>
    <row r="278" customFormat="1" ht="15" customHeight="1"/>
    <row r="279" customFormat="1" ht="15" customHeight="1"/>
    <row r="280" customFormat="1" ht="15" customHeight="1"/>
    <row r="281" customFormat="1" ht="15" customHeight="1"/>
    <row r="282" customFormat="1" ht="15" customHeight="1"/>
    <row r="283" customFormat="1" ht="15" customHeight="1"/>
    <row r="284" customFormat="1" ht="15" customHeight="1"/>
    <row r="285" customFormat="1" ht="15" customHeight="1"/>
    <row r="286" customFormat="1" ht="15" customHeight="1"/>
    <row r="287" customFormat="1" ht="15" customHeight="1"/>
    <row r="288" customFormat="1" ht="15" customHeight="1"/>
    <row r="289" customFormat="1" ht="15" customHeight="1"/>
    <row r="290" customFormat="1" ht="15" customHeight="1"/>
    <row r="291" customFormat="1" ht="15" customHeight="1"/>
    <row r="292" customFormat="1" ht="15" customHeight="1"/>
    <row r="293" customFormat="1" ht="15" customHeight="1"/>
    <row r="294" customFormat="1" ht="15" customHeight="1"/>
    <row r="295" customFormat="1" ht="15" customHeight="1"/>
    <row r="296" customFormat="1" ht="15" customHeight="1"/>
    <row r="297" customFormat="1" ht="15" customHeight="1"/>
    <row r="298" customFormat="1" ht="15" customHeight="1"/>
    <row r="299" customFormat="1" ht="12" customHeight="1"/>
    <row r="300" customFormat="1" ht="15" customHeight="1"/>
    <row r="301" customFormat="1" ht="15" customHeight="1"/>
    <row r="302" customFormat="1" ht="15" customHeight="1"/>
    <row r="303" customFormat="1" ht="15" customHeight="1"/>
    <row r="304" customFormat="1" ht="15" customHeight="1"/>
    <row r="321" customFormat="1" ht="15" customHeight="1"/>
    <row r="322" customFormat="1" ht="15" customHeight="1"/>
    <row r="323" customFormat="1" ht="15" customHeight="1"/>
    <row r="324" customFormat="1" ht="15" customHeight="1"/>
    <row r="325" customFormat="1" ht="15" customHeight="1"/>
    <row r="326" customFormat="1" ht="15" customHeight="1"/>
    <row r="327" customFormat="1" ht="15" customHeight="1"/>
    <row r="328" customFormat="1" ht="15" customHeight="1"/>
    <row r="329" customFormat="1" ht="15" customHeight="1"/>
    <row r="330" customFormat="1" ht="15" customHeight="1"/>
    <row r="331" customFormat="1" ht="15" customHeight="1"/>
    <row r="332" customFormat="1" ht="15" customHeight="1"/>
    <row r="333" customFormat="1" ht="15" customHeight="1"/>
    <row r="334" customFormat="1" ht="15" customHeight="1"/>
    <row r="335" customFormat="1" ht="15" customHeight="1"/>
    <row r="336" customFormat="1" ht="15" customHeight="1"/>
    <row r="337" customFormat="1" ht="15" customHeight="1"/>
    <row r="338" customFormat="1" ht="15" customHeight="1"/>
    <row r="339" customFormat="1" ht="15" customHeight="1"/>
    <row r="340" customFormat="1" ht="15" customHeight="1"/>
    <row r="341" customFormat="1" ht="15" customHeight="1"/>
    <row r="342" customFormat="1" ht="15" customHeight="1"/>
    <row r="343" customFormat="1" ht="15" customHeight="1"/>
    <row r="344" customFormat="1" ht="15" customHeight="1"/>
    <row r="345" customFormat="1" ht="15" customHeight="1"/>
    <row r="346" customFormat="1" ht="12" customHeight="1"/>
    <row r="347" customFormat="1" ht="12" customHeight="1"/>
    <row r="348" customFormat="1" ht="12" customHeight="1"/>
    <row r="349" customFormat="1" ht="12" customHeight="1"/>
    <row r="350" customFormat="1" ht="12" customHeight="1"/>
    <row r="351" customFormat="1" ht="12" customHeight="1"/>
    <row r="352" customFormat="1"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2"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5" customHeight="1"/>
    <row r="406" customFormat="1" ht="15" customHeight="1"/>
    <row r="407" customFormat="1" ht="15" customHeight="1"/>
    <row r="408" customFormat="1" ht="15" customHeight="1"/>
    <row r="409" customFormat="1" ht="15" customHeight="1"/>
    <row r="410" customFormat="1" ht="15" customHeight="1"/>
    <row r="411" customFormat="1" ht="15" customHeight="1"/>
    <row r="412" customFormat="1" ht="12"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2" customHeight="1"/>
    <row r="420" customFormat="1" ht="12"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5" customHeight="1"/>
    <row r="429" customFormat="1" ht="15" customHeight="1"/>
    <row r="430" customFormat="1" ht="15" customHeight="1"/>
    <row r="431" customFormat="1" ht="15" customHeight="1"/>
    <row r="432" customFormat="1" ht="15" customHeight="1"/>
    <row r="433" customFormat="1" ht="12" customHeight="1"/>
    <row r="434" customFormat="1" ht="15" customHeight="1"/>
    <row r="435" customFormat="1" ht="15"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2" customHeight="1"/>
    <row r="444" customFormat="1" ht="12" customHeight="1"/>
    <row r="445" customFormat="1" ht="15" customHeight="1"/>
    <row r="446" customFormat="1" ht="15" customHeight="1"/>
    <row r="447" customFormat="1" ht="15" customHeight="1"/>
    <row r="448" customFormat="1" ht="15" customHeight="1"/>
    <row r="449" customFormat="1" ht="15" customHeight="1"/>
    <row r="450" customFormat="1" ht="15" customHeight="1"/>
    <row r="451" customFormat="1" ht="12" customHeight="1"/>
    <row r="452" customFormat="1" ht="15" customHeight="1"/>
    <row r="453" customFormat="1" ht="15" customHeight="1"/>
    <row r="454" customFormat="1" ht="15" customHeight="1"/>
    <row r="455" customFormat="1" ht="15" customHeight="1"/>
    <row r="456" customFormat="1" ht="15" customHeight="1"/>
    <row r="457" customFormat="1" ht="15" customHeight="1"/>
    <row r="458" customFormat="1" ht="12" customHeight="1"/>
    <row r="459" customFormat="1" ht="15" customHeight="1"/>
    <row r="460" customFormat="1" ht="15" customHeight="1"/>
    <row r="461" customFormat="1" ht="15" customHeight="1"/>
    <row r="462" customFormat="1" ht="15" customHeight="1"/>
    <row r="463" customFormat="1" ht="15" customHeight="1"/>
    <row r="464" customFormat="1" ht="15" customHeight="1"/>
    <row r="465" customFormat="1" ht="15" customHeight="1"/>
    <row r="466" customFormat="1" ht="15" customHeight="1"/>
    <row r="467" customFormat="1" ht="15" customHeight="1"/>
    <row r="468" customFormat="1" ht="12" customHeight="1"/>
    <row r="469" customFormat="1" ht="12" customHeight="1"/>
    <row r="470" customFormat="1" ht="15" customHeight="1"/>
    <row r="471" customFormat="1" ht="15" customHeight="1"/>
    <row r="472" customFormat="1" ht="15" customHeight="1"/>
    <row r="473" customFormat="1" ht="15" customHeight="1"/>
    <row r="474" customFormat="1" ht="15" customHeight="1"/>
    <row r="475" customFormat="1" ht="15" customHeight="1"/>
    <row r="476" customFormat="1" ht="15" customHeight="1"/>
    <row r="477" customFormat="1" ht="15" customHeight="1"/>
    <row r="478" customFormat="1" ht="15" customHeight="1"/>
    <row r="479" customFormat="1" ht="12" customHeight="1"/>
    <row r="480" customFormat="1" ht="15" customHeight="1"/>
    <row r="481" customFormat="1" ht="15" customHeight="1"/>
    <row r="482" customFormat="1" ht="15" customHeight="1"/>
    <row r="483" customFormat="1" ht="15" customHeight="1"/>
    <row r="484" customFormat="1" ht="15" customHeight="1"/>
    <row r="485" customFormat="1" ht="15" customHeight="1"/>
    <row r="486" customFormat="1" ht="12" customHeight="1"/>
    <row r="487" customFormat="1" ht="15" customHeight="1"/>
    <row r="488" customFormat="1" ht="15" customHeight="1"/>
    <row r="489" customFormat="1" ht="15" customHeight="1"/>
    <row r="490" customFormat="1" ht="15" customHeight="1"/>
    <row r="491" customFormat="1" ht="15" customHeight="1"/>
    <row r="492" customFormat="1" ht="15" customHeight="1"/>
    <row r="493" customFormat="1" ht="15" customHeight="1"/>
    <row r="494" customFormat="1" ht="15" customHeight="1"/>
    <row r="495" customFormat="1" ht="15" customHeight="1"/>
    <row r="496" customFormat="1" ht="15" customHeight="1"/>
    <row r="499" ht="12" customHeight="1"/>
    <row r="509" ht="12"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2" customHeight="1"/>
    <row r="527" customFormat="1" ht="12" customHeight="1"/>
    <row r="528" customFormat="1" ht="12" customHeight="1"/>
    <row r="529" customFormat="1" ht="12" customHeight="1"/>
    <row r="530" customFormat="1" ht="12" customHeight="1"/>
    <row r="531" customFormat="1" ht="12" customHeight="1"/>
    <row r="532" customFormat="1" ht="12" customHeight="1"/>
    <row r="533" customFormat="1" ht="12" customHeight="1"/>
    <row r="534" customFormat="1" ht="12" customHeight="1"/>
    <row r="535" customFormat="1" ht="12" customHeight="1"/>
    <row r="536" customFormat="1" ht="12" customHeight="1"/>
    <row r="537" customFormat="1" ht="12" customHeight="1"/>
    <row r="538" customFormat="1" ht="12" customHeight="1"/>
    <row r="539" customFormat="1" ht="12" customHeight="1"/>
    <row r="540" customFormat="1" ht="12" customHeight="1"/>
    <row r="541" customFormat="1" ht="12" customHeight="1"/>
    <row r="542" customFormat="1" ht="12" customHeight="1"/>
    <row r="543" customFormat="1" ht="12" customHeight="1"/>
    <row r="544" customFormat="1" ht="12" customHeight="1"/>
    <row r="545" customFormat="1" ht="12" customHeight="1"/>
    <row r="546" customFormat="1" ht="12" customHeight="1"/>
    <row r="547" customFormat="1" ht="12" customHeight="1"/>
    <row r="548" customFormat="1" ht="12" customHeight="1"/>
    <row r="549" customFormat="1" ht="12" customHeight="1"/>
    <row r="550" customFormat="1" ht="12" customHeight="1"/>
    <row r="551" customFormat="1" ht="12" customHeight="1"/>
    <row r="552" customFormat="1" ht="12" customHeight="1"/>
    <row r="553" customFormat="1" ht="12" customHeight="1"/>
    <row r="554" customFormat="1" ht="12" customHeight="1"/>
    <row r="555" customFormat="1" ht="12" customHeight="1"/>
    <row r="556" customFormat="1" ht="12" customHeight="1"/>
    <row r="557" customFormat="1" ht="12" customHeight="1"/>
    <row r="558" customFormat="1" ht="12" customHeight="1"/>
    <row r="559" customFormat="1" ht="12" customHeight="1"/>
    <row r="560" customFormat="1" ht="12" customHeight="1"/>
    <row r="561" customFormat="1" ht="12" customHeight="1"/>
    <row r="562" customFormat="1" ht="12" customHeight="1"/>
    <row r="563" customFormat="1" ht="12" customHeight="1"/>
    <row r="564" customFormat="1" ht="12" customHeight="1"/>
    <row r="565" customFormat="1" ht="12" customHeight="1"/>
    <row r="566" customFormat="1" ht="12" customHeight="1"/>
    <row r="567" customFormat="1" ht="12" customHeight="1"/>
    <row r="568" customFormat="1" ht="12" customHeight="1"/>
    <row r="569" customFormat="1" ht="12" customHeight="1"/>
    <row r="570" customFormat="1" ht="12" customHeight="1"/>
    <row r="571" customFormat="1" ht="12" customHeight="1"/>
    <row r="572" customFormat="1" ht="12" customHeight="1"/>
    <row r="573" customFormat="1" ht="12" customHeight="1"/>
    <row r="574" customFormat="1" ht="12" customHeight="1"/>
    <row r="575" customFormat="1" ht="15" customHeight="1"/>
    <row r="576" customFormat="1" ht="15" customHeight="1"/>
    <row r="577" customFormat="1" ht="15" customHeight="1"/>
    <row r="578" customFormat="1" ht="15" customHeight="1"/>
    <row r="579" customFormat="1" ht="15" customHeight="1"/>
    <row r="580" customFormat="1" ht="15" customHeight="1"/>
    <row r="581" customFormat="1" ht="15" customHeight="1"/>
    <row r="582" customFormat="1" ht="15" customHeight="1"/>
    <row r="583" customFormat="1" ht="15" customHeight="1"/>
    <row r="584" customFormat="1" ht="15" customHeight="1"/>
    <row r="585" customFormat="1" ht="15" customHeight="1"/>
    <row r="586" customFormat="1" ht="12" customHeight="1"/>
    <row r="587" customFormat="1" ht="15" customHeight="1"/>
    <row r="588" customFormat="1" ht="12" customHeight="1"/>
    <row r="589" customFormat="1" ht="15" customHeight="1"/>
    <row r="590" customFormat="1" ht="15" customHeight="1"/>
    <row r="591" customFormat="1" ht="15" customHeight="1"/>
    <row r="592" customFormat="1" ht="15" customHeight="1"/>
    <row r="593" customFormat="1" ht="15" customHeight="1"/>
    <row r="594" customFormat="1" ht="15" customHeight="1"/>
    <row r="595" customFormat="1" ht="15" customHeight="1"/>
    <row r="596" customFormat="1" ht="12" customHeight="1"/>
    <row r="597" customFormat="1" ht="15" customHeight="1"/>
    <row r="598" customFormat="1" ht="15" customHeight="1"/>
    <row r="599" customFormat="1" ht="15"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5"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2"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5" customHeight="1"/>
    <row r="628" customFormat="1" ht="15" customHeight="1"/>
    <row r="629" customFormat="1" ht="15" customHeight="1"/>
    <row r="630" customFormat="1" ht="15" customHeight="1"/>
    <row r="631" customFormat="1" ht="12" customHeight="1"/>
    <row r="632" customFormat="1" ht="15" customHeight="1"/>
    <row r="633" customFormat="1" ht="15" customHeight="1"/>
    <row r="634" customFormat="1" ht="15" customHeight="1"/>
    <row r="635" customFormat="1" ht="15" customHeight="1"/>
    <row r="636" customFormat="1" ht="15" customHeight="1"/>
    <row r="637" customFormat="1" ht="15" customHeight="1"/>
    <row r="638" customFormat="1" ht="12" customHeight="1"/>
    <row r="639" customFormat="1" ht="15" customHeight="1"/>
    <row r="640" customFormat="1" ht="12"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5" customHeight="1"/>
    <row r="649" customFormat="1" ht="15" customHeight="1"/>
    <row r="650" customFormat="1" ht="15" customHeight="1"/>
    <row r="651" customFormat="1" ht="15" customHeight="1"/>
    <row r="652" customFormat="1" ht="15" customHeight="1"/>
    <row r="653" customFormat="1" ht="15" customHeight="1"/>
    <row r="654" customFormat="1" ht="15" customHeight="1"/>
    <row r="655" customFormat="1" ht="15" customHeight="1"/>
    <row r="656" customFormat="1" ht="15" customHeight="1"/>
    <row r="657" customFormat="1" ht="15" customHeight="1"/>
    <row r="658" customFormat="1" ht="15" customHeight="1"/>
    <row r="659" customFormat="1" ht="12" customHeight="1"/>
    <row r="660" customFormat="1" ht="15" customHeight="1"/>
    <row r="661" customFormat="1" ht="12" customHeight="1"/>
    <row r="662" customFormat="1" ht="15" customHeight="1"/>
    <row r="663" customFormat="1" ht="15" customHeight="1"/>
    <row r="664" customFormat="1" ht="15" customHeight="1"/>
    <row r="665" customFormat="1" ht="15" customHeight="1"/>
    <row r="666" customFormat="1" ht="15" customHeight="1"/>
    <row r="667" customFormat="1" ht="15" customHeight="1"/>
    <row r="668" customFormat="1" ht="15" customHeight="1"/>
    <row r="669" customFormat="1" ht="15" customHeight="1"/>
    <row r="670" customFormat="1" ht="15" customHeight="1"/>
    <row r="671" customFormat="1" ht="15" customHeight="1"/>
    <row r="672" customFormat="1" ht="15" customHeight="1"/>
    <row r="673" customFormat="1" ht="15" customHeight="1"/>
    <row r="674" customFormat="1" ht="15" customHeight="1"/>
    <row r="675" customFormat="1" ht="15" customHeight="1"/>
    <row r="676" customFormat="1" ht="15" customHeight="1"/>
    <row r="677" customFormat="1" ht="15" customHeight="1"/>
    <row r="678" customFormat="1" ht="15" customHeight="1"/>
    <row r="679" customFormat="1" ht="15" customHeight="1"/>
    <row r="680" customFormat="1" ht="12" customHeight="1"/>
    <row r="681" customFormat="1" ht="15" customHeight="1"/>
    <row r="682" customFormat="1" ht="15" customHeight="1"/>
    <row r="683" customFormat="1" ht="15" customHeight="1"/>
    <row r="684" customFormat="1" ht="15" customHeight="1"/>
    <row r="685" customFormat="1" ht="15" customHeight="1"/>
    <row r="686" customFormat="1" ht="15" customHeight="1"/>
    <row r="687" customFormat="1" ht="12" customHeight="1"/>
    <row r="688" customFormat="1" ht="15" customHeight="1"/>
    <row r="689" customFormat="1" ht="15" customHeight="1"/>
    <row r="690" customFormat="1" ht="15" customHeight="1"/>
    <row r="691" customFormat="1" ht="15" customHeight="1"/>
    <row r="692" customFormat="1" ht="15" customHeight="1"/>
    <row r="693" customFormat="1" ht="15" customHeight="1"/>
    <row r="694" customFormat="1" ht="15" customHeight="1"/>
    <row r="695" customFormat="1" ht="15" customHeight="1"/>
    <row r="696" customFormat="1" ht="15" customHeight="1"/>
    <row r="697" customFormat="1" ht="15" customHeight="1"/>
    <row r="698" customFormat="1" ht="15" customHeight="1"/>
    <row r="699" customFormat="1" ht="12" customHeight="1"/>
    <row r="700" customFormat="1" ht="15" customHeight="1"/>
    <row r="701" customFormat="1" ht="15" customHeight="1"/>
    <row r="702" customFormat="1" ht="15" customHeight="1"/>
    <row r="703" customFormat="1" ht="15" customHeight="1"/>
    <row r="704" customFormat="1" ht="15" customHeight="1"/>
    <row r="721" customFormat="1" ht="15" customHeight="1"/>
    <row r="722" customFormat="1" ht="15" customHeight="1"/>
    <row r="723" customFormat="1" ht="15" customHeight="1"/>
    <row r="724" customFormat="1" ht="15" customHeight="1"/>
    <row r="725" customFormat="1" ht="15" customHeight="1"/>
    <row r="726" customFormat="1" ht="15" customHeight="1"/>
    <row r="727" customFormat="1" ht="15" customHeight="1"/>
    <row r="728" customFormat="1" ht="15" customHeight="1"/>
    <row r="729" customFormat="1" ht="15" customHeight="1"/>
    <row r="730" customFormat="1" ht="15" customHeight="1"/>
    <row r="731" customFormat="1" ht="15" customHeight="1"/>
    <row r="732" customFormat="1" ht="15" customHeight="1"/>
    <row r="733" customFormat="1" ht="15" customHeight="1"/>
    <row r="734" customFormat="1" ht="15" customHeight="1"/>
    <row r="735" customFormat="1" ht="15" customHeight="1"/>
    <row r="736" customFormat="1" ht="15" customHeight="1"/>
    <row r="737" customFormat="1" ht="15" customHeight="1"/>
    <row r="738" customFormat="1" ht="12" customHeight="1"/>
    <row r="739" customFormat="1" ht="12" customHeight="1"/>
    <row r="740" customFormat="1" ht="12" customHeight="1"/>
    <row r="741" customFormat="1" ht="12"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2" customHeight="1"/>
    <row r="782" customFormat="1" ht="15" customHeight="1"/>
    <row r="783" customFormat="1" ht="15" customHeight="1"/>
    <row r="784" customFormat="1" ht="15" customHeight="1"/>
    <row r="785" customFormat="1" ht="15" customHeight="1"/>
    <row r="786" customFormat="1" ht="12" customHeight="1"/>
    <row r="787" customFormat="1" ht="15" customHeight="1"/>
    <row r="788" customFormat="1" ht="15" customHeight="1"/>
    <row r="789" customFormat="1" ht="15" customHeight="1"/>
    <row r="790" customFormat="1" ht="15" customHeight="1"/>
    <row r="791" customFormat="1" ht="12" customHeight="1"/>
    <row r="792" customFormat="1" ht="15" customHeight="1"/>
    <row r="793" customFormat="1" ht="15"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5" customHeight="1"/>
    <row r="806" customFormat="1" ht="15" customHeight="1"/>
    <row r="807" customFormat="1" ht="12" customHeight="1"/>
    <row r="808" customFormat="1" ht="15" customHeight="1"/>
    <row r="809" customFormat="1" ht="15" customHeight="1"/>
    <row r="810" customFormat="1" ht="15" customHeight="1"/>
    <row r="811" customFormat="1" ht="15" customHeight="1"/>
    <row r="812" customFormat="1" ht="15" customHeight="1"/>
    <row r="813" customFormat="1" ht="15" customHeight="1"/>
    <row r="814" customFormat="1" ht="15" customHeight="1"/>
    <row r="815" customFormat="1" ht="12"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2"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5" customHeight="1"/>
    <row r="836" customFormat="1" ht="15" customHeight="1"/>
    <row r="837" customFormat="1" ht="15" customHeight="1"/>
    <row r="838" customFormat="1" ht="15" customHeight="1"/>
    <row r="839" customFormat="1" ht="12" customHeight="1"/>
    <row r="840" customFormat="1" ht="15" customHeight="1"/>
    <row r="841" customFormat="1" ht="12"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5" customHeight="1"/>
    <row r="851" customFormat="1" ht="15" customHeight="1"/>
    <row r="852" customFormat="1" ht="15" customHeight="1"/>
    <row r="853" customFormat="1" ht="15" customHeight="1"/>
    <row r="854" customFormat="1" ht="15" customHeight="1"/>
    <row r="855" customFormat="1" ht="15" customHeight="1"/>
    <row r="856" customFormat="1" ht="12" customHeight="1"/>
    <row r="857" customFormat="1" ht="15" customHeight="1"/>
    <row r="858" customFormat="1" ht="15" customHeight="1"/>
    <row r="859" customFormat="1" ht="15" customHeight="1"/>
    <row r="860" customFormat="1" ht="15" customHeight="1"/>
    <row r="861" customFormat="1" ht="15" customHeight="1"/>
    <row r="862" customFormat="1" ht="12"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5" customHeight="1"/>
    <row r="873" customFormat="1" ht="15" customHeight="1"/>
    <row r="874" customFormat="1" ht="12" customHeight="1"/>
    <row r="875" customFormat="1" ht="15" customHeight="1"/>
    <row r="876" customFormat="1" ht="15" customHeight="1"/>
    <row r="877" customFormat="1" ht="15" customHeight="1"/>
    <row r="878" customFormat="1" ht="15" customHeight="1"/>
    <row r="879" customFormat="1" ht="15" customHeight="1"/>
    <row r="880" customFormat="1" ht="15" customHeight="1"/>
    <row r="897" customFormat="1" ht="15" customHeight="1"/>
    <row r="898" customFormat="1" ht="15" customHeight="1"/>
    <row r="899" customFormat="1" ht="15" customHeight="1"/>
    <row r="900" customFormat="1" ht="15" customHeight="1"/>
    <row r="901" customFormat="1" ht="15" customHeight="1"/>
    <row r="902" customFormat="1" ht="15" customHeight="1"/>
    <row r="903" customFormat="1" ht="15" customHeight="1"/>
    <row r="904" customFormat="1" ht="15" customHeight="1"/>
    <row r="905" customFormat="1" ht="15" customHeight="1"/>
    <row r="906" customFormat="1" ht="12" customHeight="1"/>
    <row r="907" customFormat="1" ht="12" customHeight="1"/>
    <row r="908" customFormat="1" ht="12" customHeight="1"/>
    <row r="909" customFormat="1" ht="12" customHeight="1"/>
    <row r="910" customFormat="1" ht="12" customHeight="1"/>
    <row r="911" customFormat="1" ht="12" customHeight="1"/>
    <row r="912" customFormat="1" ht="12" customHeight="1"/>
    <row r="913" customFormat="1" ht="12"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2" customHeight="1"/>
    <row r="926" customFormat="1" ht="12" customHeight="1"/>
    <row r="927" customFormat="1" ht="12" customHeight="1"/>
    <row r="928" customFormat="1" ht="12" customHeight="1"/>
    <row r="929" customFormat="1" ht="12" customHeight="1"/>
    <row r="930" customFormat="1" ht="12" customHeight="1"/>
    <row r="931" customFormat="1" ht="12" customHeight="1"/>
    <row r="932" customFormat="1" ht="12" customHeight="1"/>
    <row r="933" customFormat="1" ht="12" customHeight="1"/>
    <row r="934" customFormat="1" ht="12" customHeight="1"/>
    <row r="935" customFormat="1" ht="12" customHeight="1"/>
    <row r="936" customFormat="1" ht="12" customHeight="1"/>
    <row r="937" customFormat="1" ht="12" customHeight="1"/>
    <row r="938" customFormat="1" ht="12" customHeight="1"/>
    <row r="939" customFormat="1" ht="12" customHeight="1"/>
    <row r="940" customFormat="1" ht="12" customHeight="1"/>
    <row r="941" customFormat="1" ht="12" customHeight="1"/>
    <row r="942" customFormat="1" ht="12" customHeight="1"/>
    <row r="943" customFormat="1" ht="12" customHeight="1"/>
    <row r="944" customFormat="1" ht="12" customHeight="1"/>
    <row r="945" customFormat="1" ht="12" customHeight="1"/>
    <row r="946" customFormat="1" ht="12" customHeight="1"/>
    <row r="947" customFormat="1" ht="12" customHeight="1"/>
    <row r="948" customFormat="1" ht="12" customHeight="1"/>
    <row r="949" customFormat="1" ht="12" customHeight="1"/>
    <row r="950" customFormat="1" ht="15" customHeight="1"/>
    <row r="951" customFormat="1" ht="15" customHeight="1"/>
    <row r="952" customFormat="1" ht="15" customHeight="1"/>
    <row r="953" customFormat="1" ht="15" customHeight="1"/>
    <row r="954" customFormat="1" ht="15"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5" customHeight="1"/>
    <row r="978" customFormat="1" ht="15" customHeight="1"/>
    <row r="979" customFormat="1" ht="15" customHeight="1"/>
    <row r="980" customFormat="1" ht="15" customHeight="1"/>
    <row r="981" customFormat="1" ht="15" customHeight="1"/>
    <row r="982" customFormat="1" ht="15" customHeight="1"/>
    <row r="983" customFormat="1" ht="15" customHeight="1"/>
    <row r="984" customFormat="1" ht="15" customHeight="1"/>
    <row r="985" customFormat="1" ht="15" customHeight="1"/>
    <row r="986" customFormat="1" ht="12" customHeight="1"/>
    <row r="987" customFormat="1" ht="12" customHeight="1"/>
    <row r="988" customFormat="1" ht="15" customHeight="1"/>
    <row r="989" customFormat="1" ht="15" customHeight="1"/>
    <row r="990" customFormat="1" ht="15" customHeight="1"/>
    <row r="991" customFormat="1" ht="15" customHeight="1"/>
    <row r="992" customFormat="1" ht="15" customHeight="1"/>
    <row r="993" customFormat="1" ht="15" customHeight="1"/>
    <row r="994" customFormat="1" ht="15" customHeight="1"/>
    <row r="995" customFormat="1" ht="15" customHeight="1"/>
    <row r="996" customFormat="1" ht="15" customHeight="1"/>
    <row r="997" customFormat="1" ht="15" customHeight="1"/>
    <row r="998" customFormat="1" ht="15" customHeight="1"/>
    <row r="999" customFormat="1" ht="15" customHeight="1"/>
    <row r="1000" customFormat="1" ht="15" customHeight="1"/>
    <row r="1001" customFormat="1" ht="15" customHeight="1"/>
    <row r="1002" customFormat="1" ht="15" customHeight="1"/>
    <row r="1003" customFormat="1" ht="15" customHeight="1"/>
    <row r="1004" customFormat="1" ht="15" customHeight="1"/>
    <row r="1005" customFormat="1" ht="15" customHeight="1"/>
    <row r="1006" customFormat="1" ht="15" customHeight="1"/>
    <row r="1007" customFormat="1" ht="15" customHeight="1"/>
    <row r="1008" customFormat="1" ht="15" customHeight="1"/>
    <row r="1009" customFormat="1" ht="15" customHeight="1"/>
    <row r="1010" customFormat="1" ht="15" customHeight="1"/>
    <row r="1011" customFormat="1" ht="15" customHeight="1"/>
    <row r="1012" customFormat="1" ht="15" customHeight="1"/>
    <row r="1013" customFormat="1" ht="15" customHeight="1"/>
    <row r="1014" customFormat="1" ht="15" customHeight="1"/>
    <row r="1015" customFormat="1" ht="15" customHeight="1"/>
    <row r="1016" customFormat="1" ht="15" customHeight="1"/>
    <row r="1017" customFormat="1" ht="12" customHeight="1"/>
    <row r="1018" customFormat="1" ht="12" customHeight="1"/>
    <row r="1019" customFormat="1" ht="15" customHeight="1"/>
    <row r="1020" customFormat="1" ht="15" customHeight="1"/>
    <row r="1021" customFormat="1" ht="15" customHeight="1"/>
    <row r="1022" customFormat="1" ht="15" customHeight="1"/>
    <row r="1023" customFormat="1" ht="15" customHeight="1"/>
    <row r="1024" customFormat="1" ht="15"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5" customHeight="1"/>
    <row r="1036" customFormat="1" ht="15" customHeight="1"/>
    <row r="1037" customFormat="1" ht="15" customHeight="1"/>
    <row r="1038" customFormat="1" ht="15" customHeight="1"/>
    <row r="1039" customFormat="1" ht="12"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5" customHeight="1"/>
    <row r="1053" customFormat="1" ht="15" customHeight="1"/>
    <row r="1054" customFormat="1" ht="15" customHeight="1"/>
    <row r="1055" customFormat="1" ht="15" customHeight="1"/>
    <row r="1056" customFormat="1" ht="15" customHeight="1"/>
    <row r="1057" customFormat="1" ht="15" customHeight="1"/>
    <row r="1058" customFormat="1" ht="15" customHeight="1"/>
    <row r="1059" customFormat="1" ht="15" customHeight="1"/>
    <row r="1060" customFormat="1" ht="15" customHeight="1"/>
    <row r="1061" customFormat="1" ht="15" customHeight="1"/>
    <row r="1062" customFormat="1" ht="15" customHeight="1"/>
    <row r="1063" customFormat="1" ht="15" customHeight="1"/>
    <row r="1064" customFormat="1" ht="15" customHeight="1"/>
    <row r="1065" customFormat="1" ht="15" customHeight="1"/>
    <row r="1066" customFormat="1" ht="15" customHeight="1"/>
    <row r="1067" customFormat="1" ht="12"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5" customHeight="1"/>
    <row r="1079" customFormat="1" ht="15" customHeight="1"/>
    <row r="1080" customFormat="1" ht="15" customHeight="1"/>
    <row r="1081" customFormat="1" ht="15" customHeight="1"/>
    <row r="1082" customFormat="1" ht="15" customHeight="1"/>
    <row r="1083" customFormat="1" ht="15" customHeight="1"/>
    <row r="1084" customFormat="1" ht="15" customHeight="1"/>
    <row r="1085" customFormat="1" ht="15" customHeight="1"/>
    <row r="1086" customFormat="1" ht="15" customHeight="1"/>
    <row r="1087" customFormat="1" ht="15" customHeight="1"/>
    <row r="1088" customFormat="1" ht="15" customHeight="1"/>
    <row r="1096" ht="12" customHeight="1"/>
    <row r="1105" customFormat="1" ht="15" customHeight="1"/>
    <row r="1106" customFormat="1" ht="15" customHeight="1"/>
    <row r="1107" customFormat="1" ht="15" customHeight="1"/>
    <row r="1108" customFormat="1" ht="15" customHeight="1"/>
    <row r="1109" customFormat="1" ht="15" customHeight="1"/>
    <row r="1110" customFormat="1" ht="15" customHeight="1"/>
    <row r="1111" customFormat="1" ht="15" customHeight="1"/>
    <row r="1112" customFormat="1" ht="15" customHeight="1"/>
    <row r="1113" customFormat="1" ht="15"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2" customHeight="1"/>
    <row r="1126" customFormat="1" ht="12" customHeight="1"/>
    <row r="1127" customFormat="1" ht="12" customHeight="1"/>
    <row r="1128" customFormat="1" ht="12" customHeight="1"/>
    <row r="1129" customFormat="1" ht="12" customHeight="1"/>
    <row r="1130" customFormat="1" ht="12" customHeight="1"/>
    <row r="1131" customFormat="1" ht="12" customHeight="1"/>
    <row r="1132" customFormat="1" ht="12" customHeight="1"/>
    <row r="1133" customFormat="1" ht="12" customHeight="1"/>
    <row r="1134" customFormat="1" ht="12" customHeight="1"/>
    <row r="1135" customFormat="1" ht="12" customHeight="1"/>
    <row r="1136" customFormat="1" ht="12" customHeight="1"/>
    <row r="1137" customFormat="1" ht="12" customHeight="1"/>
    <row r="1138" customFormat="1" ht="12" customHeight="1"/>
    <row r="1139" customFormat="1" ht="12" customHeight="1"/>
    <row r="1140" customFormat="1" ht="12" customHeight="1"/>
    <row r="1141" customFormat="1" ht="12" customHeight="1"/>
    <row r="1142" customFormat="1" ht="12" customHeight="1"/>
    <row r="1143" customFormat="1" ht="12" customHeight="1"/>
    <row r="1144" customFormat="1" ht="12" customHeight="1"/>
    <row r="1145" customFormat="1" ht="12" customHeight="1"/>
    <row r="1146" customFormat="1" ht="12" customHeight="1"/>
    <row r="1147" customFormat="1" ht="12" customHeight="1"/>
    <row r="1148" customFormat="1" ht="12" customHeight="1"/>
    <row r="1149" customFormat="1" ht="12" customHeight="1"/>
    <row r="1150" customFormat="1" ht="15" customHeight="1"/>
    <row r="1151" customFormat="1" ht="15" customHeight="1"/>
    <row r="1152" customFormat="1" ht="15" customHeight="1"/>
    <row r="1153" customFormat="1" ht="15" customHeight="1"/>
    <row r="1154" customFormat="1" ht="15" customHeight="1"/>
    <row r="1155" customFormat="1" ht="15" customHeight="1"/>
    <row r="1156" customFormat="1" ht="15" customHeight="1"/>
    <row r="1157" customFormat="1" ht="15" customHeight="1"/>
    <row r="1158" customFormat="1" ht="15" customHeight="1"/>
    <row r="1159" customFormat="1" ht="15" customHeight="1"/>
    <row r="1160" customFormat="1" ht="15"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2"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5" customHeight="1"/>
    <row r="1178" customFormat="1" ht="15" customHeight="1"/>
    <row r="1179" customFormat="1" ht="15" customHeight="1"/>
    <row r="1180" customFormat="1" ht="15" customHeight="1"/>
    <row r="1181" customFormat="1" ht="15" customHeight="1"/>
    <row r="1182" customFormat="1" ht="15" customHeight="1"/>
    <row r="1183" customFormat="1" ht="15" customHeight="1"/>
    <row r="1184" customFormat="1" ht="15" customHeight="1"/>
    <row r="1185" customFormat="1" ht="15" customHeight="1"/>
    <row r="1186" customFormat="1" ht="15" customHeight="1"/>
    <row r="1187" customFormat="1" ht="15" customHeight="1"/>
    <row r="1188" customFormat="1" ht="15" customHeight="1"/>
    <row r="1189" customFormat="1" ht="15" customHeight="1"/>
    <row r="1190" customFormat="1" ht="15" customHeight="1"/>
    <row r="1191" customFormat="1" ht="15" customHeight="1"/>
    <row r="1192" customFormat="1" ht="15" customHeight="1"/>
    <row r="1193" customFormat="1" ht="12" customHeight="1"/>
    <row r="1194" customFormat="1" ht="15" customHeight="1"/>
    <row r="1195" customFormat="1" ht="15" customHeight="1"/>
    <row r="1196" customFormat="1" ht="15" customHeight="1"/>
    <row r="1197" customFormat="1" ht="15" customHeight="1"/>
    <row r="1198" customFormat="1" ht="15" customHeight="1"/>
    <row r="1199" customFormat="1" ht="15" customHeight="1"/>
    <row r="1200" customFormat="1" ht="15" customHeight="1"/>
    <row r="1201" customFormat="1" ht="15" customHeight="1"/>
    <row r="1202" customFormat="1" ht="15" customHeight="1"/>
    <row r="1203" customFormat="1" ht="15" customHeight="1"/>
    <row r="1204" customFormat="1" ht="15" customHeight="1"/>
    <row r="1205" customFormat="1" ht="15" customHeight="1"/>
    <row r="1206" customFormat="1" ht="15" customHeight="1"/>
    <row r="1207" customFormat="1" ht="15" customHeight="1"/>
    <row r="1208" customFormat="1" ht="15" customHeight="1"/>
    <row r="1209" customFormat="1" ht="15" customHeight="1"/>
    <row r="1210" customFormat="1" ht="15" customHeight="1"/>
    <row r="1211" customFormat="1" ht="12" customHeight="1"/>
    <row r="1212" customFormat="1" ht="15" customHeight="1"/>
    <row r="1213" customFormat="1" ht="15" customHeight="1"/>
    <row r="1214" customFormat="1" ht="15" customHeight="1"/>
    <row r="1215" customFormat="1" ht="15" customHeight="1"/>
    <row r="1216" customFormat="1" ht="15" customHeight="1"/>
    <row r="1233" customFormat="1" ht="15" customHeight="1"/>
    <row r="1234" customFormat="1" ht="15" customHeight="1"/>
    <row r="1235" customFormat="1" ht="15" customHeight="1"/>
    <row r="1236" customFormat="1" ht="15" customHeight="1"/>
    <row r="1237" customFormat="1" ht="15" customHeight="1"/>
    <row r="1238" customFormat="1" ht="15" customHeight="1"/>
    <row r="1239" customFormat="1" ht="15" customHeight="1"/>
    <row r="1240" customFormat="1" ht="15" customHeight="1"/>
    <row r="1241" customFormat="1" ht="12" customHeight="1"/>
    <row r="1242" customFormat="1" ht="12" customHeight="1"/>
    <row r="1243" customFormat="1" ht="12" customHeight="1"/>
    <row r="1244" customFormat="1" ht="12" customHeight="1"/>
    <row r="1245" customFormat="1" ht="12" customHeight="1"/>
    <row r="1246" customFormat="1" ht="12" customHeight="1"/>
    <row r="1247" customFormat="1" ht="12" customHeight="1"/>
    <row r="1248" customFormat="1" ht="12" customHeight="1"/>
    <row r="1249" customFormat="1" ht="12" customHeight="1"/>
    <row r="1250" customFormat="1" ht="12" customHeight="1"/>
    <row r="1251" customFormat="1" ht="12" customHeight="1"/>
    <row r="1252" customFormat="1" ht="12" customHeight="1"/>
    <row r="1253" customFormat="1" ht="12" customHeight="1"/>
    <row r="1254" customFormat="1" ht="12" customHeight="1"/>
    <row r="1255" customFormat="1" ht="12" customHeight="1"/>
    <row r="1256" customFormat="1" ht="12" customHeight="1"/>
    <row r="1257" customFormat="1" ht="12" customHeight="1"/>
    <row r="1258" customFormat="1" ht="12" customHeight="1"/>
    <row r="1259" customFormat="1" ht="12" customHeight="1"/>
    <row r="1260" customFormat="1" ht="12" customHeight="1"/>
    <row r="1261" customFormat="1" ht="12" customHeight="1"/>
    <row r="1262" customFormat="1" ht="12" customHeight="1"/>
    <row r="1263" customFormat="1" ht="12" customHeight="1"/>
    <row r="1264" customFormat="1" ht="12" customHeight="1"/>
    <row r="1265" customFormat="1" ht="12" customHeight="1"/>
    <row r="1266" customFormat="1" ht="12" customHeight="1"/>
    <row r="1267" customFormat="1" ht="12" customHeight="1"/>
    <row r="1268" customFormat="1" ht="12" customHeight="1"/>
    <row r="1269" customFormat="1" ht="12" customHeight="1"/>
    <row r="1270" customFormat="1" ht="12" customHeight="1"/>
    <row r="1271" customFormat="1" ht="12" customHeight="1"/>
    <row r="1272" customFormat="1" ht="12" customHeight="1"/>
    <row r="1273" customFormat="1" ht="12" customHeight="1"/>
    <row r="1274" customFormat="1" ht="12" customHeight="1"/>
    <row r="1275" customFormat="1" ht="12" customHeight="1"/>
    <row r="1276" customFormat="1" ht="12" customHeight="1"/>
    <row r="1277" customFormat="1" ht="12" customHeight="1"/>
    <row r="1278" customFormat="1" ht="12" customHeight="1"/>
    <row r="1279" customFormat="1" ht="12" customHeight="1"/>
    <row r="1280" customFormat="1" ht="12" customHeight="1"/>
    <row r="1281" customFormat="1" ht="12" customHeight="1"/>
    <row r="1282" customFormat="1" ht="12" customHeight="1"/>
    <row r="1283" customFormat="1" ht="12" customHeight="1"/>
    <row r="1284" customFormat="1" ht="12" customHeight="1"/>
    <row r="1285" customFormat="1" ht="12" customHeight="1"/>
    <row r="1286" customFormat="1" ht="12" customHeight="1"/>
    <row r="1287" customFormat="1" ht="12" customHeight="1"/>
    <row r="1288" customFormat="1" ht="12" customHeight="1"/>
    <row r="1289" customFormat="1" ht="12" customHeight="1"/>
    <row r="1290" customFormat="1" ht="12" customHeight="1"/>
    <row r="1291" customFormat="1" ht="12" customHeight="1"/>
    <row r="1292" customFormat="1" ht="12" customHeight="1"/>
    <row r="1293" customFormat="1" ht="12" customHeight="1"/>
    <row r="1294" customFormat="1" ht="12" customHeight="1"/>
    <row r="1295" customFormat="1" ht="12" customHeight="1"/>
    <row r="1296" customFormat="1" ht="12" customHeight="1"/>
    <row r="1297" customFormat="1" ht="12" customHeight="1"/>
    <row r="1298" customFormat="1" ht="12" customHeight="1"/>
    <row r="1299" customFormat="1" ht="12" customHeight="1"/>
    <row r="1300" customFormat="1" ht="15" customHeight="1"/>
    <row r="1301" customFormat="1" ht="15" customHeight="1"/>
    <row r="1302" customFormat="1" ht="15" customHeight="1"/>
    <row r="1303" customFormat="1" ht="15" customHeight="1"/>
    <row r="1304" customFormat="1" ht="15" customHeight="1"/>
    <row r="1305" customFormat="1" ht="15" customHeight="1"/>
    <row r="1306" customFormat="1" ht="12" customHeight="1"/>
    <row r="1307" customFormat="1" ht="15" customHeight="1"/>
    <row r="1308" customFormat="1" ht="15" customHeight="1"/>
    <row r="1309" customFormat="1" ht="15" customHeight="1"/>
    <row r="1310" customFormat="1" ht="15" customHeight="1"/>
    <row r="1311" customFormat="1" ht="15" customHeight="1"/>
    <row r="1312" customFormat="1" ht="15" customHeight="1"/>
    <row r="1313" customFormat="1" ht="15" customHeight="1"/>
    <row r="1314" customFormat="1" ht="15" customHeight="1"/>
    <row r="1315" customFormat="1" ht="15" customHeight="1"/>
    <row r="1316" customFormat="1" ht="15" customHeight="1"/>
    <row r="1317" customFormat="1" ht="15" customHeight="1"/>
    <row r="1318" customFormat="1" ht="15" customHeight="1"/>
    <row r="1319" customFormat="1" ht="15" customHeight="1"/>
    <row r="1320" customFormat="1" ht="15" customHeight="1"/>
    <row r="1321" customFormat="1" ht="15" customHeight="1"/>
    <row r="1322" customFormat="1" ht="15" customHeight="1"/>
    <row r="1323" customFormat="1" ht="15" customHeight="1"/>
    <row r="1324" customFormat="1" ht="15" customHeight="1"/>
    <row r="1325" customFormat="1" ht="15" customHeight="1"/>
    <row r="1326" customFormat="1" ht="12" customHeight="1"/>
    <row r="1327" customFormat="1" ht="15" customHeight="1"/>
    <row r="1328" customFormat="1" ht="12" customHeight="1"/>
    <row r="1329" customFormat="1" ht="15" customHeight="1"/>
    <row r="1330" customFormat="1" ht="15" customHeight="1"/>
    <row r="1331" customFormat="1" ht="15" customHeight="1"/>
    <row r="1332" customFormat="1" ht="15" customHeight="1"/>
    <row r="1333" customFormat="1" ht="15" customHeight="1"/>
    <row r="1334" customFormat="1" ht="15" customHeight="1"/>
    <row r="1335" customFormat="1" ht="15" customHeight="1"/>
    <row r="1336" customFormat="1" ht="15" customHeight="1"/>
    <row r="1337" customFormat="1" ht="15" customHeight="1"/>
    <row r="1338" customFormat="1" ht="15" customHeight="1"/>
    <row r="1339" customFormat="1" ht="12"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2" customHeight="1"/>
    <row r="1350" customFormat="1" ht="15" customHeight="1"/>
    <row r="1351" customFormat="1" ht="12" customHeight="1"/>
    <row r="1352" customFormat="1" ht="15" customHeight="1"/>
    <row r="1353" customFormat="1" ht="15" customHeight="1"/>
    <row r="1354" customFormat="1" ht="15" customHeight="1"/>
    <row r="1355" customFormat="1" ht="15" customHeight="1"/>
    <row r="1356" customFormat="1" ht="15" customHeight="1"/>
    <row r="1357" customFormat="1" ht="15" customHeight="1"/>
    <row r="1358" customFormat="1" ht="15" customHeight="1"/>
    <row r="1359" customFormat="1" ht="15" customHeight="1"/>
    <row r="1360" customFormat="1" ht="12"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2" customHeight="1"/>
    <row r="1375" customFormat="1" ht="15" customHeight="1"/>
    <row r="1376" customFormat="1" ht="15" customHeight="1"/>
    <row r="1384" ht="12" customHeight="1"/>
    <row r="1393" customFormat="1" ht="15" customHeight="1"/>
    <row r="1394" customFormat="1" ht="15"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2" customHeight="1"/>
    <row r="1412" customFormat="1" ht="12" customHeight="1"/>
    <row r="1413" customFormat="1" ht="12" customHeight="1"/>
    <row r="1414" customFormat="1" ht="12" customHeight="1"/>
    <row r="1415" customFormat="1" ht="12" customHeight="1"/>
    <row r="1416" customFormat="1" ht="12" customHeight="1"/>
    <row r="1417" customFormat="1" ht="12" customHeight="1"/>
    <row r="1418" customFormat="1" ht="12" customHeight="1"/>
    <row r="1419" customFormat="1" ht="12" customHeight="1"/>
    <row r="1420" customFormat="1" ht="12" customHeight="1"/>
    <row r="1421" customFormat="1" ht="12" customHeight="1"/>
    <row r="1422" customFormat="1" ht="12" customHeight="1"/>
    <row r="1423" customFormat="1" ht="12" customHeight="1"/>
    <row r="1424" customFormat="1" ht="12"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2"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2"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5" customHeight="1"/>
    <row r="1486" customFormat="1" ht="15" customHeight="1"/>
    <row r="1487" customFormat="1" ht="15" customHeight="1"/>
    <row r="1488" customFormat="1" ht="12" customHeight="1"/>
    <row r="1490" ht="12" customHeight="1"/>
    <row r="1499" ht="12"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2" customHeight="1"/>
    <row r="1529" customFormat="1" ht="12" customHeight="1"/>
    <row r="1530" customFormat="1" ht="12" customHeight="1"/>
    <row r="1531" customFormat="1" ht="12" customHeight="1"/>
    <row r="1532" customFormat="1" ht="12" customHeight="1"/>
    <row r="1533" customFormat="1" ht="12" customHeight="1"/>
    <row r="1534" customFormat="1" ht="12" customHeight="1"/>
    <row r="1535" customFormat="1" ht="12" customHeight="1"/>
    <row r="1536" customFormat="1" ht="12" customHeight="1"/>
    <row r="1537" customFormat="1" ht="12" customHeight="1"/>
    <row r="1538" customFormat="1" ht="12" customHeight="1"/>
    <row r="1539" customFormat="1" ht="12" customHeight="1"/>
    <row r="1540" customFormat="1" ht="12" customHeight="1"/>
    <row r="1541" customFormat="1" ht="12" customHeight="1"/>
    <row r="1542" customFormat="1" ht="12" customHeight="1"/>
    <row r="1543" customFormat="1" ht="12" customHeight="1"/>
    <row r="1544" customFormat="1" ht="12" customHeight="1"/>
    <row r="1545" customFormat="1" ht="12" customHeight="1"/>
    <row r="1546" customFormat="1" ht="12" customHeight="1"/>
    <row r="1547" customFormat="1" ht="12" customHeight="1"/>
    <row r="1548" customFormat="1" ht="12" customHeight="1"/>
    <row r="1549" customFormat="1" ht="12" customHeight="1"/>
    <row r="1550" customFormat="1" ht="12" customHeight="1"/>
    <row r="1551" customFormat="1" ht="12" customHeight="1"/>
    <row r="1552" customFormat="1" ht="12" customHeight="1"/>
    <row r="1553" customFormat="1" ht="12" customHeight="1"/>
    <row r="1554" customFormat="1" ht="12" customHeight="1"/>
    <row r="1555" customFormat="1" ht="12" customHeight="1"/>
    <row r="1556" customFormat="1" ht="12" customHeight="1"/>
    <row r="1557" customFormat="1" ht="12" customHeight="1"/>
    <row r="1558" customFormat="1" ht="12" customHeight="1"/>
    <row r="1559" customFormat="1" ht="12" customHeight="1"/>
    <row r="1560" customFormat="1" ht="12" customHeight="1"/>
    <row r="1561" customFormat="1" ht="12" customHeight="1"/>
    <row r="1562" customFormat="1" ht="12" customHeight="1"/>
    <row r="1563" customFormat="1" ht="12" customHeight="1"/>
    <row r="1564" customFormat="1" ht="12" customHeight="1"/>
    <row r="1565" customFormat="1" ht="12" customHeight="1"/>
    <row r="1566" customFormat="1" ht="12" customHeight="1"/>
    <row r="1567" customFormat="1" ht="12" customHeight="1"/>
    <row r="1568" customFormat="1" ht="12" customHeight="1"/>
    <row r="1569" customFormat="1" ht="12" customHeight="1"/>
    <row r="1570" customFormat="1" ht="12" customHeight="1"/>
    <row r="1571" customFormat="1" ht="12" customHeight="1"/>
    <row r="1572" customFormat="1" ht="12" customHeight="1"/>
    <row r="1573" customFormat="1" ht="12" customHeight="1"/>
    <row r="1574" customFormat="1" ht="12"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2" customHeight="1"/>
    <row r="1582" customFormat="1" ht="15" customHeight="1"/>
    <row r="1583" customFormat="1" ht="15" customHeight="1"/>
    <row r="1584" customFormat="1" ht="15" customHeight="1"/>
    <row r="1585" customFormat="1" ht="15" customHeight="1"/>
    <row r="1586" customFormat="1" ht="12" customHeight="1"/>
    <row r="1587" customFormat="1" ht="15" customHeight="1"/>
    <row r="1588" customFormat="1" ht="15" customHeight="1"/>
    <row r="1589" customFormat="1" ht="15" customHeight="1"/>
    <row r="1590" customFormat="1" ht="15" customHeight="1"/>
    <row r="1591" customFormat="1" ht="12" customHeight="1"/>
    <row r="1592" customFormat="1" ht="15" customHeight="1"/>
    <row r="1593" customFormat="1" ht="12" customHeight="1"/>
    <row r="1594" customFormat="1" ht="15" customHeight="1"/>
    <row r="1595" customFormat="1" ht="15" customHeight="1"/>
    <row r="1596" customFormat="1" ht="15" customHeight="1"/>
    <row r="1597" customFormat="1" ht="15" customHeight="1"/>
    <row r="1598" customFormat="1" ht="12" customHeight="1"/>
    <row r="1599" customFormat="1" ht="15" customHeight="1"/>
    <row r="1600" customFormat="1" ht="15" customHeight="1"/>
    <row r="1612" ht="12" customHeight="1"/>
    <row r="1613" ht="12" customHeight="1"/>
    <row r="1614" ht="12" customHeight="1"/>
    <row r="1615" ht="12" customHeight="1"/>
    <row r="1616"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2"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2" customHeight="1"/>
    <row r="1666" customFormat="1" ht="15" customHeight="1"/>
    <row r="1667" customFormat="1" ht="12" customHeight="1"/>
    <row r="1668" customFormat="1" ht="12"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5" customHeight="1"/>
    <row r="1685" customFormat="1" ht="15" customHeight="1"/>
    <row r="1686" customFormat="1" ht="12" customHeight="1"/>
    <row r="1687" customFormat="1" ht="15" customHeight="1"/>
    <row r="1688" customFormat="1" ht="12"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ht="12"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2" customHeight="1"/>
    <row r="1729" customFormat="1" ht="12" customHeight="1"/>
    <row r="1730" customFormat="1" ht="12" customHeight="1"/>
    <row r="1731" customFormat="1" ht="12" customHeight="1"/>
    <row r="1732" customFormat="1" ht="12" customHeight="1"/>
    <row r="1733" customFormat="1" ht="12" customHeight="1"/>
    <row r="1734" customFormat="1" ht="12" customHeight="1"/>
    <row r="1735" customFormat="1" ht="12" customHeight="1"/>
    <row r="1736" customFormat="1" ht="12" customHeight="1"/>
    <row r="1737" customFormat="1" ht="12" customHeight="1"/>
    <row r="1738" customFormat="1" ht="12" customHeight="1"/>
    <row r="1739" customFormat="1" ht="12" customHeight="1"/>
    <row r="1740" customFormat="1" ht="12" customHeight="1"/>
    <row r="1741" customFormat="1" ht="12" customHeight="1"/>
    <row r="1742" customFormat="1" ht="12" customHeight="1"/>
    <row r="1743" customFormat="1" ht="12" customHeight="1"/>
    <row r="1744" customFormat="1" ht="12" customHeight="1"/>
    <row r="1745" customFormat="1" ht="12" customHeight="1"/>
    <row r="1746" customFormat="1" ht="12" customHeight="1"/>
    <row r="1747" customFormat="1" ht="12" customHeight="1"/>
    <row r="1748" customFormat="1" ht="12" customHeight="1"/>
    <row r="1749" customFormat="1" ht="12" customHeight="1"/>
    <row r="1750" customFormat="1" ht="12" customHeight="1"/>
    <row r="1751" customFormat="1" ht="12" customHeight="1"/>
    <row r="1752" customFormat="1" ht="12" customHeight="1"/>
    <row r="1753" customFormat="1" ht="12" customHeight="1"/>
    <row r="1754" customFormat="1" ht="12" customHeight="1"/>
    <row r="1755" customFormat="1" ht="12" customHeight="1"/>
    <row r="1756" customFormat="1" ht="12" customHeight="1"/>
    <row r="1757" customFormat="1" ht="12" customHeight="1"/>
    <row r="1758" customFormat="1" ht="12" customHeight="1"/>
    <row r="1759" customFormat="1" ht="12" customHeight="1"/>
    <row r="1760" customFormat="1" ht="12" customHeight="1"/>
    <row r="1761" customFormat="1" ht="12" customHeight="1"/>
    <row r="1762" customFormat="1" ht="12" customHeight="1"/>
    <row r="1763" customFormat="1" ht="12" customHeight="1"/>
    <row r="1764" customFormat="1" ht="12" customHeight="1"/>
    <row r="1765" customFormat="1" ht="12" customHeight="1"/>
    <row r="1766" customFormat="1" ht="12" customHeight="1"/>
    <row r="1767" customFormat="1" ht="12" customHeight="1"/>
    <row r="1768" customFormat="1" ht="12" customHeight="1"/>
    <row r="1769" customFormat="1" ht="12" customHeight="1"/>
    <row r="1770" customFormat="1" ht="12" customHeight="1"/>
    <row r="1771" customFormat="1" ht="12" customHeight="1"/>
    <row r="1772" customFormat="1" ht="12" customHeight="1"/>
    <row r="1773" customFormat="1" ht="12" customHeight="1"/>
    <row r="1774" customFormat="1" ht="12" customHeight="1"/>
    <row r="1775" customFormat="1" ht="12" customHeight="1"/>
    <row r="1776" customFormat="1" ht="12" customHeight="1"/>
    <row r="1777" customFormat="1" ht="12" customHeight="1"/>
    <row r="1778" customFormat="1" ht="12" customHeight="1"/>
    <row r="1779" customFormat="1" ht="12" customHeight="1"/>
    <row r="1780" customFormat="1" ht="12" customHeight="1"/>
    <row r="1781" customFormat="1" ht="12" customHeight="1"/>
    <row r="1782" customFormat="1" ht="12" customHeight="1"/>
    <row r="1783" customFormat="1" ht="12" customHeight="1"/>
    <row r="1784" customFormat="1" ht="12" customHeight="1"/>
    <row r="1785" customFormat="1" ht="12" customHeight="1"/>
    <row r="1786" customFormat="1" ht="12" customHeight="1"/>
    <row r="1787" customFormat="1" ht="12" customHeight="1"/>
    <row r="1788" customFormat="1" ht="12" customHeight="1"/>
    <row r="1789" customFormat="1" ht="12" customHeight="1"/>
    <row r="1790" customFormat="1" ht="12" customHeight="1"/>
    <row r="1791" customFormat="1" ht="12" customHeight="1"/>
    <row r="1792" customFormat="1" ht="12" customHeight="1"/>
    <row r="1793" customFormat="1" ht="12" customHeight="1"/>
    <row r="1794" customFormat="1" ht="12" customHeight="1"/>
    <row r="1795" customFormat="1" ht="12" customHeight="1"/>
    <row r="1796" customFormat="1" ht="12" customHeight="1"/>
    <row r="1797" customFormat="1" ht="12" customHeight="1"/>
    <row r="1798" customFormat="1" ht="12" customHeight="1"/>
    <row r="1799" customFormat="1" ht="12" customHeight="1"/>
    <row r="1800" customFormat="1" ht="12" customHeight="1"/>
    <row r="1801" customFormat="1" ht="12" customHeight="1"/>
    <row r="1802" customFormat="1" ht="12" customHeight="1"/>
    <row r="1803" customFormat="1" ht="12" customHeight="1"/>
    <row r="1804" customFormat="1" ht="12" customHeight="1"/>
    <row r="1805" customFormat="1" ht="12" customHeight="1"/>
    <row r="1806" customFormat="1" ht="12" customHeight="1"/>
    <row r="1807" customFormat="1" ht="12" customHeight="1"/>
    <row r="1808" customFormat="1" ht="12" customHeight="1"/>
    <row r="1809" customFormat="1" ht="12" customHeight="1"/>
    <row r="1810" customFormat="1" ht="12" customHeight="1"/>
    <row r="1811" customFormat="1" ht="12" customHeight="1"/>
    <row r="1812" customFormat="1" ht="12" customHeight="1"/>
    <row r="1813" customFormat="1" ht="12" customHeight="1"/>
    <row r="1814" customFormat="1" ht="12" customHeight="1"/>
    <row r="1815" customFormat="1" ht="12" customHeight="1"/>
    <row r="1816" customFormat="1" ht="12" customHeight="1"/>
    <row r="1817" customFormat="1" ht="12" customHeight="1"/>
    <row r="1818" customFormat="1" ht="12" customHeight="1"/>
    <row r="1819" customFormat="1" ht="12" customHeight="1"/>
    <row r="1820" customFormat="1" ht="12" customHeight="1"/>
    <row r="1821" customFormat="1" ht="12" customHeight="1"/>
    <row r="1822" customFormat="1" ht="12" customHeight="1"/>
    <row r="1823" customFormat="1" ht="12" customHeight="1"/>
    <row r="1824" customFormat="1" ht="12" customHeight="1"/>
    <row r="1825" customFormat="1" ht="12" customHeight="1"/>
    <row r="1826" customFormat="1" ht="12" customHeight="1"/>
    <row r="1827" customFormat="1" ht="12" customHeight="1"/>
    <row r="1828" customFormat="1" ht="12" customHeight="1"/>
    <row r="1829" customFormat="1" ht="12" customHeight="1"/>
    <row r="1830" customFormat="1" ht="12" customHeight="1"/>
    <row r="1831" customFormat="1" ht="12" customHeight="1"/>
    <row r="1832" customFormat="1" ht="12" customHeight="1"/>
    <row r="1833" customFormat="1" ht="12" customHeight="1"/>
    <row r="1834" customFormat="1" ht="12" customHeight="1"/>
    <row r="1835" customFormat="1" ht="12" customHeight="1"/>
    <row r="1836" customFormat="1" ht="12" customHeight="1"/>
    <row r="1837" customFormat="1" ht="12" customHeight="1"/>
    <row r="1838" customFormat="1" ht="12" customHeight="1"/>
    <row r="1839" customFormat="1" ht="12" customHeight="1"/>
    <row r="1840" customFormat="1" ht="12" customHeight="1"/>
    <row r="1841" customFormat="1" ht="12" customHeight="1"/>
    <row r="1842" customFormat="1" ht="12" customHeight="1"/>
    <row r="1843" customFormat="1" ht="12" customHeight="1"/>
    <row r="1844" customFormat="1" ht="12" customHeight="1"/>
    <row r="1845" customFormat="1" ht="12" customHeight="1"/>
    <row r="1846" customFormat="1" ht="12" customHeight="1"/>
    <row r="1847" customFormat="1" ht="12" customHeight="1"/>
    <row r="1848" customFormat="1" ht="12" customHeight="1"/>
    <row r="1849" customFormat="1" ht="12"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2" customHeight="1"/>
    <row r="1861" customFormat="1" ht="15" customHeight="1"/>
    <row r="1862" customFormat="1" ht="12" customHeight="1"/>
    <row r="1863" customFormat="1" ht="15" customHeight="1"/>
    <row r="1864" customFormat="1" ht="15" customHeight="1"/>
    <row r="1865" customFormat="1" ht="15" customHeight="1"/>
    <row r="1866" customFormat="1" ht="12" customHeight="1"/>
    <row r="1867" customFormat="1" ht="15" customHeight="1"/>
    <row r="1868" customFormat="1" ht="15" customHeight="1"/>
    <row r="1869" customFormat="1" ht="15" customHeight="1"/>
    <row r="1870" customFormat="1" ht="15" customHeight="1"/>
    <row r="1871" customFormat="1" ht="12" customHeight="1"/>
    <row r="1872" customFormat="1" ht="15" customHeight="1"/>
    <row r="1873" customFormat="1" ht="15" customHeight="1"/>
    <row r="1874" customFormat="1" ht="15" customHeight="1"/>
    <row r="1875" customFormat="1" ht="15" customHeight="1"/>
    <row r="1876" customFormat="1" ht="15" customHeight="1"/>
    <row r="1877" customFormat="1" ht="12"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2" customHeight="1"/>
    <row r="1888" customFormat="1" ht="15" customHeight="1"/>
    <row r="1889" customFormat="1" ht="15" customHeight="1"/>
    <row r="1890" customFormat="1" ht="15" customHeight="1"/>
    <row r="1891" customFormat="1" ht="15" customHeight="1"/>
    <row r="1892" customFormat="1" ht="12"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2" customHeight="1"/>
    <row r="1902" customFormat="1" ht="12" customHeight="1"/>
    <row r="1903" customFormat="1" ht="15" customHeight="1"/>
    <row r="1904" customFormat="1" ht="15" customHeight="1"/>
    <row r="1905" customFormat="1" ht="15" customHeight="1"/>
    <row r="1906" customFormat="1" ht="15" customHeight="1"/>
    <row r="1907" customFormat="1" ht="15" customHeight="1"/>
    <row r="1908" customFormat="1" ht="12" customHeight="1"/>
    <row r="1909" customFormat="1" ht="15" customHeight="1"/>
    <row r="1910" customFormat="1" ht="15" customHeight="1"/>
    <row r="1911" customFormat="1" ht="15" customHeight="1"/>
    <row r="1912" customFormat="1" ht="15" customHeight="1"/>
    <row r="1913" customFormat="1" ht="15" customHeight="1"/>
    <row r="1914" customFormat="1" ht="12" customHeight="1"/>
    <row r="1915" customFormat="1" ht="15" customHeight="1"/>
    <row r="1916" customFormat="1" ht="15" customHeight="1"/>
    <row r="1917" customFormat="1" ht="15" customHeight="1"/>
    <row r="1918" customFormat="1" ht="12" customHeight="1"/>
    <row r="1919" customFormat="1" ht="15" customHeight="1"/>
    <row r="1920" customFormat="1" ht="15" customHeight="1"/>
    <row r="1921" customFormat="1" ht="15" customHeight="1"/>
    <row r="1922" customFormat="1" ht="15" customHeight="1"/>
    <row r="1923" customFormat="1" ht="12"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2" customHeight="1"/>
    <row r="1933" customFormat="1" ht="15" customHeight="1"/>
    <row r="1934" customFormat="1" ht="15" customHeight="1"/>
    <row r="1935" customFormat="1" ht="15" customHeight="1"/>
    <row r="1936" customFormat="1" ht="12" customHeight="1"/>
    <row r="1953" customFormat="1" ht="15" customHeight="1"/>
    <row r="1954" customFormat="1" ht="15" customHeight="1"/>
    <row r="1955" customFormat="1" ht="15" customHeight="1"/>
    <row r="1956" customFormat="1" ht="12" customHeight="1"/>
    <row r="1957" customFormat="1" ht="12" customHeight="1"/>
    <row r="1958" customFormat="1" ht="12" customHeight="1"/>
    <row r="1959" customFormat="1" ht="12" customHeight="1"/>
    <row r="1960" customFormat="1" ht="12" customHeight="1"/>
    <row r="1961" customFormat="1" ht="12" customHeight="1"/>
    <row r="1962" customFormat="1" ht="12" customHeight="1"/>
    <row r="1963" customFormat="1" ht="12" customHeight="1"/>
    <row r="1964" customFormat="1" ht="12" customHeight="1"/>
    <row r="1965" customFormat="1" ht="12" customHeight="1"/>
    <row r="1966" customFormat="1" ht="12" customHeight="1"/>
    <row r="1967" customFormat="1" ht="12" customHeight="1"/>
    <row r="1968" customFormat="1" ht="12" customHeight="1"/>
    <row r="1969" customFormat="1" ht="12" customHeight="1"/>
    <row r="1970" customFormat="1" ht="12" customHeight="1"/>
    <row r="1971" customFormat="1" ht="12" customHeight="1"/>
    <row r="1972" customFormat="1" ht="12" customHeight="1"/>
    <row r="1973" customFormat="1" ht="12" customHeight="1"/>
    <row r="1974" customFormat="1" ht="12"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2" customHeight="1"/>
    <row r="1984" customFormat="1" ht="15" customHeight="1"/>
    <row r="1985" customFormat="1" ht="15" customHeight="1"/>
    <row r="1986" customFormat="1" ht="15" customHeight="1"/>
    <row r="1987" customFormat="1" ht="12" customHeight="1"/>
    <row r="1988" customFormat="1" ht="15" customHeight="1"/>
    <row r="1989" customFormat="1" ht="12"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2" customHeight="1"/>
    <row r="2004" customFormat="1" ht="15" customHeight="1"/>
    <row r="2005" customFormat="1" ht="12" customHeight="1"/>
    <row r="2006" customFormat="1" ht="15" customHeight="1"/>
    <row r="2007" customFormat="1" ht="12" customHeight="1"/>
    <row r="2008" customFormat="1" ht="15" customHeight="1"/>
    <row r="2009" customFormat="1" ht="15" customHeight="1"/>
    <row r="2010" customFormat="1" ht="12"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21" ht="12"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2" customHeight="1"/>
    <row r="2055" customFormat="1" ht="12" customHeight="1"/>
    <row r="2056" customFormat="1" ht="12" customHeight="1"/>
    <row r="2057" customFormat="1" ht="12" customHeight="1"/>
    <row r="2058" customFormat="1" ht="12" customHeight="1"/>
    <row r="2059" customFormat="1" ht="12" customHeight="1"/>
    <row r="2060" customFormat="1" ht="12" customHeight="1"/>
    <row r="2061" customFormat="1" ht="12" customHeight="1"/>
    <row r="2062" customFormat="1" ht="12" customHeight="1"/>
    <row r="2063" customFormat="1" ht="12" customHeight="1"/>
    <row r="2064" customFormat="1" ht="12" customHeight="1"/>
    <row r="2065" customFormat="1" ht="12" customHeight="1"/>
    <row r="2066" customFormat="1" ht="12" customHeight="1"/>
    <row r="2067" customFormat="1" ht="12" customHeight="1"/>
    <row r="2068" customFormat="1" ht="12" customHeight="1"/>
    <row r="2069" customFormat="1" ht="12" customHeight="1"/>
    <row r="2070" customFormat="1" ht="12" customHeight="1"/>
    <row r="2071" customFormat="1" ht="12" customHeight="1"/>
    <row r="2072" customFormat="1" ht="12" customHeight="1"/>
    <row r="2073" customFormat="1" ht="12" customHeight="1"/>
    <row r="2074" customFormat="1" ht="12" customHeight="1"/>
    <row r="2075" customFormat="1" ht="12" customHeight="1"/>
    <row r="2076" customFormat="1" ht="12" customHeight="1"/>
    <row r="2077" customFormat="1" ht="12" customHeight="1"/>
    <row r="2078" customFormat="1" ht="12" customHeight="1"/>
    <row r="2079" customFormat="1" ht="12" customHeight="1"/>
    <row r="2080" customFormat="1" ht="12" customHeight="1"/>
    <row r="2081" customFormat="1" ht="12" customHeight="1"/>
    <row r="2082" customFormat="1" ht="12" customHeight="1"/>
    <row r="2083" customFormat="1" ht="12" customHeight="1"/>
    <row r="2084" customFormat="1" ht="12" customHeight="1"/>
    <row r="2085" customFormat="1" ht="12" customHeight="1"/>
    <row r="2086" customFormat="1" ht="12" customHeight="1"/>
    <row r="2087" customFormat="1" ht="12" customHeight="1"/>
    <row r="2088" customFormat="1" ht="12" customHeight="1"/>
    <row r="2089" customFormat="1" ht="12" customHeight="1"/>
    <row r="2090" customFormat="1" ht="12" customHeight="1"/>
    <row r="2091" customFormat="1" ht="12" customHeight="1"/>
    <row r="2092" customFormat="1" ht="12" customHeight="1"/>
    <row r="2093" customFormat="1" ht="12" customHeight="1"/>
    <row r="2094" customFormat="1" ht="12" customHeight="1"/>
    <row r="2095" customFormat="1" ht="12" customHeight="1"/>
    <row r="2096" customFormat="1" ht="12" customHeight="1"/>
    <row r="2097" customFormat="1" ht="12" customHeight="1"/>
    <row r="2098" customFormat="1" ht="12" customHeight="1"/>
    <row r="2099" customFormat="1" ht="12" customHeight="1"/>
    <row r="2100" customFormat="1" ht="15" customHeight="1"/>
    <row r="2101" customFormat="1" ht="15" customHeight="1"/>
    <row r="2102" customFormat="1" ht="15" customHeight="1"/>
    <row r="2103" customFormat="1" ht="15" customHeight="1"/>
    <row r="2104" customFormat="1" ht="15" customHeight="1"/>
    <row r="2105" customFormat="1" ht="15" customHeight="1"/>
    <row r="2106" customFormat="1" ht="12" customHeight="1"/>
    <row r="2107" customFormat="1" ht="15" customHeight="1"/>
    <row r="2108" customFormat="1" ht="15" customHeight="1"/>
    <row r="2109" customFormat="1" ht="12" customHeight="1"/>
    <row r="2110" customFormat="1" ht="15" customHeight="1"/>
    <row r="2111" customFormat="1" ht="15" customHeight="1"/>
    <row r="2112" customFormat="1" ht="15" customHeight="1"/>
    <row r="2113" customFormat="1" ht="15" customHeight="1"/>
    <row r="2114" customFormat="1" ht="15" customHeight="1"/>
    <row r="2115" customFormat="1" ht="15" customHeight="1"/>
    <row r="2116" customFormat="1" ht="15" customHeight="1"/>
    <row r="2117" customFormat="1" ht="15" customHeight="1"/>
    <row r="2118" customFormat="1" ht="15" customHeight="1"/>
    <row r="2119" customFormat="1" ht="15" customHeight="1"/>
    <row r="2120" customFormat="1" ht="15" customHeight="1"/>
    <row r="2121" customFormat="1" ht="15" customHeight="1"/>
    <row r="2122" customFormat="1" ht="15" customHeight="1"/>
    <row r="2123" customFormat="1" ht="12" customHeight="1"/>
    <row r="2124" customFormat="1" ht="15" customHeight="1"/>
    <row r="2125" customFormat="1" ht="15" customHeight="1"/>
    <row r="2126" customFormat="1" ht="15" customHeight="1"/>
    <row r="2127" customFormat="1" ht="15" customHeight="1"/>
    <row r="2128" customFormat="1" ht="15" customHeight="1"/>
    <row r="2129" customFormat="1" ht="15" customHeight="1"/>
    <row r="2130" customFormat="1" ht="12" customHeight="1"/>
    <row r="2131" customFormat="1" ht="15" customHeight="1"/>
    <row r="2132" customFormat="1" ht="12" customHeight="1"/>
    <row r="2133" customFormat="1" ht="15" customHeight="1"/>
    <row r="2134" customFormat="1" ht="15" customHeight="1"/>
    <row r="2135" customFormat="1" ht="12" customHeight="1"/>
    <row r="2136" customFormat="1" ht="15" customHeight="1"/>
    <row r="2137" customFormat="1" ht="15" customHeight="1"/>
    <row r="2138" customFormat="1" ht="15" customHeight="1"/>
    <row r="2139" customFormat="1" ht="15" customHeight="1"/>
    <row r="2140" customFormat="1" ht="15" customHeight="1"/>
    <row r="2141" customFormat="1" ht="15" customHeight="1"/>
    <row r="2142" customFormat="1" ht="15" customHeight="1"/>
    <row r="2143" customFormat="1" ht="15" customHeight="1"/>
    <row r="2144" customFormat="1" ht="15" customHeight="1"/>
    <row r="2147" ht="12" customHeight="1"/>
    <row r="2149" ht="12" customHeight="1"/>
    <row r="2150" ht="12" customHeight="1"/>
    <row r="2161" customFormat="1" ht="15" customHeight="1"/>
    <row r="2162" customFormat="1" ht="15" customHeight="1"/>
    <row r="2163" customFormat="1" ht="12" customHeight="1"/>
    <row r="2164" customFormat="1" ht="12" customHeight="1"/>
    <row r="2165" customFormat="1" ht="12" customHeight="1"/>
    <row r="2166" customFormat="1" ht="12" customHeight="1"/>
    <row r="2167" customFormat="1" ht="12" customHeight="1"/>
    <row r="2168" customFormat="1" ht="12" customHeight="1"/>
    <row r="2169" customFormat="1" ht="12" customHeight="1"/>
    <row r="2170" customFormat="1" ht="12" customHeight="1"/>
    <row r="2171" customFormat="1" ht="12" customHeight="1"/>
    <row r="2172" customFormat="1" ht="12" customHeight="1"/>
    <row r="2173" customFormat="1" ht="12" customHeight="1"/>
    <row r="2174" customFormat="1" ht="12" customHeight="1"/>
    <row r="2175" customFormat="1" ht="12" customHeight="1"/>
    <row r="2176" customFormat="1" ht="12" customHeight="1"/>
    <row r="2177" customFormat="1" ht="12" customHeight="1"/>
    <row r="2178" customFormat="1" ht="12" customHeight="1"/>
    <row r="2179" customFormat="1" ht="12" customHeight="1"/>
    <row r="2180" customFormat="1" ht="12" customHeight="1"/>
    <row r="2181" customFormat="1" ht="12" customHeight="1"/>
    <row r="2182" customFormat="1" ht="12" customHeight="1"/>
    <row r="2183" customFormat="1" ht="12" customHeight="1"/>
    <row r="2184" customFormat="1" ht="12" customHeight="1"/>
    <row r="2185" customFormat="1" ht="12" customHeight="1"/>
    <row r="2186" customFormat="1" ht="12" customHeight="1"/>
    <row r="2187" customFormat="1" ht="12" customHeight="1"/>
    <row r="2188" customFormat="1" ht="12" customHeight="1"/>
    <row r="2189" customFormat="1" ht="12" customHeight="1"/>
    <row r="2190" customFormat="1" ht="12" customHeight="1"/>
    <row r="2191" customFormat="1" ht="12" customHeight="1"/>
    <row r="2192" customFormat="1" ht="12" customHeight="1"/>
    <row r="2193" customFormat="1" ht="12" customHeight="1"/>
    <row r="2194" customFormat="1" ht="12" customHeight="1"/>
    <row r="2195" customFormat="1" ht="12" customHeight="1"/>
    <row r="2196" customFormat="1" ht="12" customHeight="1"/>
    <row r="2197" customFormat="1" ht="12" customHeight="1"/>
    <row r="2198" customFormat="1" ht="12" customHeight="1"/>
    <row r="2199" customFormat="1" ht="12" customHeight="1"/>
    <row r="2200" customFormat="1" ht="12" customHeight="1"/>
    <row r="2201" customFormat="1" ht="12" customHeight="1"/>
    <row r="2202" customFormat="1" ht="12" customHeight="1"/>
    <row r="2203" customFormat="1" ht="12" customHeight="1"/>
    <row r="2204" customFormat="1" ht="12" customHeight="1"/>
    <row r="2205" customFormat="1" ht="12" customHeight="1"/>
    <row r="2206" customFormat="1" ht="12" customHeight="1"/>
    <row r="2207" customFormat="1" ht="12" customHeight="1"/>
    <row r="2208" customFormat="1" ht="12" customHeight="1"/>
    <row r="2209" customFormat="1" ht="12" customHeight="1"/>
    <row r="2210" customFormat="1" ht="12" customHeight="1"/>
    <row r="2211" customFormat="1" ht="12" customHeight="1"/>
    <row r="2212" customFormat="1" ht="12" customHeight="1"/>
    <row r="2213" customFormat="1" ht="12" customHeight="1"/>
    <row r="2214" customFormat="1" ht="12" customHeight="1"/>
    <row r="2215" customFormat="1" ht="12" customHeight="1"/>
    <row r="2216" customFormat="1" ht="12" customHeight="1"/>
    <row r="2217" customFormat="1" ht="12" customHeight="1"/>
    <row r="2218" customFormat="1" ht="12" customHeight="1"/>
    <row r="2219" customFormat="1" ht="12" customHeight="1"/>
    <row r="2220" customFormat="1" ht="12" customHeight="1"/>
    <row r="2221" customFormat="1" ht="12" customHeight="1"/>
    <row r="2222" customFormat="1" ht="12" customHeight="1"/>
    <row r="2223" customFormat="1" ht="12" customHeight="1"/>
    <row r="2224" customFormat="1" ht="12" customHeight="1"/>
    <row r="2225" customFormat="1" ht="12" customHeight="1"/>
    <row r="2226" customFormat="1" ht="12" customHeight="1"/>
    <row r="2227" customFormat="1" ht="12" customHeight="1"/>
    <row r="2228" customFormat="1" ht="12" customHeight="1"/>
    <row r="2229" customFormat="1" ht="12" customHeight="1"/>
    <row r="2230" customFormat="1" ht="12" customHeight="1"/>
    <row r="2231" customFormat="1" ht="12" customHeight="1"/>
    <row r="2232" customFormat="1" ht="12" customHeight="1"/>
    <row r="2233" customFormat="1" ht="12" customHeight="1"/>
    <row r="2234" customFormat="1" ht="12" customHeight="1"/>
    <row r="2235" customFormat="1" ht="12" customHeight="1"/>
    <row r="2236" customFormat="1" ht="12" customHeight="1"/>
    <row r="2237" customFormat="1" ht="12" customHeight="1"/>
    <row r="2238" customFormat="1" ht="12" customHeight="1"/>
    <row r="2239" customFormat="1" ht="12" customHeight="1"/>
    <row r="2240" customFormat="1" ht="12" customHeight="1"/>
    <row r="2241" customFormat="1" ht="12" customHeight="1"/>
    <row r="2242" customFormat="1" ht="12" customHeight="1"/>
    <row r="2243" customFormat="1" ht="12" customHeight="1"/>
    <row r="2244" customFormat="1" ht="12" customHeight="1"/>
    <row r="2245" customFormat="1" ht="12" customHeight="1"/>
    <row r="2246" customFormat="1" ht="12" customHeight="1"/>
    <row r="2247" customFormat="1" ht="12" customHeight="1"/>
    <row r="2248" customFormat="1" ht="12" customHeight="1"/>
    <row r="2249" customFormat="1" ht="12"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2" customHeight="1"/>
    <row r="2260" customFormat="1" ht="15" customHeight="1"/>
    <row r="2261" customFormat="1" ht="15" customHeight="1"/>
    <row r="2262" customFormat="1" ht="15" customHeight="1"/>
    <row r="2263" customFormat="1" ht="12" customHeight="1"/>
    <row r="2264" customFormat="1" ht="15" customHeight="1"/>
    <row r="2265" customFormat="1" ht="12" customHeight="1"/>
    <row r="2266" customFormat="1" ht="15" customHeight="1"/>
    <row r="2267" customFormat="1" ht="15" customHeight="1"/>
    <row r="2268" customFormat="1" ht="15" customHeight="1"/>
    <row r="2269" customFormat="1" ht="15" customHeight="1"/>
    <row r="2270" customFormat="1" ht="12" customHeight="1"/>
    <row r="2271" customFormat="1" ht="15" customHeight="1"/>
    <row r="2272" customFormat="1" ht="12"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2" customHeight="1"/>
    <row r="2282" customFormat="1" ht="15" customHeight="1"/>
    <row r="2283" customFormat="1" ht="12" customHeight="1"/>
    <row r="2284" customFormat="1" ht="15" customHeight="1"/>
    <row r="2285" customFormat="1" ht="15" customHeight="1"/>
    <row r="2286" customFormat="1" ht="15" customHeight="1"/>
    <row r="2287" customFormat="1" ht="12"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2" customHeight="1"/>
    <row r="2300" customFormat="1" ht="12" customHeight="1"/>
    <row r="2301" customFormat="1" ht="15" customHeight="1"/>
    <row r="2302" customFormat="1" ht="15" customHeight="1"/>
    <row r="2303" customFormat="1" ht="15" customHeight="1"/>
    <row r="2304" customFormat="1" ht="12"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5" customHeight="1"/>
    <row r="2335" customFormat="1" ht="12" customHeight="1"/>
    <row r="2336" customFormat="1" ht="12" customHeight="1"/>
    <row r="2337" customFormat="1" ht="12" customHeight="1"/>
    <row r="2338" customFormat="1" ht="12" customHeight="1"/>
    <row r="2339" customFormat="1" ht="12" customHeight="1"/>
    <row r="2340" customFormat="1" ht="12" customHeight="1"/>
    <row r="2341" customFormat="1" ht="12" customHeight="1"/>
    <row r="2342" customFormat="1" ht="12" customHeight="1"/>
    <row r="2343" customFormat="1" ht="12" customHeight="1"/>
    <row r="2344" customFormat="1" ht="12" customHeight="1"/>
    <row r="2345" customFormat="1" ht="12" customHeight="1"/>
    <row r="2346" customFormat="1" ht="12" customHeight="1"/>
    <row r="2347" customFormat="1" ht="12" customHeight="1"/>
    <row r="2348" customFormat="1" ht="12" customHeight="1"/>
    <row r="2349" customFormat="1" ht="12"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2"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2"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2"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2" customHeight="1"/>
    <row r="2399" customFormat="1" ht="12"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2"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33" customFormat="1" ht="15" customHeight="1"/>
    <row r="2434" customFormat="1" ht="15" customHeight="1"/>
    <row r="2435" customFormat="1" ht="15" customHeight="1"/>
    <row r="2436" customFormat="1" ht="15" customHeight="1"/>
    <row r="2437" customFormat="1" ht="15" customHeight="1"/>
    <row r="2438" customFormat="1" ht="15"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2" customHeight="1"/>
    <row r="2457" customFormat="1" ht="15" customHeight="1"/>
    <row r="2458" customFormat="1" ht="12" customHeight="1"/>
    <row r="2459" customFormat="1" ht="15" customHeight="1"/>
    <row r="2460" customFormat="1" ht="12" customHeight="1"/>
    <row r="2461" customFormat="1" ht="15" customHeight="1"/>
    <row r="2462" customFormat="1" ht="15" customHeight="1"/>
    <row r="2463" customFormat="1" ht="15" customHeight="1"/>
    <row r="2464" customFormat="1" ht="15" customHeight="1"/>
    <row r="2465" customFormat="1" ht="15" customHeight="1"/>
    <row r="2466" customFormat="1" ht="12" customHeight="1"/>
    <row r="2467" customFormat="1" ht="15" customHeight="1"/>
    <row r="2468" customFormat="1" ht="15" customHeight="1"/>
    <row r="2469" customFormat="1" ht="15" customHeight="1"/>
    <row r="2470" customFormat="1" ht="15" customHeight="1"/>
    <row r="2471" customFormat="1" ht="15" customHeight="1"/>
    <row r="2472" customFormat="1" ht="15" customHeight="1"/>
    <row r="2473" customFormat="1" ht="15" customHeight="1"/>
    <row r="2474" customFormat="1" ht="12"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2" customHeight="1"/>
    <row r="2486" customFormat="1" ht="15" customHeight="1"/>
    <row r="2487" customFormat="1" ht="12" customHeight="1"/>
    <row r="2488" customFormat="1" ht="15" customHeight="1"/>
    <row r="2489" customFormat="1" ht="15" customHeight="1"/>
    <row r="2490" customFormat="1" ht="15" customHeight="1"/>
    <row r="2491" customFormat="1" ht="15" customHeight="1"/>
    <row r="2492" customFormat="1" ht="15" customHeight="1"/>
    <row r="2493" customFormat="1" ht="12" customHeight="1"/>
    <row r="2494" customFormat="1" ht="12" customHeight="1"/>
    <row r="2495" customFormat="1" ht="15" customHeight="1"/>
    <row r="2496" customFormat="1" ht="15" customHeight="1"/>
    <row r="2497" ht="12" customHeight="1"/>
    <row r="2503" ht="12"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5" customHeight="1"/>
    <row r="2527" customFormat="1" ht="15" customHeight="1"/>
    <row r="2528" customFormat="1" ht="15" customHeight="1"/>
    <row r="2529" customFormat="1" ht="15" customHeight="1"/>
    <row r="2530" customFormat="1" ht="15" customHeight="1"/>
    <row r="2531" customFormat="1" ht="12" customHeight="1"/>
    <row r="2532" customFormat="1" ht="12" customHeight="1"/>
    <row r="2533" customFormat="1" ht="12" customHeight="1"/>
    <row r="2534" customFormat="1" ht="12" customHeight="1"/>
    <row r="2535" customFormat="1" ht="12" customHeight="1"/>
    <row r="2536" customFormat="1" ht="12" customHeight="1"/>
    <row r="2537" customFormat="1" ht="12" customHeight="1"/>
    <row r="2538" customFormat="1" ht="12" customHeight="1"/>
    <row r="2539" customFormat="1" ht="12" customHeight="1"/>
    <row r="2540" customFormat="1" ht="12" customHeight="1"/>
    <row r="2541" customFormat="1" ht="12" customHeight="1"/>
    <row r="2542" customFormat="1" ht="12" customHeight="1"/>
    <row r="2543" customFormat="1" ht="12" customHeight="1"/>
    <row r="2544" customFormat="1" ht="12" customHeight="1"/>
    <row r="2545" customFormat="1" ht="12" customHeight="1"/>
    <row r="2546" customFormat="1" ht="12" customHeight="1"/>
    <row r="2547" customFormat="1" ht="12" customHeight="1"/>
    <row r="2548" customFormat="1" ht="12" customHeight="1"/>
    <row r="2549" customFormat="1" ht="12"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2" customHeight="1"/>
    <row r="2561" customFormat="1" ht="15" customHeight="1"/>
    <row r="2562" customFormat="1" ht="15" customHeight="1"/>
    <row r="2563" customFormat="1" ht="15" customHeight="1"/>
    <row r="2564" customFormat="1" ht="15" customHeight="1"/>
    <row r="2565" customFormat="1" ht="15" customHeight="1"/>
    <row r="2566" customFormat="1" ht="15" customHeight="1"/>
    <row r="2567" customFormat="1" ht="12"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2" customHeight="1"/>
    <row r="2575" customFormat="1" ht="15" customHeight="1"/>
    <row r="2576" customFormat="1" ht="15" customHeight="1"/>
    <row r="2577" customFormat="1" ht="15" customHeight="1"/>
    <row r="2578" customFormat="1" ht="15" customHeight="1"/>
    <row r="2579" customFormat="1" ht="15" customHeight="1"/>
    <row r="2580" customFormat="1" ht="12" customHeight="1"/>
    <row r="2581" customFormat="1" ht="15" customHeight="1"/>
    <row r="2582" customFormat="1" ht="15" customHeight="1"/>
    <row r="2583" customFormat="1" ht="15" customHeight="1"/>
    <row r="2584" customFormat="1" ht="15" customHeight="1"/>
    <row r="2585" customFormat="1" ht="15" customHeight="1"/>
    <row r="2586" customFormat="1" ht="15" customHeight="1"/>
    <row r="2587" customFormat="1" ht="12" customHeight="1"/>
    <row r="2588" customFormat="1" ht="15" customHeight="1"/>
    <row r="2589" customFormat="1" ht="15" customHeight="1"/>
    <row r="2590" customFormat="1" ht="15" customHeight="1"/>
    <row r="2591" customFormat="1" ht="15" customHeight="1"/>
    <row r="2592" customFormat="1" ht="15" customHeight="1"/>
    <row r="2594" ht="12"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2" customHeight="1"/>
    <row r="2617" customFormat="1" ht="12" customHeight="1"/>
    <row r="2618" customFormat="1" ht="12" customHeight="1"/>
    <row r="2619" customFormat="1" ht="12" customHeight="1"/>
    <row r="2620" customFormat="1" ht="12" customHeight="1"/>
    <row r="2621" customFormat="1" ht="12" customHeight="1"/>
    <row r="2622" customFormat="1" ht="12" customHeight="1"/>
    <row r="2623" customFormat="1" ht="12" customHeight="1"/>
    <row r="2624" customFormat="1" ht="12"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5"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2"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5" customHeight="1"/>
    <row r="2655" customFormat="1" ht="15" customHeight="1"/>
    <row r="2656" customFormat="1" ht="15" customHeight="1"/>
    <row r="2657" customFormat="1" ht="15" customHeight="1"/>
    <row r="2658" customFormat="1" ht="15" customHeight="1"/>
    <row r="2659" customFormat="1" ht="15" customHeight="1"/>
    <row r="2660" customFormat="1" ht="12" customHeight="1"/>
    <row r="2661" customFormat="1" ht="12"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5"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2" customHeight="1"/>
    <row r="2689" customFormat="1" ht="15" customHeight="1"/>
    <row r="2690" customFormat="1" ht="15"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ht="12" customHeight="1"/>
    <row r="2706" ht="12" customHeight="1"/>
    <row r="2721" customFormat="1" ht="15" customHeight="1"/>
    <row r="2722" customFormat="1" ht="15" customHeight="1"/>
    <row r="2723" customFormat="1" ht="15" customHeight="1"/>
    <row r="2724" customFormat="1" ht="15" customHeight="1"/>
    <row r="2725" customFormat="1" ht="15" customHeight="1"/>
    <row r="2726" customFormat="1" ht="15"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customFormat="1" ht="15" customHeight="1"/>
    <row r="2738" customFormat="1" ht="15" customHeight="1"/>
    <row r="2739" customFormat="1" ht="15" customHeight="1"/>
    <row r="2740" customFormat="1" ht="15" customHeight="1"/>
    <row r="2741" customFormat="1" ht="15" customHeight="1"/>
    <row r="2742" customFormat="1" ht="15" customHeight="1"/>
    <row r="2743" customFormat="1" ht="15" customHeight="1"/>
    <row r="2744" customFormat="1" ht="15" customHeight="1"/>
    <row r="2745" customFormat="1" ht="15" customHeight="1"/>
    <row r="2746" customFormat="1" ht="12" customHeight="1"/>
    <row r="2747" customFormat="1" ht="12" customHeight="1"/>
    <row r="2748" customFormat="1" ht="12" customHeight="1"/>
    <row r="2749" customFormat="1" ht="12" customHeight="1"/>
    <row r="2750" customFormat="1" ht="12" customHeight="1"/>
    <row r="2751" customFormat="1" ht="12" customHeight="1"/>
    <row r="2752" customFormat="1"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2" customHeight="1"/>
    <row r="2788" customFormat="1" ht="15" customHeight="1"/>
    <row r="2789" customFormat="1" ht="15" customHeight="1"/>
    <row r="2790" customFormat="1" ht="15" customHeight="1"/>
    <row r="2791" customFormat="1" ht="15" customHeight="1"/>
    <row r="2792" customFormat="1" ht="12" customHeight="1"/>
    <row r="2793" customFormat="1" ht="15" customHeight="1"/>
    <row r="2794" customFormat="1" ht="15" customHeight="1"/>
    <row r="2795" customFormat="1" ht="15" customHeight="1"/>
    <row r="2796" customFormat="1" ht="15" customHeight="1"/>
    <row r="2797" customFormat="1" ht="15" customHeight="1"/>
    <row r="2798" customFormat="1" ht="15" customHeight="1"/>
    <row r="2799" customFormat="1" ht="15" customHeight="1"/>
    <row r="2800" customFormat="1" ht="15" customHeight="1"/>
    <row r="2801" customFormat="1" ht="15" customHeight="1"/>
    <row r="2802" customFormat="1" ht="15" customHeight="1"/>
    <row r="2803" customFormat="1" ht="12" customHeight="1"/>
    <row r="2804" customFormat="1" ht="15" customHeight="1"/>
    <row r="2805" customFormat="1" ht="15" customHeight="1"/>
    <row r="2806" customFormat="1" ht="15" customHeight="1"/>
    <row r="2807" customFormat="1" ht="15" customHeight="1"/>
    <row r="2808" customFormat="1" ht="12"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5" customHeight="1"/>
    <row r="2816" customFormat="1" ht="15" customHeight="1"/>
    <row r="2817" customFormat="1" ht="12"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2" customHeight="1"/>
    <row r="2825" customFormat="1" ht="15" customHeight="1"/>
    <row r="2826" customFormat="1" ht="15" customHeight="1"/>
    <row r="2827" customFormat="1" ht="15" customHeight="1"/>
    <row r="2828" customFormat="1" ht="15" customHeight="1"/>
    <row r="2829" customFormat="1" ht="12" customHeight="1"/>
    <row r="2830" customFormat="1" ht="12" customHeight="1"/>
    <row r="2831" customFormat="1" ht="15" customHeight="1"/>
    <row r="2832" customFormat="1" ht="15" customHeight="1"/>
  </sheetData>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70"/>
  <sheetViews>
    <sheetView workbookViewId="0"/>
  </sheetViews>
  <sheetFormatPr defaultRowHeight="15" customHeight="1"/>
  <cols>
    <col min="2" max="2" width="43.5703125" customWidth="1"/>
    <col min="5" max="6" width="0" hidden="1" customWidth="1"/>
  </cols>
  <sheetData>
    <row r="1" spans="1:35">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c r="AI1" t="s">
        <v>1079</v>
      </c>
    </row>
    <row r="2" spans="1:35"/>
    <row r="3" spans="1:35"/>
    <row r="4" spans="1:35"/>
    <row r="5" spans="1:35"/>
    <row r="6" spans="1:35"/>
    <row r="7" spans="1:35"/>
    <row r="8" spans="1:35"/>
    <row r="9" spans="1:35"/>
    <row r="10" spans="1:35">
      <c r="A10" t="s">
        <v>331</v>
      </c>
    </row>
    <row r="11" spans="1:35">
      <c r="A11" t="s">
        <v>1077</v>
      </c>
    </row>
    <row r="12" spans="1:35">
      <c r="A12" t="s">
        <v>1078</v>
      </c>
    </row>
    <row r="13" spans="1:35">
      <c r="A13" t="s">
        <v>302</v>
      </c>
    </row>
    <row r="14" spans="1:35">
      <c r="B14" t="s">
        <v>303</v>
      </c>
      <c r="C14" t="s">
        <v>351</v>
      </c>
      <c r="D14" t="s">
        <v>352</v>
      </c>
      <c r="E14">
        <v>2021</v>
      </c>
      <c r="F14">
        <v>2022</v>
      </c>
      <c r="G14">
        <v>2023</v>
      </c>
      <c r="H14">
        <v>2024</v>
      </c>
      <c r="I14">
        <v>2025</v>
      </c>
      <c r="J14">
        <v>2026</v>
      </c>
      <c r="K14">
        <v>2027</v>
      </c>
      <c r="L14">
        <v>2028</v>
      </c>
      <c r="M14">
        <v>2029</v>
      </c>
      <c r="N14">
        <v>2030</v>
      </c>
      <c r="O14">
        <v>2031</v>
      </c>
      <c r="P14">
        <v>2032</v>
      </c>
      <c r="Q14">
        <v>2033</v>
      </c>
      <c r="R14">
        <v>2034</v>
      </c>
      <c r="S14">
        <v>2035</v>
      </c>
      <c r="T14">
        <v>2036</v>
      </c>
      <c r="U14">
        <v>2037</v>
      </c>
      <c r="V14">
        <v>2038</v>
      </c>
      <c r="W14">
        <v>2039</v>
      </c>
      <c r="X14">
        <v>2040</v>
      </c>
      <c r="Y14">
        <v>2041</v>
      </c>
      <c r="Z14">
        <v>2042</v>
      </c>
      <c r="AA14">
        <v>2043</v>
      </c>
      <c r="AB14">
        <v>2044</v>
      </c>
      <c r="AC14">
        <v>2045</v>
      </c>
      <c r="AD14">
        <v>2046</v>
      </c>
      <c r="AE14">
        <v>2047</v>
      </c>
      <c r="AF14">
        <v>2048</v>
      </c>
      <c r="AG14">
        <v>2049</v>
      </c>
      <c r="AH14">
        <v>2050</v>
      </c>
      <c r="AI14" t="s">
        <v>1079</v>
      </c>
    </row>
    <row r="15" spans="1:35">
      <c r="A15" t="s">
        <v>44</v>
      </c>
    </row>
    <row r="16" spans="1:35">
      <c r="A16" t="s">
        <v>332</v>
      </c>
    </row>
    <row r="17" spans="1:35">
      <c r="A17" t="s">
        <v>333</v>
      </c>
      <c r="B17" t="s">
        <v>1080</v>
      </c>
      <c r="C17" t="s">
        <v>1081</v>
      </c>
      <c r="D17" t="s">
        <v>354</v>
      </c>
      <c r="F17">
        <v>14541.973633</v>
      </c>
      <c r="G17">
        <v>14586.115234000001</v>
      </c>
      <c r="H17">
        <v>14429.693359000001</v>
      </c>
      <c r="I17">
        <v>14201.926758</v>
      </c>
      <c r="J17">
        <v>14016.909180000001</v>
      </c>
      <c r="K17">
        <v>13860.763671999999</v>
      </c>
      <c r="L17">
        <v>13679.088867</v>
      </c>
      <c r="M17">
        <v>13473.833008</v>
      </c>
      <c r="N17">
        <v>13253.083984000001</v>
      </c>
      <c r="O17">
        <v>13044.086914</v>
      </c>
      <c r="P17">
        <v>12836.979492</v>
      </c>
      <c r="Q17">
        <v>12674.041015999999</v>
      </c>
      <c r="R17">
        <v>12534.65625</v>
      </c>
      <c r="S17">
        <v>12394.664062</v>
      </c>
      <c r="T17">
        <v>12251.549805000001</v>
      </c>
      <c r="U17">
        <v>12130.824219</v>
      </c>
      <c r="V17">
        <v>12028.418944999999</v>
      </c>
      <c r="W17">
        <v>11933.923828000001</v>
      </c>
      <c r="X17">
        <v>11864.003906</v>
      </c>
      <c r="Y17">
        <v>11805.398438</v>
      </c>
      <c r="Z17">
        <v>11762.744140999999</v>
      </c>
      <c r="AA17">
        <v>11733.646484000001</v>
      </c>
      <c r="AB17">
        <v>11725.388671999999</v>
      </c>
      <c r="AC17">
        <v>11735.777344</v>
      </c>
      <c r="AD17">
        <v>11770.765625</v>
      </c>
      <c r="AE17">
        <v>11824.352539</v>
      </c>
      <c r="AF17">
        <v>11889.717773</v>
      </c>
      <c r="AG17">
        <v>11962.912109000001</v>
      </c>
      <c r="AH17">
        <v>12054.456055000001</v>
      </c>
      <c r="AI17" s="31">
        <v>-7.0000000000000001E-3</v>
      </c>
    </row>
    <row r="18" spans="1:35">
      <c r="A18" t="s">
        <v>334</v>
      </c>
      <c r="B18" t="s">
        <v>1082</v>
      </c>
      <c r="C18" t="s">
        <v>1083</v>
      </c>
      <c r="D18" t="s">
        <v>354</v>
      </c>
      <c r="F18">
        <v>5654.1606449999999</v>
      </c>
      <c r="G18">
        <v>5526.6772460000002</v>
      </c>
      <c r="H18">
        <v>5311.8129879999997</v>
      </c>
      <c r="I18">
        <v>5067.3222660000001</v>
      </c>
      <c r="J18">
        <v>4838.1689450000003</v>
      </c>
      <c r="K18">
        <v>4619.4316410000001</v>
      </c>
      <c r="L18">
        <v>4397.4467770000001</v>
      </c>
      <c r="M18">
        <v>4169.8598629999997</v>
      </c>
      <c r="N18">
        <v>3944.7561040000001</v>
      </c>
      <c r="O18">
        <v>3731.1752929999998</v>
      </c>
      <c r="P18">
        <v>3530.8747560000002</v>
      </c>
      <c r="Q18">
        <v>3355.2741700000001</v>
      </c>
      <c r="R18">
        <v>3201.82251</v>
      </c>
      <c r="S18">
        <v>3058.1054690000001</v>
      </c>
      <c r="T18">
        <v>2927.671143</v>
      </c>
      <c r="U18">
        <v>2817.0913089999999</v>
      </c>
      <c r="V18">
        <v>2726.7456050000001</v>
      </c>
      <c r="W18">
        <v>2648.3854980000001</v>
      </c>
      <c r="X18">
        <v>2585.8063959999999</v>
      </c>
      <c r="Y18">
        <v>2534.5078119999998</v>
      </c>
      <c r="Z18">
        <v>2494.841797</v>
      </c>
      <c r="AA18">
        <v>2463.2470699999999</v>
      </c>
      <c r="AB18">
        <v>2438.6992190000001</v>
      </c>
      <c r="AC18">
        <v>2420.9848630000001</v>
      </c>
      <c r="AD18">
        <v>2411.0180660000001</v>
      </c>
      <c r="AE18">
        <v>2405.7182619999999</v>
      </c>
      <c r="AF18">
        <v>2403.655029</v>
      </c>
      <c r="AG18">
        <v>2402.5029300000001</v>
      </c>
      <c r="AH18">
        <v>2405.8833009999998</v>
      </c>
      <c r="AI18" s="31">
        <v>-0.03</v>
      </c>
    </row>
    <row r="19" spans="1:35">
      <c r="A19" t="s">
        <v>335</v>
      </c>
      <c r="B19" t="s">
        <v>1084</v>
      </c>
      <c r="C19" t="s">
        <v>1085</v>
      </c>
      <c r="D19" t="s">
        <v>354</v>
      </c>
      <c r="F19">
        <v>8871.5507809999999</v>
      </c>
      <c r="G19">
        <v>9043.5410159999992</v>
      </c>
      <c r="H19">
        <v>9102.6005860000005</v>
      </c>
      <c r="I19">
        <v>9120.0283199999994</v>
      </c>
      <c r="J19">
        <v>9164.8242190000001</v>
      </c>
      <c r="K19">
        <v>9228.0458980000003</v>
      </c>
      <c r="L19">
        <v>9268.9941409999992</v>
      </c>
      <c r="M19">
        <v>9291.9814449999994</v>
      </c>
      <c r="N19">
        <v>9296.9863280000009</v>
      </c>
      <c r="O19">
        <v>9302.1855469999991</v>
      </c>
      <c r="P19">
        <v>9295.9560550000006</v>
      </c>
      <c r="Q19">
        <v>9309.1259769999997</v>
      </c>
      <c r="R19">
        <v>9323.6357420000004</v>
      </c>
      <c r="S19">
        <v>9327.7763670000004</v>
      </c>
      <c r="T19">
        <v>9315.4736329999996</v>
      </c>
      <c r="U19">
        <v>9305.6484380000002</v>
      </c>
      <c r="V19">
        <v>9293.8496090000008</v>
      </c>
      <c r="W19">
        <v>9277.9414059999999</v>
      </c>
      <c r="X19">
        <v>9270.78125</v>
      </c>
      <c r="Y19">
        <v>9263.6220699999994</v>
      </c>
      <c r="Z19">
        <v>9260.7470699999994</v>
      </c>
      <c r="AA19">
        <v>9263.3349610000005</v>
      </c>
      <c r="AB19">
        <v>9279.6943360000005</v>
      </c>
      <c r="AC19">
        <v>9307.8466800000006</v>
      </c>
      <c r="AD19">
        <v>9352.8291019999997</v>
      </c>
      <c r="AE19">
        <v>9411.7304690000001</v>
      </c>
      <c r="AF19">
        <v>9479.1640619999998</v>
      </c>
      <c r="AG19">
        <v>9553.5126949999994</v>
      </c>
      <c r="AH19">
        <v>9641.6660159999992</v>
      </c>
      <c r="AI19" s="31">
        <v>3.0000000000000001E-3</v>
      </c>
    </row>
    <row r="20" spans="1:35">
      <c r="A20" t="s">
        <v>336</v>
      </c>
      <c r="B20" t="s">
        <v>1086</v>
      </c>
      <c r="C20" t="s">
        <v>1087</v>
      </c>
      <c r="D20" t="s">
        <v>354</v>
      </c>
      <c r="F20">
        <v>16.262892000000001</v>
      </c>
      <c r="G20">
        <v>15.896933000000001</v>
      </c>
      <c r="H20">
        <v>15.278912999999999</v>
      </c>
      <c r="I20">
        <v>14.575699999999999</v>
      </c>
      <c r="J20">
        <v>13.916059000000001</v>
      </c>
      <c r="K20">
        <v>13.285933</v>
      </c>
      <c r="L20">
        <v>12.647085000000001</v>
      </c>
      <c r="M20">
        <v>11.991311</v>
      </c>
      <c r="N20">
        <v>11.342273</v>
      </c>
      <c r="O20">
        <v>10.726049</v>
      </c>
      <c r="P20">
        <v>10.148346999999999</v>
      </c>
      <c r="Q20">
        <v>9.6407810000000005</v>
      </c>
      <c r="R20">
        <v>9.1977620000000009</v>
      </c>
      <c r="S20">
        <v>8.7823860000000007</v>
      </c>
      <c r="T20">
        <v>8.4048020000000001</v>
      </c>
      <c r="U20">
        <v>8.0844020000000008</v>
      </c>
      <c r="V20">
        <v>7.8231919999999997</v>
      </c>
      <c r="W20">
        <v>7.5969569999999997</v>
      </c>
      <c r="X20">
        <v>7.416474</v>
      </c>
      <c r="Y20">
        <v>7.2687229999999996</v>
      </c>
      <c r="Z20">
        <v>7.1550830000000003</v>
      </c>
      <c r="AA20">
        <v>7.0648920000000004</v>
      </c>
      <c r="AB20">
        <v>6.9949640000000004</v>
      </c>
      <c r="AC20">
        <v>6.9451270000000003</v>
      </c>
      <c r="AD20">
        <v>6.9176120000000001</v>
      </c>
      <c r="AE20">
        <v>6.9035149999999996</v>
      </c>
      <c r="AF20">
        <v>6.8986739999999998</v>
      </c>
      <c r="AG20">
        <v>6.8964509999999999</v>
      </c>
      <c r="AH20">
        <v>6.9071899999999999</v>
      </c>
      <c r="AI20" s="31">
        <v>-0.03</v>
      </c>
    </row>
    <row r="21" spans="1:35">
      <c r="A21" t="s">
        <v>311</v>
      </c>
      <c r="B21" t="s">
        <v>1088</v>
      </c>
      <c r="C21" t="s">
        <v>1089</v>
      </c>
      <c r="D21" t="s">
        <v>354</v>
      </c>
      <c r="F21">
        <v>951.50292999999999</v>
      </c>
      <c r="G21">
        <v>942.55828899999995</v>
      </c>
      <c r="H21">
        <v>925.34027100000003</v>
      </c>
      <c r="I21">
        <v>912.45172100000002</v>
      </c>
      <c r="J21">
        <v>903.11077899999998</v>
      </c>
      <c r="K21">
        <v>894.80676300000005</v>
      </c>
      <c r="L21">
        <v>888.38452099999995</v>
      </c>
      <c r="M21">
        <v>882.99542199999996</v>
      </c>
      <c r="N21">
        <v>877.03253199999995</v>
      </c>
      <c r="O21">
        <v>872.79089399999998</v>
      </c>
      <c r="P21">
        <v>871.79064900000003</v>
      </c>
      <c r="Q21">
        <v>871.86749299999997</v>
      </c>
      <c r="R21">
        <v>873.03369099999998</v>
      </c>
      <c r="S21">
        <v>875.073486</v>
      </c>
      <c r="T21">
        <v>877.49945100000002</v>
      </c>
      <c r="U21">
        <v>881.02331500000003</v>
      </c>
      <c r="V21">
        <v>885.54089399999998</v>
      </c>
      <c r="W21">
        <v>889.796021</v>
      </c>
      <c r="X21">
        <v>896.14636199999995</v>
      </c>
      <c r="Y21">
        <v>903.92443800000001</v>
      </c>
      <c r="Z21">
        <v>911.92095900000004</v>
      </c>
      <c r="AA21">
        <v>918.67480499999999</v>
      </c>
      <c r="AB21">
        <v>924.72058100000004</v>
      </c>
      <c r="AC21">
        <v>931.83019999999999</v>
      </c>
      <c r="AD21">
        <v>939.93994099999998</v>
      </c>
      <c r="AE21">
        <v>949.950378</v>
      </c>
      <c r="AF21">
        <v>958.32000700000003</v>
      </c>
      <c r="AG21">
        <v>967.21020499999997</v>
      </c>
      <c r="AH21">
        <v>978.89801</v>
      </c>
      <c r="AI21" s="31">
        <v>1E-3</v>
      </c>
    </row>
    <row r="22" spans="1:35">
      <c r="A22" t="s">
        <v>337</v>
      </c>
      <c r="B22" t="s">
        <v>1090</v>
      </c>
      <c r="C22" t="s">
        <v>1091</v>
      </c>
      <c r="D22" t="s">
        <v>354</v>
      </c>
      <c r="F22">
        <v>212.16301000000001</v>
      </c>
      <c r="G22">
        <v>222.31246899999999</v>
      </c>
      <c r="H22">
        <v>226.956726</v>
      </c>
      <c r="I22">
        <v>228.01267999999999</v>
      </c>
      <c r="J22">
        <v>228.79754600000001</v>
      </c>
      <c r="K22">
        <v>229.23793000000001</v>
      </c>
      <c r="L22">
        <v>229.402649</v>
      </c>
      <c r="M22">
        <v>229.15626499999999</v>
      </c>
      <c r="N22">
        <v>228.547943</v>
      </c>
      <c r="O22">
        <v>227.555679</v>
      </c>
      <c r="P22">
        <v>226.529922</v>
      </c>
      <c r="Q22">
        <v>226.004639</v>
      </c>
      <c r="R22">
        <v>225.33564799999999</v>
      </c>
      <c r="S22">
        <v>224.473175</v>
      </c>
      <c r="T22">
        <v>223.49627699999999</v>
      </c>
      <c r="U22">
        <v>221.94027700000001</v>
      </c>
      <c r="V22">
        <v>220.575851</v>
      </c>
      <c r="W22">
        <v>219.09849500000001</v>
      </c>
      <c r="X22">
        <v>217.49984699999999</v>
      </c>
      <c r="Y22">
        <v>215.783691</v>
      </c>
      <c r="Z22">
        <v>214.03241</v>
      </c>
      <c r="AA22">
        <v>212.017212</v>
      </c>
      <c r="AB22">
        <v>210.153595</v>
      </c>
      <c r="AC22">
        <v>208.21464499999999</v>
      </c>
      <c r="AD22">
        <v>206.53474399999999</v>
      </c>
      <c r="AE22">
        <v>204.46298200000001</v>
      </c>
      <c r="AF22">
        <v>202.45996099999999</v>
      </c>
      <c r="AG22">
        <v>200.28244000000001</v>
      </c>
      <c r="AH22">
        <v>198.18263200000001</v>
      </c>
      <c r="AI22" s="31">
        <v>-2E-3</v>
      </c>
    </row>
    <row r="23" spans="1:35">
      <c r="A23" t="s">
        <v>338</v>
      </c>
      <c r="B23" t="s">
        <v>1092</v>
      </c>
      <c r="C23" t="s">
        <v>1093</v>
      </c>
      <c r="D23" t="s">
        <v>354</v>
      </c>
      <c r="F23">
        <v>92.212233999999995</v>
      </c>
      <c r="G23">
        <v>95.837829999999997</v>
      </c>
      <c r="H23">
        <v>98.320953000000003</v>
      </c>
      <c r="I23">
        <v>98.870079000000004</v>
      </c>
      <c r="J23">
        <v>99.844643000000005</v>
      </c>
      <c r="K23">
        <v>100.614418</v>
      </c>
      <c r="L23">
        <v>101.247078</v>
      </c>
      <c r="M23">
        <v>101.616623</v>
      </c>
      <c r="N23">
        <v>101.724174</v>
      </c>
      <c r="O23">
        <v>101.53801</v>
      </c>
      <c r="P23">
        <v>101.311256</v>
      </c>
      <c r="Q23">
        <v>100.97640199999999</v>
      </c>
      <c r="R23">
        <v>100.756874</v>
      </c>
      <c r="S23">
        <v>100.295074</v>
      </c>
      <c r="T23">
        <v>99.678466999999998</v>
      </c>
      <c r="U23">
        <v>98.421806000000004</v>
      </c>
      <c r="V23">
        <v>97.683716000000004</v>
      </c>
      <c r="W23">
        <v>96.918678</v>
      </c>
      <c r="X23">
        <v>96.071006999999994</v>
      </c>
      <c r="Y23">
        <v>95.130722000000006</v>
      </c>
      <c r="Z23">
        <v>94.233086</v>
      </c>
      <c r="AA23">
        <v>93.123824999999997</v>
      </c>
      <c r="AB23">
        <v>92.204300000000003</v>
      </c>
      <c r="AC23">
        <v>91.250327999999996</v>
      </c>
      <c r="AD23">
        <v>90.658730000000006</v>
      </c>
      <c r="AE23">
        <v>89.694473000000002</v>
      </c>
      <c r="AF23">
        <v>88.826485000000005</v>
      </c>
      <c r="AG23">
        <v>87.819648999999998</v>
      </c>
      <c r="AH23">
        <v>86.904647999999995</v>
      </c>
      <c r="AI23" s="31">
        <v>-2E-3</v>
      </c>
    </row>
    <row r="24" spans="1:35">
      <c r="A24" t="s">
        <v>339</v>
      </c>
      <c r="B24" t="s">
        <v>1094</v>
      </c>
      <c r="C24" t="s">
        <v>1095</v>
      </c>
      <c r="D24" t="s">
        <v>354</v>
      </c>
      <c r="F24">
        <v>26.118862</v>
      </c>
      <c r="G24">
        <v>28.024412000000002</v>
      </c>
      <c r="H24">
        <v>29.477226000000002</v>
      </c>
      <c r="I24">
        <v>30.571621</v>
      </c>
      <c r="J24">
        <v>31.3964</v>
      </c>
      <c r="K24">
        <v>32.010112999999997</v>
      </c>
      <c r="L24">
        <v>32.464531000000001</v>
      </c>
      <c r="M24">
        <v>32.799759000000002</v>
      </c>
      <c r="N24">
        <v>33.046233999999998</v>
      </c>
      <c r="O24">
        <v>33.226050999999998</v>
      </c>
      <c r="P24">
        <v>33.352477999999998</v>
      </c>
      <c r="Q24">
        <v>33.43018</v>
      </c>
      <c r="R24">
        <v>33.466476</v>
      </c>
      <c r="S24">
        <v>33.469250000000002</v>
      </c>
      <c r="T24">
        <v>33.445160000000001</v>
      </c>
      <c r="U24">
        <v>33.397396000000001</v>
      </c>
      <c r="V24">
        <v>33.349758000000001</v>
      </c>
      <c r="W24">
        <v>33.294384000000001</v>
      </c>
      <c r="X24">
        <v>33.234276000000001</v>
      </c>
      <c r="Y24">
        <v>33.167285999999997</v>
      </c>
      <c r="Z24">
        <v>33.096901000000003</v>
      </c>
      <c r="AA24">
        <v>33.025081999999998</v>
      </c>
      <c r="AB24">
        <v>32.951076999999998</v>
      </c>
      <c r="AC24">
        <v>32.875145000000003</v>
      </c>
      <c r="AD24">
        <v>32.799278000000001</v>
      </c>
      <c r="AE24">
        <v>32.723492</v>
      </c>
      <c r="AF24">
        <v>32.646706000000002</v>
      </c>
      <c r="AG24">
        <v>32.569450000000003</v>
      </c>
      <c r="AH24">
        <v>32.494362000000002</v>
      </c>
      <c r="AI24" s="31">
        <v>8.0000000000000002E-3</v>
      </c>
    </row>
    <row r="25" spans="1:35">
      <c r="A25" t="s">
        <v>340</v>
      </c>
      <c r="B25" t="s">
        <v>1096</v>
      </c>
      <c r="C25" t="s">
        <v>1097</v>
      </c>
      <c r="D25" t="s">
        <v>354</v>
      </c>
      <c r="F25">
        <v>93.831894000000005</v>
      </c>
      <c r="G25">
        <v>98.450194999999994</v>
      </c>
      <c r="H25">
        <v>99.158546000000001</v>
      </c>
      <c r="I25">
        <v>98.571014000000005</v>
      </c>
      <c r="J25">
        <v>97.556511</v>
      </c>
      <c r="K25">
        <v>96.613395999999995</v>
      </c>
      <c r="L25">
        <v>95.691032000000007</v>
      </c>
      <c r="M25">
        <v>94.739861000000005</v>
      </c>
      <c r="N25">
        <v>93.777550000000005</v>
      </c>
      <c r="O25">
        <v>92.791618</v>
      </c>
      <c r="P25">
        <v>91.866196000000002</v>
      </c>
      <c r="Q25">
        <v>91.598052999999993</v>
      </c>
      <c r="R25">
        <v>91.112289000000004</v>
      </c>
      <c r="S25">
        <v>90.708870000000005</v>
      </c>
      <c r="T25">
        <v>90.372649999999993</v>
      </c>
      <c r="U25">
        <v>90.121039999999994</v>
      </c>
      <c r="V25">
        <v>89.542336000000006</v>
      </c>
      <c r="W25">
        <v>88.885452000000001</v>
      </c>
      <c r="X25">
        <v>88.194603000000001</v>
      </c>
      <c r="Y25">
        <v>87.485648999999995</v>
      </c>
      <c r="Z25">
        <v>86.702445999999995</v>
      </c>
      <c r="AA25">
        <v>85.868294000000006</v>
      </c>
      <c r="AB25">
        <v>84.998230000000007</v>
      </c>
      <c r="AC25">
        <v>84.089134000000001</v>
      </c>
      <c r="AD25">
        <v>83.076744000000005</v>
      </c>
      <c r="AE25">
        <v>82.045021000000006</v>
      </c>
      <c r="AF25">
        <v>80.986785999999995</v>
      </c>
      <c r="AG25">
        <v>79.893326000000002</v>
      </c>
      <c r="AH25">
        <v>78.783607000000003</v>
      </c>
      <c r="AI25" s="31">
        <v>-6.0000000000000001E-3</v>
      </c>
    </row>
    <row r="26" spans="1:35">
      <c r="A26" t="s">
        <v>312</v>
      </c>
      <c r="B26" t="s">
        <v>1098</v>
      </c>
      <c r="C26" t="s">
        <v>1099</v>
      </c>
      <c r="D26" t="s">
        <v>354</v>
      </c>
      <c r="F26">
        <v>5922.7919920000004</v>
      </c>
      <c r="G26">
        <v>5816.7070309999999</v>
      </c>
      <c r="H26">
        <v>5728.0947269999997</v>
      </c>
      <c r="I26">
        <v>5673.0976559999999</v>
      </c>
      <c r="J26">
        <v>5638.8964839999999</v>
      </c>
      <c r="K26">
        <v>5591.7075199999999</v>
      </c>
      <c r="L26">
        <v>5543.7109380000002</v>
      </c>
      <c r="M26">
        <v>5483.6704099999997</v>
      </c>
      <c r="N26">
        <v>5422.3881840000004</v>
      </c>
      <c r="O26">
        <v>5371.3022460000002</v>
      </c>
      <c r="P26">
        <v>5340.158203</v>
      </c>
      <c r="Q26">
        <v>5306.5053710000002</v>
      </c>
      <c r="R26">
        <v>5278.7797849999997</v>
      </c>
      <c r="S26">
        <v>5261.2460940000001</v>
      </c>
      <c r="T26">
        <v>5243</v>
      </c>
      <c r="U26">
        <v>5237.6977539999998</v>
      </c>
      <c r="V26">
        <v>5236.361328</v>
      </c>
      <c r="W26">
        <v>5238.3041990000002</v>
      </c>
      <c r="X26">
        <v>5247.9145509999998</v>
      </c>
      <c r="Y26">
        <v>5263.2084960000002</v>
      </c>
      <c r="Z26">
        <v>5281.4545900000003</v>
      </c>
      <c r="AA26">
        <v>5299.6816410000001</v>
      </c>
      <c r="AB26">
        <v>5316.7661129999997</v>
      </c>
      <c r="AC26">
        <v>5331.6992190000001</v>
      </c>
      <c r="AD26">
        <v>5353.2001950000003</v>
      </c>
      <c r="AE26">
        <v>5376.3173829999996</v>
      </c>
      <c r="AF26">
        <v>5393.3188479999999</v>
      </c>
      <c r="AG26">
        <v>5413.4160160000001</v>
      </c>
      <c r="AH26">
        <v>5450.0126950000003</v>
      </c>
      <c r="AI26" s="31">
        <v>-3.0000000000000001E-3</v>
      </c>
    </row>
    <row r="27" spans="1:35">
      <c r="A27" t="s">
        <v>341</v>
      </c>
      <c r="B27" t="s">
        <v>1100</v>
      </c>
      <c r="C27" t="s">
        <v>1101</v>
      </c>
      <c r="D27" t="s">
        <v>354</v>
      </c>
      <c r="F27">
        <v>745.82806400000004</v>
      </c>
      <c r="G27">
        <v>731.17401099999995</v>
      </c>
      <c r="H27">
        <v>720.99340800000004</v>
      </c>
      <c r="I27">
        <v>716.52246100000002</v>
      </c>
      <c r="J27">
        <v>715.17627000000005</v>
      </c>
      <c r="K27">
        <v>711.70989999999995</v>
      </c>
      <c r="L27">
        <v>708.54388400000005</v>
      </c>
      <c r="M27">
        <v>705.98785399999997</v>
      </c>
      <c r="N27">
        <v>706.45989999999995</v>
      </c>
      <c r="O27">
        <v>710.45678699999996</v>
      </c>
      <c r="P27">
        <v>717.79156499999999</v>
      </c>
      <c r="Q27">
        <v>724.37231399999996</v>
      </c>
      <c r="R27">
        <v>731.39038100000005</v>
      </c>
      <c r="S27">
        <v>739.17932099999996</v>
      </c>
      <c r="T27">
        <v>746.30853300000001</v>
      </c>
      <c r="U27">
        <v>754.65618900000004</v>
      </c>
      <c r="V27">
        <v>763.13738999999998</v>
      </c>
      <c r="W27">
        <v>772.15210000000002</v>
      </c>
      <c r="X27">
        <v>782.66339100000005</v>
      </c>
      <c r="Y27">
        <v>794.23718299999996</v>
      </c>
      <c r="Z27">
        <v>805.87261999999998</v>
      </c>
      <c r="AA27">
        <v>817.30426</v>
      </c>
      <c r="AB27">
        <v>829.03216599999996</v>
      </c>
      <c r="AC27">
        <v>841.80096400000002</v>
      </c>
      <c r="AD27">
        <v>857.07476799999995</v>
      </c>
      <c r="AE27">
        <v>873.44006300000001</v>
      </c>
      <c r="AF27">
        <v>889.11859100000004</v>
      </c>
      <c r="AG27">
        <v>905.95617700000003</v>
      </c>
      <c r="AH27">
        <v>926.21398899999997</v>
      </c>
      <c r="AI27" s="31">
        <v>8.0000000000000002E-3</v>
      </c>
    </row>
    <row r="28" spans="1:35">
      <c r="A28" t="s">
        <v>342</v>
      </c>
      <c r="B28" t="s">
        <v>1102</v>
      </c>
      <c r="C28" t="s">
        <v>1103</v>
      </c>
      <c r="D28" t="s">
        <v>354</v>
      </c>
      <c r="F28">
        <v>969.69183299999997</v>
      </c>
      <c r="G28">
        <v>947.22808799999996</v>
      </c>
      <c r="H28">
        <v>929.37402299999997</v>
      </c>
      <c r="I28">
        <v>917.57543899999996</v>
      </c>
      <c r="J28">
        <v>910.67749000000003</v>
      </c>
      <c r="K28">
        <v>903.25036599999999</v>
      </c>
      <c r="L28">
        <v>897.46630900000002</v>
      </c>
      <c r="M28">
        <v>890.09558100000004</v>
      </c>
      <c r="N28">
        <v>882.57385299999999</v>
      </c>
      <c r="O28">
        <v>876.55035399999997</v>
      </c>
      <c r="P28">
        <v>874.65270999999996</v>
      </c>
      <c r="Q28">
        <v>871.910706</v>
      </c>
      <c r="R28">
        <v>869.98095699999999</v>
      </c>
      <c r="S28">
        <v>869.72485400000005</v>
      </c>
      <c r="T28">
        <v>869.34759499999996</v>
      </c>
      <c r="U28">
        <v>871.618652</v>
      </c>
      <c r="V28">
        <v>873.72833300000002</v>
      </c>
      <c r="W28">
        <v>877.64196800000002</v>
      </c>
      <c r="X28">
        <v>882.78259300000002</v>
      </c>
      <c r="Y28">
        <v>889.23699999999997</v>
      </c>
      <c r="Z28">
        <v>896.040527</v>
      </c>
      <c r="AA28">
        <v>903.72442599999999</v>
      </c>
      <c r="AB28">
        <v>911.77496299999996</v>
      </c>
      <c r="AC28">
        <v>919.378601</v>
      </c>
      <c r="AD28">
        <v>928.10925299999997</v>
      </c>
      <c r="AE28">
        <v>937.41210899999999</v>
      </c>
      <c r="AF28">
        <v>945.94012499999997</v>
      </c>
      <c r="AG28">
        <v>955.21368399999994</v>
      </c>
      <c r="AH28">
        <v>967.38183600000002</v>
      </c>
      <c r="AI28" s="31">
        <v>0</v>
      </c>
    </row>
    <row r="29" spans="1:35" s="197" customFormat="1">
      <c r="A29" s="197" t="s">
        <v>1104</v>
      </c>
      <c r="B29" s="197" t="s">
        <v>1105</v>
      </c>
      <c r="C29" s="197" t="s">
        <v>1106</v>
      </c>
      <c r="D29" s="197" t="s">
        <v>354</v>
      </c>
      <c r="F29" s="197">
        <v>4207.2714839999999</v>
      </c>
      <c r="G29" s="197">
        <v>4138.3046880000002</v>
      </c>
      <c r="H29" s="197">
        <v>4077.726807</v>
      </c>
      <c r="I29" s="197">
        <v>4039</v>
      </c>
      <c r="J29" s="197">
        <v>4013.0432129999999</v>
      </c>
      <c r="K29" s="197">
        <v>3976.7475589999999</v>
      </c>
      <c r="L29" s="197">
        <v>3937.7006839999999</v>
      </c>
      <c r="M29" s="197">
        <v>3887.5866700000001</v>
      </c>
      <c r="N29" s="197">
        <v>3833.3549800000001</v>
      </c>
      <c r="O29" s="197">
        <v>3784.2954100000002</v>
      </c>
      <c r="P29" s="197">
        <v>3747.7138669999999</v>
      </c>
      <c r="Q29" s="197">
        <v>3710.2224120000001</v>
      </c>
      <c r="R29" s="197">
        <v>3677.4086910000001</v>
      </c>
      <c r="S29" s="197">
        <v>3652.3420409999999</v>
      </c>
      <c r="T29" s="197">
        <v>3627.3435060000002</v>
      </c>
      <c r="U29" s="197">
        <v>3611.4228520000001</v>
      </c>
      <c r="V29" s="197">
        <v>3599.4960940000001</v>
      </c>
      <c r="W29" s="197">
        <v>3588.51001</v>
      </c>
      <c r="X29" s="197">
        <v>3582.46875</v>
      </c>
      <c r="Y29" s="197">
        <v>3579.7341310000002</v>
      </c>
      <c r="Z29" s="197">
        <v>3579.54126</v>
      </c>
      <c r="AA29" s="197">
        <v>3578.6533199999999</v>
      </c>
      <c r="AB29" s="197">
        <v>3575.9597170000002</v>
      </c>
      <c r="AC29" s="197">
        <v>3570.5195309999999</v>
      </c>
      <c r="AD29" s="197">
        <v>3568.015625</v>
      </c>
      <c r="AE29" s="197">
        <v>3565.4650879999999</v>
      </c>
      <c r="AF29" s="197">
        <v>3558.26001</v>
      </c>
      <c r="AG29" s="197">
        <v>3552.2463379999999</v>
      </c>
      <c r="AH29" s="197">
        <v>3556.4165039999998</v>
      </c>
      <c r="AI29" s="198">
        <v>-6.0000000000000001E-3</v>
      </c>
    </row>
    <row r="30" spans="1:35">
      <c r="A30" t="s">
        <v>343</v>
      </c>
    </row>
    <row r="31" spans="1:35">
      <c r="A31" t="s">
        <v>185</v>
      </c>
      <c r="B31" t="s">
        <v>1107</v>
      </c>
      <c r="C31" t="s">
        <v>1108</v>
      </c>
      <c r="D31" t="s">
        <v>354</v>
      </c>
      <c r="F31">
        <v>2802.8073730000001</v>
      </c>
      <c r="G31">
        <v>3008.1679690000001</v>
      </c>
      <c r="H31">
        <v>3051.2026369999999</v>
      </c>
      <c r="I31">
        <v>3057.110596</v>
      </c>
      <c r="J31">
        <v>3095.898193</v>
      </c>
      <c r="K31">
        <v>3134.2270509999998</v>
      </c>
      <c r="L31">
        <v>3164.5515140000002</v>
      </c>
      <c r="M31">
        <v>3187.1079100000002</v>
      </c>
      <c r="N31">
        <v>3202.938232</v>
      </c>
      <c r="O31">
        <v>3218.7827149999998</v>
      </c>
      <c r="P31">
        <v>3243.9365229999999</v>
      </c>
      <c r="Q31">
        <v>3270.4482419999999</v>
      </c>
      <c r="R31">
        <v>3294.4030760000001</v>
      </c>
      <c r="S31">
        <v>3322.9240719999998</v>
      </c>
      <c r="T31">
        <v>3359.8249510000001</v>
      </c>
      <c r="U31">
        <v>3403.8945309999999</v>
      </c>
      <c r="V31">
        <v>3450.171875</v>
      </c>
      <c r="W31">
        <v>3498.4882809999999</v>
      </c>
      <c r="X31">
        <v>3554.6437989999999</v>
      </c>
      <c r="Y31">
        <v>3608.4035640000002</v>
      </c>
      <c r="Z31">
        <v>3663.0974120000001</v>
      </c>
      <c r="AA31">
        <v>3718.6247560000002</v>
      </c>
      <c r="AB31">
        <v>3774.01001</v>
      </c>
      <c r="AC31">
        <v>3827.9189449999999</v>
      </c>
      <c r="AD31">
        <v>3880.4333499999998</v>
      </c>
      <c r="AE31">
        <v>3936.7382809999999</v>
      </c>
      <c r="AF31">
        <v>3993.6040039999998</v>
      </c>
      <c r="AG31">
        <v>4049.650635</v>
      </c>
      <c r="AH31">
        <v>4112.1577150000003</v>
      </c>
      <c r="AI31" s="31">
        <v>1.4E-2</v>
      </c>
    </row>
    <row r="32" spans="1:35">
      <c r="A32" t="s">
        <v>344</v>
      </c>
      <c r="B32" t="s">
        <v>1109</v>
      </c>
      <c r="C32" t="s">
        <v>1110</v>
      </c>
      <c r="D32" t="s">
        <v>354</v>
      </c>
      <c r="F32">
        <v>154.820786</v>
      </c>
      <c r="G32">
        <v>164.58933999999999</v>
      </c>
      <c r="H32">
        <v>166.630066</v>
      </c>
      <c r="I32">
        <v>166.90428199999999</v>
      </c>
      <c r="J32">
        <v>168.745239</v>
      </c>
      <c r="K32">
        <v>170.56552099999999</v>
      </c>
      <c r="L32">
        <v>172.00559999999999</v>
      </c>
      <c r="M32">
        <v>173.07629399999999</v>
      </c>
      <c r="N32">
        <v>173.82728599999999</v>
      </c>
      <c r="O32">
        <v>174.57951399999999</v>
      </c>
      <c r="P32">
        <v>175.77552800000001</v>
      </c>
      <c r="Q32">
        <v>177.036316</v>
      </c>
      <c r="R32">
        <v>178.175827</v>
      </c>
      <c r="S32">
        <v>179.53285199999999</v>
      </c>
      <c r="T32">
        <v>181.28900100000001</v>
      </c>
      <c r="U32">
        <v>183.38685599999999</v>
      </c>
      <c r="V32">
        <v>185.59007299999999</v>
      </c>
      <c r="W32">
        <v>187.89032</v>
      </c>
      <c r="X32">
        <v>190.563965</v>
      </c>
      <c r="Y32">
        <v>193.12365700000001</v>
      </c>
      <c r="Z32">
        <v>195.727844</v>
      </c>
      <c r="AA32">
        <v>198.37164300000001</v>
      </c>
      <c r="AB32">
        <v>201.008881</v>
      </c>
      <c r="AC32">
        <v>203.575851</v>
      </c>
      <c r="AD32">
        <v>206.076447</v>
      </c>
      <c r="AE32">
        <v>208.75747699999999</v>
      </c>
      <c r="AF32">
        <v>211.465149</v>
      </c>
      <c r="AG32">
        <v>214.134018</v>
      </c>
      <c r="AH32">
        <v>217.11050399999999</v>
      </c>
      <c r="AI32" s="31">
        <v>1.2E-2</v>
      </c>
    </row>
    <row r="33" spans="1:35">
      <c r="A33" t="s">
        <v>541</v>
      </c>
      <c r="B33" t="s">
        <v>1111</v>
      </c>
      <c r="C33" t="s">
        <v>1112</v>
      </c>
      <c r="D33" t="s">
        <v>354</v>
      </c>
      <c r="F33">
        <v>1525.371948</v>
      </c>
      <c r="G33">
        <v>1568.4963379999999</v>
      </c>
      <c r="H33">
        <v>1545.243774</v>
      </c>
      <c r="I33">
        <v>1539.9454350000001</v>
      </c>
      <c r="J33">
        <v>1560.0004879999999</v>
      </c>
      <c r="K33">
        <v>1578.997314</v>
      </c>
      <c r="L33">
        <v>1593.6607670000001</v>
      </c>
      <c r="M33">
        <v>1603.7645259999999</v>
      </c>
      <c r="N33">
        <v>1608.9692379999999</v>
      </c>
      <c r="O33">
        <v>1613.8066409999999</v>
      </c>
      <c r="P33">
        <v>1624.102539</v>
      </c>
      <c r="Q33">
        <v>1638.209351</v>
      </c>
      <c r="R33">
        <v>1651.622314</v>
      </c>
      <c r="S33">
        <v>1665.2513429999999</v>
      </c>
      <c r="T33">
        <v>1681.9423830000001</v>
      </c>
      <c r="U33">
        <v>1701.550293</v>
      </c>
      <c r="V33">
        <v>1722.4525149999999</v>
      </c>
      <c r="W33">
        <v>1743.974976</v>
      </c>
      <c r="X33">
        <v>1770.012207</v>
      </c>
      <c r="Y33">
        <v>1794.5860600000001</v>
      </c>
      <c r="Z33">
        <v>1819.58313</v>
      </c>
      <c r="AA33">
        <v>1845.8710940000001</v>
      </c>
      <c r="AB33">
        <v>1871.9423830000001</v>
      </c>
      <c r="AC33">
        <v>1896.627686</v>
      </c>
      <c r="AD33">
        <v>1920.9094239999999</v>
      </c>
      <c r="AE33">
        <v>1947.4875489999999</v>
      </c>
      <c r="AF33">
        <v>1974.090698</v>
      </c>
      <c r="AG33">
        <v>2000.765991</v>
      </c>
      <c r="AH33">
        <v>2030.390259</v>
      </c>
      <c r="AI33" s="31">
        <v>0.01</v>
      </c>
    </row>
    <row r="34" spans="1:35">
      <c r="A34" t="s">
        <v>542</v>
      </c>
      <c r="B34" t="s">
        <v>1113</v>
      </c>
      <c r="C34" t="s">
        <v>1114</v>
      </c>
      <c r="D34" t="s">
        <v>354</v>
      </c>
      <c r="F34">
        <v>586.70477300000005</v>
      </c>
      <c r="G34">
        <v>755.09033199999999</v>
      </c>
      <c r="H34">
        <v>825.08245799999997</v>
      </c>
      <c r="I34">
        <v>835.10656700000004</v>
      </c>
      <c r="J34">
        <v>847.74761999999998</v>
      </c>
      <c r="K34">
        <v>860.41784700000005</v>
      </c>
      <c r="L34">
        <v>870.67083700000001</v>
      </c>
      <c r="M34">
        <v>878.74676499999998</v>
      </c>
      <c r="N34">
        <v>885.43267800000001</v>
      </c>
      <c r="O34">
        <v>892.21881099999996</v>
      </c>
      <c r="P34">
        <v>901.33520499999997</v>
      </c>
      <c r="Q34">
        <v>909.308044</v>
      </c>
      <c r="R34">
        <v>916.19775400000003</v>
      </c>
      <c r="S34">
        <v>925.32128899999998</v>
      </c>
      <c r="T34">
        <v>937.39001499999995</v>
      </c>
      <c r="U34">
        <v>951.84991500000001</v>
      </c>
      <c r="V34">
        <v>966.82946800000002</v>
      </c>
      <c r="W34">
        <v>982.55957000000001</v>
      </c>
      <c r="X34">
        <v>1000.33606</v>
      </c>
      <c r="Y34">
        <v>1017.537842</v>
      </c>
      <c r="Z34">
        <v>1035.0141599999999</v>
      </c>
      <c r="AA34">
        <v>1052.299683</v>
      </c>
      <c r="AB34">
        <v>1069.568237</v>
      </c>
      <c r="AC34">
        <v>1086.7020259999999</v>
      </c>
      <c r="AD34">
        <v>1103.295654</v>
      </c>
      <c r="AE34">
        <v>1120.8325199999999</v>
      </c>
      <c r="AF34">
        <v>1138.661987</v>
      </c>
      <c r="AG34">
        <v>1156.0013429999999</v>
      </c>
      <c r="AH34">
        <v>1175.417236</v>
      </c>
      <c r="AI34" s="31">
        <v>2.5000000000000001E-2</v>
      </c>
    </row>
    <row r="35" spans="1:35">
      <c r="A35" t="s">
        <v>543</v>
      </c>
      <c r="B35" t="s">
        <v>1115</v>
      </c>
      <c r="C35" t="s">
        <v>1116</v>
      </c>
      <c r="D35" t="s">
        <v>354</v>
      </c>
      <c r="F35">
        <v>535.90997300000004</v>
      </c>
      <c r="G35">
        <v>519.99194299999999</v>
      </c>
      <c r="H35">
        <v>514.24633800000004</v>
      </c>
      <c r="I35">
        <v>515.15429700000004</v>
      </c>
      <c r="J35">
        <v>519.40478499999995</v>
      </c>
      <c r="K35">
        <v>524.246216</v>
      </c>
      <c r="L35">
        <v>528.21435499999995</v>
      </c>
      <c r="M35">
        <v>531.52032499999996</v>
      </c>
      <c r="N35">
        <v>534.70904499999995</v>
      </c>
      <c r="O35">
        <v>538.17767300000003</v>
      </c>
      <c r="P35">
        <v>542.72302200000001</v>
      </c>
      <c r="Q35">
        <v>545.894409</v>
      </c>
      <c r="R35">
        <v>548.40716599999996</v>
      </c>
      <c r="S35">
        <v>552.81854199999998</v>
      </c>
      <c r="T35">
        <v>559.20330799999999</v>
      </c>
      <c r="U35">
        <v>567.10730000000001</v>
      </c>
      <c r="V35">
        <v>575.29974400000003</v>
      </c>
      <c r="W35">
        <v>584.06347700000003</v>
      </c>
      <c r="X35">
        <v>593.73175000000003</v>
      </c>
      <c r="Y35">
        <v>603.15594499999997</v>
      </c>
      <c r="Z35">
        <v>612.77221699999996</v>
      </c>
      <c r="AA35">
        <v>622.08221400000002</v>
      </c>
      <c r="AB35">
        <v>631.49047900000005</v>
      </c>
      <c r="AC35">
        <v>641.01318400000002</v>
      </c>
      <c r="AD35">
        <v>650.15185499999995</v>
      </c>
      <c r="AE35">
        <v>659.66058299999997</v>
      </c>
      <c r="AF35">
        <v>669.38610800000004</v>
      </c>
      <c r="AG35">
        <v>678.74932899999999</v>
      </c>
      <c r="AH35">
        <v>689.23980700000004</v>
      </c>
      <c r="AI35" s="31">
        <v>8.9999999999999993E-3</v>
      </c>
    </row>
    <row r="36" spans="1:35">
      <c r="A36" t="s">
        <v>345</v>
      </c>
      <c r="B36" t="s">
        <v>1117</v>
      </c>
      <c r="C36" t="s">
        <v>1118</v>
      </c>
      <c r="D36" t="s">
        <v>354</v>
      </c>
      <c r="F36">
        <v>1236.103394</v>
      </c>
      <c r="G36">
        <v>1179.9141850000001</v>
      </c>
      <c r="H36">
        <v>1171.647461</v>
      </c>
      <c r="I36">
        <v>1169.6875</v>
      </c>
      <c r="J36">
        <v>1160.749268</v>
      </c>
      <c r="K36">
        <v>1156.1695560000001</v>
      </c>
      <c r="L36">
        <v>1148.387573</v>
      </c>
      <c r="M36">
        <v>1142.2429199999999</v>
      </c>
      <c r="N36">
        <v>1136.9570309999999</v>
      </c>
      <c r="O36">
        <v>1134.8431399999999</v>
      </c>
      <c r="P36">
        <v>1133.3050539999999</v>
      </c>
      <c r="Q36">
        <v>1132.2845460000001</v>
      </c>
      <c r="R36">
        <v>1130.4716800000001</v>
      </c>
      <c r="S36">
        <v>1129.38501</v>
      </c>
      <c r="T36">
        <v>1127.3304439999999</v>
      </c>
      <c r="U36">
        <v>1126.333862</v>
      </c>
      <c r="V36">
        <v>1125.2138669999999</v>
      </c>
      <c r="W36">
        <v>1123.8895259999999</v>
      </c>
      <c r="X36">
        <v>1123.014404</v>
      </c>
      <c r="Y36">
        <v>1122.3082280000001</v>
      </c>
      <c r="Z36">
        <v>1122.091553</v>
      </c>
      <c r="AA36">
        <v>1121.338745</v>
      </c>
      <c r="AB36">
        <v>1120.7080080000001</v>
      </c>
      <c r="AC36">
        <v>1119.729736</v>
      </c>
      <c r="AD36">
        <v>1121.439331</v>
      </c>
      <c r="AE36">
        <v>1120.900879</v>
      </c>
      <c r="AF36">
        <v>1118.8984379999999</v>
      </c>
      <c r="AG36">
        <v>1117.3405760000001</v>
      </c>
      <c r="AH36">
        <v>1115.843018</v>
      </c>
      <c r="AI36" s="31">
        <v>-4.0000000000000001E-3</v>
      </c>
    </row>
    <row r="37" spans="1:35">
      <c r="A37" t="s">
        <v>346</v>
      </c>
      <c r="B37" t="s">
        <v>1119</v>
      </c>
      <c r="C37" t="s">
        <v>1120</v>
      </c>
      <c r="D37" t="s">
        <v>354</v>
      </c>
      <c r="F37">
        <v>1033.2667240000001</v>
      </c>
      <c r="G37">
        <v>980.75116000000003</v>
      </c>
      <c r="H37">
        <v>975.84198000000004</v>
      </c>
      <c r="I37">
        <v>975.95019500000001</v>
      </c>
      <c r="J37">
        <v>967.93615699999998</v>
      </c>
      <c r="K37">
        <v>964.27221699999996</v>
      </c>
      <c r="L37">
        <v>957.65405299999998</v>
      </c>
      <c r="M37">
        <v>953.03247099999999</v>
      </c>
      <c r="N37">
        <v>949.55358899999999</v>
      </c>
      <c r="O37">
        <v>949.16625999999997</v>
      </c>
      <c r="P37">
        <v>948.83813499999997</v>
      </c>
      <c r="Q37">
        <v>948.67443800000001</v>
      </c>
      <c r="R37">
        <v>947.69421399999999</v>
      </c>
      <c r="S37">
        <v>947.38678000000004</v>
      </c>
      <c r="T37">
        <v>945.88024900000005</v>
      </c>
      <c r="U37">
        <v>945.22845500000005</v>
      </c>
      <c r="V37">
        <v>944.46801800000003</v>
      </c>
      <c r="W37">
        <v>943.50647000000004</v>
      </c>
      <c r="X37">
        <v>942.71899399999995</v>
      </c>
      <c r="Y37">
        <v>942.14709500000004</v>
      </c>
      <c r="Z37">
        <v>942.10345500000005</v>
      </c>
      <c r="AA37">
        <v>941.52520800000002</v>
      </c>
      <c r="AB37">
        <v>941.15136700000005</v>
      </c>
      <c r="AC37">
        <v>940.48584000000005</v>
      </c>
      <c r="AD37">
        <v>942.48962400000005</v>
      </c>
      <c r="AE37">
        <v>942.17327899999998</v>
      </c>
      <c r="AF37">
        <v>940.40753199999995</v>
      </c>
      <c r="AG37">
        <v>939.112122</v>
      </c>
      <c r="AH37">
        <v>937.68743900000004</v>
      </c>
      <c r="AI37" s="31">
        <v>-3.0000000000000001E-3</v>
      </c>
    </row>
    <row r="38" spans="1:35">
      <c r="A38" t="s">
        <v>213</v>
      </c>
      <c r="B38" t="s">
        <v>1121</v>
      </c>
      <c r="C38" t="s">
        <v>1122</v>
      </c>
      <c r="D38" t="s">
        <v>354</v>
      </c>
      <c r="F38">
        <v>98.239020999999994</v>
      </c>
      <c r="G38">
        <v>98.920753000000005</v>
      </c>
      <c r="H38">
        <v>98.114661999999996</v>
      </c>
      <c r="I38">
        <v>97.346069</v>
      </c>
      <c r="J38">
        <v>96.685867000000002</v>
      </c>
      <c r="K38">
        <v>95.823470999999998</v>
      </c>
      <c r="L38">
        <v>94.964698999999996</v>
      </c>
      <c r="M38">
        <v>93.890502999999995</v>
      </c>
      <c r="N38">
        <v>92.919189000000003</v>
      </c>
      <c r="O38">
        <v>92.029815999999997</v>
      </c>
      <c r="P38">
        <v>91.401107999999994</v>
      </c>
      <c r="Q38">
        <v>90.674225000000007</v>
      </c>
      <c r="R38">
        <v>89.934028999999995</v>
      </c>
      <c r="S38">
        <v>89.168869000000001</v>
      </c>
      <c r="T38">
        <v>88.333008000000007</v>
      </c>
      <c r="U38">
        <v>87.614966999999993</v>
      </c>
      <c r="V38">
        <v>86.833350999999993</v>
      </c>
      <c r="W38">
        <v>86.156693000000004</v>
      </c>
      <c r="X38">
        <v>85.473595000000003</v>
      </c>
      <c r="Y38">
        <v>84.846123000000006</v>
      </c>
      <c r="Z38">
        <v>84.273765999999995</v>
      </c>
      <c r="AA38">
        <v>83.705399</v>
      </c>
      <c r="AB38">
        <v>83.103454999999997</v>
      </c>
      <c r="AC38">
        <v>82.418205</v>
      </c>
      <c r="AD38">
        <v>81.856209000000007</v>
      </c>
      <c r="AE38">
        <v>81.249022999999994</v>
      </c>
      <c r="AF38">
        <v>80.573120000000003</v>
      </c>
      <c r="AG38">
        <v>79.990395000000007</v>
      </c>
      <c r="AH38">
        <v>79.592849999999999</v>
      </c>
      <c r="AI38" s="31">
        <v>-7.0000000000000001E-3</v>
      </c>
    </row>
    <row r="39" spans="1:35">
      <c r="A39" t="s">
        <v>212</v>
      </c>
      <c r="B39" t="s">
        <v>1123</v>
      </c>
      <c r="C39" t="s">
        <v>1124</v>
      </c>
      <c r="D39" t="s">
        <v>354</v>
      </c>
      <c r="F39">
        <v>935.02770999999996</v>
      </c>
      <c r="G39">
        <v>881.83038299999998</v>
      </c>
      <c r="H39">
        <v>877.72729500000003</v>
      </c>
      <c r="I39">
        <v>878.60412599999995</v>
      </c>
      <c r="J39">
        <v>871.25030500000003</v>
      </c>
      <c r="K39">
        <v>868.44872999999995</v>
      </c>
      <c r="L39">
        <v>862.68933100000004</v>
      </c>
      <c r="M39">
        <v>859.14196800000002</v>
      </c>
      <c r="N39">
        <v>856.63439900000003</v>
      </c>
      <c r="O39">
        <v>857.13647500000002</v>
      </c>
      <c r="P39">
        <v>857.43701199999998</v>
      </c>
      <c r="Q39">
        <v>858.00024399999995</v>
      </c>
      <c r="R39">
        <v>857.76019299999996</v>
      </c>
      <c r="S39">
        <v>858.217896</v>
      </c>
      <c r="T39">
        <v>857.54724099999999</v>
      </c>
      <c r="U39">
        <v>857.61346400000002</v>
      </c>
      <c r="V39">
        <v>857.63464399999998</v>
      </c>
      <c r="W39">
        <v>857.34979199999998</v>
      </c>
      <c r="X39">
        <v>857.24542199999996</v>
      </c>
      <c r="Y39">
        <v>857.30096400000002</v>
      </c>
      <c r="Z39">
        <v>857.82971199999997</v>
      </c>
      <c r="AA39">
        <v>857.81982400000004</v>
      </c>
      <c r="AB39">
        <v>858.04791299999999</v>
      </c>
      <c r="AC39">
        <v>858.06762700000002</v>
      </c>
      <c r="AD39">
        <v>860.63342299999999</v>
      </c>
      <c r="AE39">
        <v>860.92425500000002</v>
      </c>
      <c r="AF39">
        <v>859.83441200000004</v>
      </c>
      <c r="AG39">
        <v>859.12170400000002</v>
      </c>
      <c r="AH39">
        <v>858.094604</v>
      </c>
      <c r="AI39" s="31">
        <v>-3.0000000000000001E-3</v>
      </c>
    </row>
    <row r="40" spans="1:35">
      <c r="A40" t="s">
        <v>281</v>
      </c>
      <c r="B40" t="s">
        <v>1125</v>
      </c>
      <c r="C40" t="s">
        <v>1126</v>
      </c>
      <c r="D40" t="s">
        <v>354</v>
      </c>
      <c r="F40">
        <v>202.83663899999999</v>
      </c>
      <c r="G40">
        <v>199.16296399999999</v>
      </c>
      <c r="H40">
        <v>195.80548099999999</v>
      </c>
      <c r="I40">
        <v>193.737213</v>
      </c>
      <c r="J40">
        <v>192.813141</v>
      </c>
      <c r="K40">
        <v>191.8974</v>
      </c>
      <c r="L40">
        <v>190.73350500000001</v>
      </c>
      <c r="M40">
        <v>189.210464</v>
      </c>
      <c r="N40">
        <v>187.40353400000001</v>
      </c>
      <c r="O40">
        <v>185.676941</v>
      </c>
      <c r="P40">
        <v>184.46688800000001</v>
      </c>
      <c r="Q40">
        <v>183.61003099999999</v>
      </c>
      <c r="R40">
        <v>182.77757299999999</v>
      </c>
      <c r="S40">
        <v>181.99818400000001</v>
      </c>
      <c r="T40">
        <v>181.450287</v>
      </c>
      <c r="U40">
        <v>181.105515</v>
      </c>
      <c r="V40">
        <v>180.74588</v>
      </c>
      <c r="W40">
        <v>180.38298</v>
      </c>
      <c r="X40">
        <v>180.29542499999999</v>
      </c>
      <c r="Y40">
        <v>180.16119399999999</v>
      </c>
      <c r="Z40">
        <v>179.988022</v>
      </c>
      <c r="AA40">
        <v>179.81350699999999</v>
      </c>
      <c r="AB40">
        <v>179.55651900000001</v>
      </c>
      <c r="AC40">
        <v>179.24385100000001</v>
      </c>
      <c r="AD40">
        <v>178.94970699999999</v>
      </c>
      <c r="AE40">
        <v>178.72766100000001</v>
      </c>
      <c r="AF40">
        <v>178.49087499999999</v>
      </c>
      <c r="AG40">
        <v>178.228363</v>
      </c>
      <c r="AH40">
        <v>178.15554800000001</v>
      </c>
      <c r="AI40" s="31">
        <v>-5.0000000000000001E-3</v>
      </c>
    </row>
    <row r="41" spans="1:35">
      <c r="A41" t="s">
        <v>180</v>
      </c>
      <c r="B41" t="s">
        <v>1127</v>
      </c>
      <c r="C41" t="s">
        <v>1128</v>
      </c>
      <c r="D41" t="s">
        <v>354</v>
      </c>
      <c r="F41">
        <v>525.29516599999999</v>
      </c>
      <c r="G41">
        <v>520.38635299999999</v>
      </c>
      <c r="H41">
        <v>540.67010500000004</v>
      </c>
      <c r="I41">
        <v>529.40960700000005</v>
      </c>
      <c r="J41">
        <v>509.78036500000002</v>
      </c>
      <c r="K41">
        <v>494.66577100000001</v>
      </c>
      <c r="L41">
        <v>488.87829599999998</v>
      </c>
      <c r="M41">
        <v>494.23297100000002</v>
      </c>
      <c r="N41">
        <v>492.04196200000001</v>
      </c>
      <c r="O41">
        <v>494.021973</v>
      </c>
      <c r="P41">
        <v>498.57672100000002</v>
      </c>
      <c r="Q41">
        <v>502.37463400000001</v>
      </c>
      <c r="R41">
        <v>505.03482100000002</v>
      </c>
      <c r="S41">
        <v>508.43884300000002</v>
      </c>
      <c r="T41">
        <v>509.35067700000002</v>
      </c>
      <c r="U41">
        <v>510.83496100000002</v>
      </c>
      <c r="V41">
        <v>512.78436299999998</v>
      </c>
      <c r="W41">
        <v>512.64245600000004</v>
      </c>
      <c r="X41">
        <v>513.75494400000002</v>
      </c>
      <c r="Y41">
        <v>517.85437000000002</v>
      </c>
      <c r="Z41">
        <v>521.34210199999995</v>
      </c>
      <c r="AA41">
        <v>522.19409199999996</v>
      </c>
      <c r="AB41">
        <v>522.73846400000002</v>
      </c>
      <c r="AC41">
        <v>523.13726799999995</v>
      </c>
      <c r="AD41">
        <v>524.88281199999994</v>
      </c>
      <c r="AE41">
        <v>527.90673800000002</v>
      </c>
      <c r="AF41">
        <v>531.78454599999998</v>
      </c>
      <c r="AG41">
        <v>533.67974900000002</v>
      </c>
      <c r="AH41">
        <v>537.57678199999998</v>
      </c>
      <c r="AI41" s="31">
        <v>1E-3</v>
      </c>
    </row>
    <row r="42" spans="1:35">
      <c r="A42" t="s">
        <v>346</v>
      </c>
      <c r="B42" t="s">
        <v>1129</v>
      </c>
      <c r="C42" t="s">
        <v>1130</v>
      </c>
      <c r="D42" t="s">
        <v>354</v>
      </c>
      <c r="F42">
        <v>481.38171399999999</v>
      </c>
      <c r="G42">
        <v>474.82238799999999</v>
      </c>
      <c r="H42">
        <v>494.12914999999998</v>
      </c>
      <c r="I42">
        <v>482.20422400000001</v>
      </c>
      <c r="J42">
        <v>461.88034099999999</v>
      </c>
      <c r="K42">
        <v>446.09524499999998</v>
      </c>
      <c r="L42">
        <v>439.745361</v>
      </c>
      <c r="M42">
        <v>444.52569599999998</v>
      </c>
      <c r="N42">
        <v>441.89193699999998</v>
      </c>
      <c r="O42">
        <v>443.42330900000002</v>
      </c>
      <c r="P42">
        <v>447.43722500000001</v>
      </c>
      <c r="Q42">
        <v>450.64798000000002</v>
      </c>
      <c r="R42">
        <v>452.66558800000001</v>
      </c>
      <c r="S42">
        <v>455.51504499999999</v>
      </c>
      <c r="T42">
        <v>455.89370700000001</v>
      </c>
      <c r="U42">
        <v>456.86227400000001</v>
      </c>
      <c r="V42">
        <v>458.27462800000001</v>
      </c>
      <c r="W42">
        <v>457.60876500000001</v>
      </c>
      <c r="X42">
        <v>458.12835699999999</v>
      </c>
      <c r="Y42">
        <v>461.673248</v>
      </c>
      <c r="Z42">
        <v>464.588348</v>
      </c>
      <c r="AA42">
        <v>464.93649299999998</v>
      </c>
      <c r="AB42">
        <v>464.922821</v>
      </c>
      <c r="AC42">
        <v>464.770691</v>
      </c>
      <c r="AD42">
        <v>465.76678500000003</v>
      </c>
      <c r="AE42">
        <v>468.15533399999998</v>
      </c>
      <c r="AF42">
        <v>471.33984400000003</v>
      </c>
      <c r="AG42">
        <v>472.59906000000001</v>
      </c>
      <c r="AH42">
        <v>475.72866800000003</v>
      </c>
      <c r="AI42" s="31">
        <v>0</v>
      </c>
    </row>
    <row r="43" spans="1:35">
      <c r="A43" t="s">
        <v>347</v>
      </c>
      <c r="B43" t="s">
        <v>1131</v>
      </c>
      <c r="C43" t="s">
        <v>1132</v>
      </c>
      <c r="D43" t="s">
        <v>354</v>
      </c>
      <c r="F43">
        <v>43.913421999999997</v>
      </c>
      <c r="G43">
        <v>45.563988000000002</v>
      </c>
      <c r="H43">
        <v>46.540951</v>
      </c>
      <c r="I43">
        <v>47.205399</v>
      </c>
      <c r="J43">
        <v>47.900013000000001</v>
      </c>
      <c r="K43">
        <v>48.570526000000001</v>
      </c>
      <c r="L43">
        <v>49.132919000000001</v>
      </c>
      <c r="M43">
        <v>49.707282999999997</v>
      </c>
      <c r="N43">
        <v>50.150032000000003</v>
      </c>
      <c r="O43">
        <v>50.598678999999997</v>
      </c>
      <c r="P43">
        <v>51.139499999999998</v>
      </c>
      <c r="Q43">
        <v>51.726661999999997</v>
      </c>
      <c r="R43">
        <v>52.369225</v>
      </c>
      <c r="S43">
        <v>52.923794000000001</v>
      </c>
      <c r="T43">
        <v>53.456974000000002</v>
      </c>
      <c r="U43">
        <v>53.972693999999997</v>
      </c>
      <c r="V43">
        <v>54.509743</v>
      </c>
      <c r="W43">
        <v>55.033695000000002</v>
      </c>
      <c r="X43">
        <v>55.626582999999997</v>
      </c>
      <c r="Y43">
        <v>56.181145000000001</v>
      </c>
      <c r="Z43">
        <v>56.753779999999999</v>
      </c>
      <c r="AA43">
        <v>57.257598999999999</v>
      </c>
      <c r="AB43">
        <v>57.815627999999997</v>
      </c>
      <c r="AC43">
        <v>58.366591999999997</v>
      </c>
      <c r="AD43">
        <v>59.116034999999997</v>
      </c>
      <c r="AE43">
        <v>59.751427</v>
      </c>
      <c r="AF43">
        <v>60.444682999999998</v>
      </c>
      <c r="AG43">
        <v>61.080703999999997</v>
      </c>
      <c r="AH43">
        <v>61.848125000000003</v>
      </c>
      <c r="AI43" s="31">
        <v>1.2E-2</v>
      </c>
    </row>
    <row r="44" spans="1:35">
      <c r="A44" t="s">
        <v>339</v>
      </c>
      <c r="B44" t="s">
        <v>1133</v>
      </c>
      <c r="C44" t="s">
        <v>1134</v>
      </c>
      <c r="D44" t="s">
        <v>354</v>
      </c>
      <c r="F44">
        <v>7.5946369999999996</v>
      </c>
      <c r="G44">
        <v>8.2708110000000001</v>
      </c>
      <c r="H44">
        <v>8.8117520000000003</v>
      </c>
      <c r="I44">
        <v>9.2425239999999995</v>
      </c>
      <c r="J44">
        <v>9.5890699999999995</v>
      </c>
      <c r="K44">
        <v>9.8712160000000004</v>
      </c>
      <c r="L44">
        <v>10.105147000000001</v>
      </c>
      <c r="M44">
        <v>10.303372</v>
      </c>
      <c r="N44">
        <v>10.475068</v>
      </c>
      <c r="O44">
        <v>10.626023999999999</v>
      </c>
      <c r="P44">
        <v>10.758953999999999</v>
      </c>
      <c r="Q44">
        <v>10.875567999999999</v>
      </c>
      <c r="R44">
        <v>10.979032999999999</v>
      </c>
      <c r="S44">
        <v>11.071654000000001</v>
      </c>
      <c r="T44">
        <v>11.154877000000001</v>
      </c>
      <c r="U44">
        <v>11.229654999999999</v>
      </c>
      <c r="V44">
        <v>11.304667</v>
      </c>
      <c r="W44">
        <v>11.377219</v>
      </c>
      <c r="X44">
        <v>11.447278000000001</v>
      </c>
      <c r="Y44">
        <v>11.515231999999999</v>
      </c>
      <c r="Z44">
        <v>11.582255999999999</v>
      </c>
      <c r="AA44">
        <v>11.648866999999999</v>
      </c>
      <c r="AB44">
        <v>11.715138</v>
      </c>
      <c r="AC44">
        <v>11.781057000000001</v>
      </c>
      <c r="AD44">
        <v>11.847011999999999</v>
      </c>
      <c r="AE44">
        <v>11.912785</v>
      </c>
      <c r="AF44">
        <v>11.978335</v>
      </c>
      <c r="AG44">
        <v>12.043905000000001</v>
      </c>
      <c r="AH44">
        <v>12.109465</v>
      </c>
      <c r="AI44" s="31">
        <v>1.7000000000000001E-2</v>
      </c>
    </row>
    <row r="45" spans="1:35">
      <c r="A45" t="s">
        <v>338</v>
      </c>
      <c r="B45" t="s">
        <v>1135</v>
      </c>
      <c r="C45" t="s">
        <v>1136</v>
      </c>
      <c r="D45" t="s">
        <v>354</v>
      </c>
      <c r="F45">
        <v>17.032639</v>
      </c>
      <c r="G45">
        <v>17.333525000000002</v>
      </c>
      <c r="H45">
        <v>17.471111000000001</v>
      </c>
      <c r="I45">
        <v>17.514868</v>
      </c>
      <c r="J45">
        <v>17.667708999999999</v>
      </c>
      <c r="K45">
        <v>17.921016999999999</v>
      </c>
      <c r="L45">
        <v>18.139037999999999</v>
      </c>
      <c r="M45">
        <v>18.293453</v>
      </c>
      <c r="N45">
        <v>18.389309000000001</v>
      </c>
      <c r="O45">
        <v>18.446940999999999</v>
      </c>
      <c r="P45">
        <v>18.571213</v>
      </c>
      <c r="Q45">
        <v>18.730657999999998</v>
      </c>
      <c r="R45">
        <v>18.930088000000001</v>
      </c>
      <c r="S45">
        <v>19.092124999999999</v>
      </c>
      <c r="T45">
        <v>19.259436000000001</v>
      </c>
      <c r="U45">
        <v>19.415512</v>
      </c>
      <c r="V45">
        <v>19.584526</v>
      </c>
      <c r="W45">
        <v>19.751868999999999</v>
      </c>
      <c r="X45">
        <v>19.950641999999998</v>
      </c>
      <c r="Y45">
        <v>20.133372999999999</v>
      </c>
      <c r="Z45">
        <v>20.325230000000001</v>
      </c>
      <c r="AA45">
        <v>20.481424000000001</v>
      </c>
      <c r="AB45">
        <v>20.667052999999999</v>
      </c>
      <c r="AC45">
        <v>20.844881000000001</v>
      </c>
      <c r="AD45">
        <v>21.123301999999999</v>
      </c>
      <c r="AE45">
        <v>21.333514999999998</v>
      </c>
      <c r="AF45">
        <v>21.575635999999999</v>
      </c>
      <c r="AG45">
        <v>21.790666999999999</v>
      </c>
      <c r="AH45">
        <v>22.070596999999999</v>
      </c>
      <c r="AI45" s="31">
        <v>8.9999999999999993E-3</v>
      </c>
    </row>
    <row r="46" spans="1:35">
      <c r="A46" t="s">
        <v>348</v>
      </c>
      <c r="B46" t="s">
        <v>1137</v>
      </c>
      <c r="C46" t="s">
        <v>1138</v>
      </c>
      <c r="D46" t="s">
        <v>354</v>
      </c>
      <c r="F46">
        <v>19.286148000000001</v>
      </c>
      <c r="G46">
        <v>19.959654</v>
      </c>
      <c r="H46">
        <v>20.258087</v>
      </c>
      <c r="I46">
        <v>20.448008000000002</v>
      </c>
      <c r="J46">
        <v>20.643234</v>
      </c>
      <c r="K46">
        <v>20.778293999999999</v>
      </c>
      <c r="L46">
        <v>20.888736999999999</v>
      </c>
      <c r="M46">
        <v>21.11046</v>
      </c>
      <c r="N46">
        <v>21.285655999999999</v>
      </c>
      <c r="O46">
        <v>21.525711000000001</v>
      </c>
      <c r="P46">
        <v>21.809334</v>
      </c>
      <c r="Q46">
        <v>22.120438</v>
      </c>
      <c r="R46">
        <v>22.460100000000001</v>
      </c>
      <c r="S46">
        <v>22.760014000000002</v>
      </c>
      <c r="T46">
        <v>23.042663999999998</v>
      </c>
      <c r="U46">
        <v>23.327525999999999</v>
      </c>
      <c r="V46">
        <v>23.620547999999999</v>
      </c>
      <c r="W46">
        <v>23.904606000000001</v>
      </c>
      <c r="X46">
        <v>24.228663999999998</v>
      </c>
      <c r="Y46">
        <v>24.532539</v>
      </c>
      <c r="Z46">
        <v>24.846294</v>
      </c>
      <c r="AA46">
        <v>25.127307999999999</v>
      </c>
      <c r="AB46">
        <v>25.433437000000001</v>
      </c>
      <c r="AC46">
        <v>25.740656000000001</v>
      </c>
      <c r="AD46">
        <v>26.145723</v>
      </c>
      <c r="AE46">
        <v>26.505127000000002</v>
      </c>
      <c r="AF46">
        <v>26.890711</v>
      </c>
      <c r="AG46">
        <v>27.246131999999999</v>
      </c>
      <c r="AH46">
        <v>27.668061999999999</v>
      </c>
      <c r="AI46" s="31">
        <v>1.2999999999999999E-2</v>
      </c>
    </row>
    <row r="47" spans="1:35">
      <c r="A47" t="s">
        <v>282</v>
      </c>
      <c r="B47" t="s">
        <v>1139</v>
      </c>
      <c r="C47" t="s">
        <v>1140</v>
      </c>
      <c r="D47" t="s">
        <v>354</v>
      </c>
      <c r="F47">
        <v>125.945221</v>
      </c>
      <c r="G47">
        <v>125.92506400000001</v>
      </c>
      <c r="H47">
        <v>126.01237500000001</v>
      </c>
      <c r="I47">
        <v>126.049858</v>
      </c>
      <c r="J47">
        <v>126.11367</v>
      </c>
      <c r="K47">
        <v>125.98440600000001</v>
      </c>
      <c r="L47">
        <v>125.852997</v>
      </c>
      <c r="M47">
        <v>125.755234</v>
      </c>
      <c r="N47">
        <v>125.652069</v>
      </c>
      <c r="O47">
        <v>125.54579200000001</v>
      </c>
      <c r="P47">
        <v>125.439178</v>
      </c>
      <c r="Q47">
        <v>125.330147</v>
      </c>
      <c r="R47">
        <v>125.250381</v>
      </c>
      <c r="S47">
        <v>125.225021</v>
      </c>
      <c r="T47">
        <v>125.255257</v>
      </c>
      <c r="U47">
        <v>125.318207</v>
      </c>
      <c r="V47">
        <v>125.411896</v>
      </c>
      <c r="W47">
        <v>125.52668799999999</v>
      </c>
      <c r="X47">
        <v>125.666534</v>
      </c>
      <c r="Y47">
        <v>125.797371</v>
      </c>
      <c r="Z47">
        <v>125.925034</v>
      </c>
      <c r="AA47">
        <v>126.04557</v>
      </c>
      <c r="AB47">
        <v>126.16628300000001</v>
      </c>
      <c r="AC47">
        <v>126.32028200000001</v>
      </c>
      <c r="AD47">
        <v>126.49239300000001</v>
      </c>
      <c r="AE47">
        <v>126.66081200000001</v>
      </c>
      <c r="AF47">
        <v>126.811455</v>
      </c>
      <c r="AG47">
        <v>126.974289</v>
      </c>
      <c r="AH47">
        <v>127.158676</v>
      </c>
      <c r="AI47" s="31">
        <v>0</v>
      </c>
    </row>
    <row r="48" spans="1:35">
      <c r="A48" t="s">
        <v>283</v>
      </c>
      <c r="B48" t="s">
        <v>1141</v>
      </c>
      <c r="C48" t="s">
        <v>1142</v>
      </c>
      <c r="D48" t="s">
        <v>354</v>
      </c>
      <c r="F48">
        <v>905.73223900000005</v>
      </c>
      <c r="G48">
        <v>820.54260299999999</v>
      </c>
      <c r="H48">
        <v>760.982483</v>
      </c>
      <c r="I48">
        <v>726.75244099999998</v>
      </c>
      <c r="J48">
        <v>695.850098</v>
      </c>
      <c r="K48">
        <v>653.98541299999999</v>
      </c>
      <c r="L48">
        <v>613.92791699999998</v>
      </c>
      <c r="M48">
        <v>612.03295900000001</v>
      </c>
      <c r="N48">
        <v>610.31640600000003</v>
      </c>
      <c r="O48">
        <v>611.89654499999995</v>
      </c>
      <c r="P48">
        <v>617.76355000000001</v>
      </c>
      <c r="Q48">
        <v>626.28515600000003</v>
      </c>
      <c r="R48">
        <v>630.76672399999995</v>
      </c>
      <c r="S48">
        <v>633.47729500000003</v>
      </c>
      <c r="T48">
        <v>634.00311299999998</v>
      </c>
      <c r="U48">
        <v>632.96820100000002</v>
      </c>
      <c r="V48">
        <v>637.83142099999998</v>
      </c>
      <c r="W48">
        <v>636.66796899999997</v>
      </c>
      <c r="X48">
        <v>645.807007</v>
      </c>
      <c r="Y48">
        <v>652.42675799999995</v>
      </c>
      <c r="Z48">
        <v>658.166382</v>
      </c>
      <c r="AA48">
        <v>660.99408000000005</v>
      </c>
      <c r="AB48">
        <v>665.09454300000004</v>
      </c>
      <c r="AC48">
        <v>669.20263699999998</v>
      </c>
      <c r="AD48">
        <v>674.53369099999998</v>
      </c>
      <c r="AE48">
        <v>682.13464399999998</v>
      </c>
      <c r="AF48">
        <v>689.49054000000001</v>
      </c>
      <c r="AG48">
        <v>691.88214100000005</v>
      </c>
      <c r="AH48">
        <v>696.77728300000001</v>
      </c>
      <c r="AI48" s="31">
        <v>-8.9999999999999993E-3</v>
      </c>
    </row>
    <row r="49" spans="1:35">
      <c r="A49" t="s">
        <v>1143</v>
      </c>
      <c r="B49" t="s">
        <v>1144</v>
      </c>
      <c r="C49" t="s">
        <v>1145</v>
      </c>
      <c r="D49" t="s">
        <v>354</v>
      </c>
      <c r="F49">
        <v>332.52310199999999</v>
      </c>
      <c r="G49">
        <v>377.97052000000002</v>
      </c>
      <c r="H49">
        <v>384.00460800000002</v>
      </c>
      <c r="I49">
        <v>408.78292800000003</v>
      </c>
      <c r="J49">
        <v>446.260651</v>
      </c>
      <c r="K49">
        <v>477.17263800000001</v>
      </c>
      <c r="L49">
        <v>503.61007699999999</v>
      </c>
      <c r="M49">
        <v>527.57086200000003</v>
      </c>
      <c r="N49">
        <v>577.96905500000003</v>
      </c>
      <c r="O49">
        <v>628.36724900000002</v>
      </c>
      <c r="P49">
        <v>680.00372300000004</v>
      </c>
      <c r="Q49">
        <v>729.163635</v>
      </c>
      <c r="R49">
        <v>771.16210899999999</v>
      </c>
      <c r="S49">
        <v>796.36120600000004</v>
      </c>
      <c r="T49">
        <v>814.39892599999996</v>
      </c>
      <c r="U49">
        <v>829.96002199999998</v>
      </c>
      <c r="V49">
        <v>838.35974099999999</v>
      </c>
      <c r="W49">
        <v>838.35974099999999</v>
      </c>
      <c r="X49">
        <v>839.59802200000001</v>
      </c>
      <c r="Y49">
        <v>838.35974099999999</v>
      </c>
      <c r="Z49">
        <v>838.35974099999999</v>
      </c>
      <c r="AA49">
        <v>838.35974099999999</v>
      </c>
      <c r="AB49">
        <v>839.59802200000001</v>
      </c>
      <c r="AC49">
        <v>838.35974099999999</v>
      </c>
      <c r="AD49">
        <v>838.35974099999999</v>
      </c>
      <c r="AE49">
        <v>838.35974099999999</v>
      </c>
      <c r="AF49">
        <v>839.59802200000001</v>
      </c>
      <c r="AG49">
        <v>838.35974099999999</v>
      </c>
      <c r="AH49">
        <v>838.35974099999999</v>
      </c>
      <c r="AI49" s="31">
        <v>3.4000000000000002E-2</v>
      </c>
    </row>
    <row r="50" spans="1:35">
      <c r="A50" t="s">
        <v>278</v>
      </c>
      <c r="B50" t="s">
        <v>1146</v>
      </c>
      <c r="C50" t="s">
        <v>1147</v>
      </c>
      <c r="D50" t="s">
        <v>354</v>
      </c>
      <c r="F50">
        <v>430.83187900000001</v>
      </c>
      <c r="G50">
        <v>433.13122600000003</v>
      </c>
      <c r="H50">
        <v>433.96752900000001</v>
      </c>
      <c r="I50">
        <v>434.62820399999998</v>
      </c>
      <c r="J50">
        <v>435.16168199999998</v>
      </c>
      <c r="K50">
        <v>435.947113</v>
      </c>
      <c r="L50">
        <v>436.50567599999999</v>
      </c>
      <c r="M50">
        <v>436.95120200000002</v>
      </c>
      <c r="N50">
        <v>437.33203099999997</v>
      </c>
      <c r="O50">
        <v>437.57638500000002</v>
      </c>
      <c r="P50">
        <v>437.74392699999999</v>
      </c>
      <c r="Q50">
        <v>437.826752</v>
      </c>
      <c r="R50">
        <v>437.85824600000001</v>
      </c>
      <c r="S50">
        <v>437.879456</v>
      </c>
      <c r="T50">
        <v>438.00381499999997</v>
      </c>
      <c r="U50">
        <v>438.20288099999999</v>
      </c>
      <c r="V50">
        <v>438.41198700000001</v>
      </c>
      <c r="W50">
        <v>438.63055400000002</v>
      </c>
      <c r="X50">
        <v>438.85791</v>
      </c>
      <c r="Y50">
        <v>439.09307899999999</v>
      </c>
      <c r="Z50">
        <v>439.33535799999999</v>
      </c>
      <c r="AA50">
        <v>439.584137</v>
      </c>
      <c r="AB50">
        <v>439.83880599999998</v>
      </c>
      <c r="AC50">
        <v>440.09887700000002</v>
      </c>
      <c r="AD50">
        <v>440.36389200000002</v>
      </c>
      <c r="AE50">
        <v>440.63324</v>
      </c>
      <c r="AF50">
        <v>440.906677</v>
      </c>
      <c r="AG50">
        <v>441.18383799999998</v>
      </c>
      <c r="AH50">
        <v>441.46450800000002</v>
      </c>
      <c r="AI50" s="31">
        <v>1E-3</v>
      </c>
    </row>
    <row r="51" spans="1:35">
      <c r="A51" t="s">
        <v>321</v>
      </c>
      <c r="B51" t="s">
        <v>1148</v>
      </c>
      <c r="C51" t="s">
        <v>1149</v>
      </c>
      <c r="D51" t="s">
        <v>354</v>
      </c>
      <c r="F51">
        <v>334.448914</v>
      </c>
      <c r="G51">
        <v>336.233856</v>
      </c>
      <c r="H51">
        <v>336.88305700000001</v>
      </c>
      <c r="I51">
        <v>337.39593500000001</v>
      </c>
      <c r="J51">
        <v>337.81005900000002</v>
      </c>
      <c r="K51">
        <v>338.41980000000001</v>
      </c>
      <c r="L51">
        <v>338.85339399999998</v>
      </c>
      <c r="M51">
        <v>339.19924900000001</v>
      </c>
      <c r="N51">
        <v>339.49490400000002</v>
      </c>
      <c r="O51">
        <v>339.68457000000001</v>
      </c>
      <c r="P51">
        <v>339.81463600000001</v>
      </c>
      <c r="Q51">
        <v>339.87893700000001</v>
      </c>
      <c r="R51">
        <v>339.90338100000002</v>
      </c>
      <c r="S51">
        <v>339.91986100000003</v>
      </c>
      <c r="T51">
        <v>340.01638800000001</v>
      </c>
      <c r="U51">
        <v>340.170929</v>
      </c>
      <c r="V51">
        <v>340.33325200000002</v>
      </c>
      <c r="W51">
        <v>340.50292999999999</v>
      </c>
      <c r="X51">
        <v>340.67941300000001</v>
      </c>
      <c r="Y51">
        <v>340.86196899999999</v>
      </c>
      <c r="Z51">
        <v>341.050049</v>
      </c>
      <c r="AA51">
        <v>341.24316399999998</v>
      </c>
      <c r="AB51">
        <v>341.44085699999999</v>
      </c>
      <c r="AC51">
        <v>341.64276100000001</v>
      </c>
      <c r="AD51">
        <v>341.84848</v>
      </c>
      <c r="AE51">
        <v>342.05758700000001</v>
      </c>
      <c r="AF51">
        <v>342.269836</v>
      </c>
      <c r="AG51">
        <v>342.48501599999997</v>
      </c>
      <c r="AH51">
        <v>342.70288099999999</v>
      </c>
      <c r="AI51" s="31">
        <v>1E-3</v>
      </c>
    </row>
    <row r="52" spans="1:35">
      <c r="A52" t="s">
        <v>315</v>
      </c>
      <c r="B52" t="s">
        <v>1150</v>
      </c>
      <c r="C52" t="s">
        <v>1151</v>
      </c>
      <c r="D52" t="s">
        <v>354</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t="s">
        <v>117</v>
      </c>
    </row>
    <row r="53" spans="1:35">
      <c r="A53" t="s">
        <v>322</v>
      </c>
      <c r="B53" t="s">
        <v>1152</v>
      </c>
      <c r="C53" t="s">
        <v>1153</v>
      </c>
      <c r="D53" t="s">
        <v>354</v>
      </c>
      <c r="F53">
        <v>96.382973000000007</v>
      </c>
      <c r="G53">
        <v>96.897368999999998</v>
      </c>
      <c r="H53">
        <v>97.084457</v>
      </c>
      <c r="I53">
        <v>97.232269000000002</v>
      </c>
      <c r="J53">
        <v>97.351607999999999</v>
      </c>
      <c r="K53">
        <v>97.527321000000001</v>
      </c>
      <c r="L53">
        <v>97.652275000000003</v>
      </c>
      <c r="M53">
        <v>97.751960999999994</v>
      </c>
      <c r="N53">
        <v>97.837142999999998</v>
      </c>
      <c r="O53">
        <v>97.891814999999994</v>
      </c>
      <c r="P53">
        <v>97.929291000000006</v>
      </c>
      <c r="Q53">
        <v>97.947815000000006</v>
      </c>
      <c r="R53">
        <v>97.954857000000004</v>
      </c>
      <c r="S53">
        <v>97.959594999999993</v>
      </c>
      <c r="T53">
        <v>97.987419000000003</v>
      </c>
      <c r="U53">
        <v>98.031966999999995</v>
      </c>
      <c r="V53">
        <v>98.078743000000003</v>
      </c>
      <c r="W53">
        <v>98.12764</v>
      </c>
      <c r="X53">
        <v>98.178512999999995</v>
      </c>
      <c r="Y53">
        <v>98.231116999999998</v>
      </c>
      <c r="Z53">
        <v>98.285308999999998</v>
      </c>
      <c r="AA53">
        <v>98.340964999999997</v>
      </c>
      <c r="AB53">
        <v>98.397942</v>
      </c>
      <c r="AC53">
        <v>98.456130999999999</v>
      </c>
      <c r="AD53">
        <v>98.515411</v>
      </c>
      <c r="AE53">
        <v>98.575667999999993</v>
      </c>
      <c r="AF53">
        <v>98.636825999999999</v>
      </c>
      <c r="AG53">
        <v>98.698836999999997</v>
      </c>
      <c r="AH53">
        <v>98.761627000000004</v>
      </c>
      <c r="AI53" s="31">
        <v>1E-3</v>
      </c>
    </row>
    <row r="54" spans="1:35">
      <c r="A54" t="s">
        <v>193</v>
      </c>
      <c r="B54" t="s">
        <v>1154</v>
      </c>
      <c r="C54" t="s">
        <v>1155</v>
      </c>
      <c r="D54" t="s">
        <v>354</v>
      </c>
      <c r="F54">
        <v>27655.148438</v>
      </c>
      <c r="G54">
        <v>27655.761718999998</v>
      </c>
      <c r="H54">
        <v>27394.568359000001</v>
      </c>
      <c r="I54">
        <v>27059.128906000002</v>
      </c>
      <c r="J54">
        <v>26811.269531000002</v>
      </c>
      <c r="K54">
        <v>26577.496093999998</v>
      </c>
      <c r="L54">
        <v>26318.691406000002</v>
      </c>
      <c r="M54">
        <v>26067.978515999999</v>
      </c>
      <c r="N54">
        <v>25786.289062</v>
      </c>
      <c r="O54">
        <v>25538.402343999998</v>
      </c>
      <c r="P54">
        <v>25332.224609000001</v>
      </c>
      <c r="Q54">
        <v>25172.96875</v>
      </c>
      <c r="R54">
        <v>25035.587890999999</v>
      </c>
      <c r="S54">
        <v>24912.785156000002</v>
      </c>
      <c r="T54">
        <v>24789.316406000002</v>
      </c>
      <c r="U54">
        <v>24709.041015999999</v>
      </c>
      <c r="V54">
        <v>24660.724609000001</v>
      </c>
      <c r="W54">
        <v>24616.96875</v>
      </c>
      <c r="X54">
        <v>24627.308593999998</v>
      </c>
      <c r="Y54">
        <v>24654.197265999999</v>
      </c>
      <c r="Z54">
        <v>24700.111327999999</v>
      </c>
      <c r="AA54">
        <v>24752.800781000002</v>
      </c>
      <c r="AB54">
        <v>24825.583984000001</v>
      </c>
      <c r="AC54">
        <v>24913.929688</v>
      </c>
      <c r="AD54">
        <v>25038.583984000001</v>
      </c>
      <c r="AE54">
        <v>25190.056640999999</v>
      </c>
      <c r="AF54">
        <v>25345.310547000001</v>
      </c>
      <c r="AG54">
        <v>25504.53125</v>
      </c>
      <c r="AH54">
        <v>25712.529297000001</v>
      </c>
      <c r="AI54" s="31">
        <v>-3.0000000000000001E-3</v>
      </c>
    </row>
    <row r="55" spans="1:35">
      <c r="A55" t="s">
        <v>194</v>
      </c>
    </row>
    <row r="56" spans="1:35">
      <c r="A56" t="s">
        <v>304</v>
      </c>
      <c r="B56" t="s">
        <v>1156</v>
      </c>
      <c r="C56" t="s">
        <v>1157</v>
      </c>
      <c r="D56" t="s">
        <v>354</v>
      </c>
      <c r="F56">
        <v>15874.355469</v>
      </c>
      <c r="G56">
        <v>15889.632812</v>
      </c>
      <c r="H56">
        <v>15703.888671999999</v>
      </c>
      <c r="I56">
        <v>15449.349609000001</v>
      </c>
      <c r="J56">
        <v>15240.681640999999</v>
      </c>
      <c r="K56">
        <v>15053.521484000001</v>
      </c>
      <c r="L56">
        <v>14839.348633</v>
      </c>
      <c r="M56">
        <v>14597.917969</v>
      </c>
      <c r="N56">
        <v>14338.502930000001</v>
      </c>
      <c r="O56">
        <v>14096.112305000001</v>
      </c>
      <c r="P56">
        <v>13861.301758</v>
      </c>
      <c r="Q56">
        <v>13670.039062</v>
      </c>
      <c r="R56">
        <v>13502.240234000001</v>
      </c>
      <c r="S56">
        <v>13335.430664</v>
      </c>
      <c r="T56">
        <v>13166.212890999999</v>
      </c>
      <c r="U56">
        <v>13022.089844</v>
      </c>
      <c r="V56">
        <v>12897.386719</v>
      </c>
      <c r="W56">
        <v>12783.024414</v>
      </c>
      <c r="X56">
        <v>12697.220703000001</v>
      </c>
      <c r="Y56">
        <v>12626.133789</v>
      </c>
      <c r="Z56">
        <v>12573.057617</v>
      </c>
      <c r="AA56">
        <v>12533.429688</v>
      </c>
      <c r="AB56">
        <v>12516.671875</v>
      </c>
      <c r="AC56">
        <v>12520.882812</v>
      </c>
      <c r="AD56">
        <v>12551.512694999999</v>
      </c>
      <c r="AE56">
        <v>12603.282227</v>
      </c>
      <c r="AF56">
        <v>12665.790039</v>
      </c>
      <c r="AG56">
        <v>12737.465819999999</v>
      </c>
      <c r="AH56">
        <v>12832.444336</v>
      </c>
      <c r="AI56" s="31">
        <v>-8.0000000000000002E-3</v>
      </c>
    </row>
    <row r="57" spans="1:35">
      <c r="A57" t="s">
        <v>305</v>
      </c>
      <c r="B57" t="s">
        <v>1158</v>
      </c>
      <c r="C57" t="s">
        <v>1159</v>
      </c>
      <c r="D57" t="s">
        <v>354</v>
      </c>
      <c r="F57">
        <v>34.631934999999999</v>
      </c>
      <c r="G57">
        <v>35.037318999999997</v>
      </c>
      <c r="H57">
        <v>32.552340999999998</v>
      </c>
      <c r="I57">
        <v>32.353248999999998</v>
      </c>
      <c r="J57">
        <v>31.504307000000001</v>
      </c>
      <c r="K57">
        <v>30.668486000000001</v>
      </c>
      <c r="L57">
        <v>29.69116</v>
      </c>
      <c r="M57">
        <v>28.651994999999999</v>
      </c>
      <c r="N57">
        <v>27.562657999999999</v>
      </c>
      <c r="O57">
        <v>26.514358999999999</v>
      </c>
      <c r="P57">
        <v>25.508030000000002</v>
      </c>
      <c r="Q57">
        <v>24.634333000000002</v>
      </c>
      <c r="R57">
        <v>23.871559000000001</v>
      </c>
      <c r="S57">
        <v>23.224663</v>
      </c>
      <c r="T57">
        <v>22.621020999999999</v>
      </c>
      <c r="U57">
        <v>22.239180000000001</v>
      </c>
      <c r="V57">
        <v>22.006664000000001</v>
      </c>
      <c r="W57">
        <v>21.907351999999999</v>
      </c>
      <c r="X57">
        <v>21.950137999999999</v>
      </c>
      <c r="Y57">
        <v>22.073861999999998</v>
      </c>
      <c r="Z57">
        <v>22.260597000000001</v>
      </c>
      <c r="AA57">
        <v>22.542372</v>
      </c>
      <c r="AB57">
        <v>22.813953000000001</v>
      </c>
      <c r="AC57">
        <v>23.132349000000001</v>
      </c>
      <c r="AD57">
        <v>23.431681000000001</v>
      </c>
      <c r="AE57">
        <v>23.847071</v>
      </c>
      <c r="AF57">
        <v>24.215630000000001</v>
      </c>
      <c r="AG57">
        <v>24.654547000000001</v>
      </c>
      <c r="AH57">
        <v>25.077648</v>
      </c>
      <c r="AI57" s="31">
        <v>-1.0999999999999999E-2</v>
      </c>
    </row>
    <row r="58" spans="1:35">
      <c r="A58" t="s">
        <v>327</v>
      </c>
      <c r="B58" t="s">
        <v>1160</v>
      </c>
      <c r="C58" t="s">
        <v>1161</v>
      </c>
      <c r="D58" t="s">
        <v>354</v>
      </c>
      <c r="F58">
        <v>6710.3950199999999</v>
      </c>
      <c r="G58">
        <v>6706.5205079999996</v>
      </c>
      <c r="H58">
        <v>6636.6933589999999</v>
      </c>
      <c r="I58">
        <v>6567.0239259999998</v>
      </c>
      <c r="J58">
        <v>6510.3554690000001</v>
      </c>
      <c r="K58">
        <v>6449.8803710000002</v>
      </c>
      <c r="L58">
        <v>6399.6875</v>
      </c>
      <c r="M58">
        <v>6345.3969729999999</v>
      </c>
      <c r="N58">
        <v>6280.8227539999998</v>
      </c>
      <c r="O58">
        <v>6224.658203</v>
      </c>
      <c r="P58">
        <v>6188.4877930000002</v>
      </c>
      <c r="Q58">
        <v>6150.8974609999996</v>
      </c>
      <c r="R58">
        <v>6117.8203119999998</v>
      </c>
      <c r="S58">
        <v>6092.3510740000002</v>
      </c>
      <c r="T58">
        <v>6064.7573240000002</v>
      </c>
      <c r="U58">
        <v>6047.6303710000002</v>
      </c>
      <c r="V58">
        <v>6036.6440430000002</v>
      </c>
      <c r="W58">
        <v>6023.3476559999999</v>
      </c>
      <c r="X58">
        <v>6019.6015619999998</v>
      </c>
      <c r="Y58">
        <v>6021.7836909999996</v>
      </c>
      <c r="Z58">
        <v>6024.8710940000001</v>
      </c>
      <c r="AA58">
        <v>6025.4570309999999</v>
      </c>
      <c r="AB58">
        <v>6023.2670900000003</v>
      </c>
      <c r="AC58">
        <v>6018.6933589999999</v>
      </c>
      <c r="AD58">
        <v>6019.3139650000003</v>
      </c>
      <c r="AE58">
        <v>6021.1923829999996</v>
      </c>
      <c r="AF58">
        <v>6019.111328</v>
      </c>
      <c r="AG58">
        <v>6015.720703</v>
      </c>
      <c r="AH58">
        <v>6030.2719729999999</v>
      </c>
      <c r="AI58" s="31">
        <v>-4.0000000000000001E-3</v>
      </c>
    </row>
    <row r="59" spans="1:35">
      <c r="A59" t="s">
        <v>349</v>
      </c>
      <c r="B59" t="s">
        <v>1162</v>
      </c>
      <c r="C59" t="s">
        <v>1163</v>
      </c>
      <c r="D59" t="s">
        <v>354</v>
      </c>
      <c r="F59">
        <v>3114.8347170000002</v>
      </c>
      <c r="G59">
        <v>3321.991211</v>
      </c>
      <c r="H59">
        <v>3365.6840820000002</v>
      </c>
      <c r="I59">
        <v>3372.1125489999999</v>
      </c>
      <c r="J59">
        <v>3411.320557</v>
      </c>
      <c r="K59">
        <v>3450.2641600000002</v>
      </c>
      <c r="L59">
        <v>3481.0263669999999</v>
      </c>
      <c r="M59">
        <v>3503.9323730000001</v>
      </c>
      <c r="N59">
        <v>3520.0610350000002</v>
      </c>
      <c r="O59">
        <v>3536.0976559999999</v>
      </c>
      <c r="P59">
        <v>3561.3833009999998</v>
      </c>
      <c r="Q59">
        <v>3587.9609380000002</v>
      </c>
      <c r="R59">
        <v>3611.9418949999999</v>
      </c>
      <c r="S59">
        <v>3640.4804690000001</v>
      </c>
      <c r="T59">
        <v>3677.4785160000001</v>
      </c>
      <c r="U59">
        <v>3721.7036130000001</v>
      </c>
      <c r="V59">
        <v>3768.1440429999998</v>
      </c>
      <c r="W59">
        <v>3816.630615</v>
      </c>
      <c r="X59">
        <v>3872.963135</v>
      </c>
      <c r="Y59">
        <v>3926.9057619999999</v>
      </c>
      <c r="Z59">
        <v>3981.788086</v>
      </c>
      <c r="AA59">
        <v>4037.5085450000001</v>
      </c>
      <c r="AB59">
        <v>4093.091797</v>
      </c>
      <c r="AC59">
        <v>4147.2026370000003</v>
      </c>
      <c r="AD59">
        <v>4199.9233400000003</v>
      </c>
      <c r="AE59">
        <v>4256.4370120000003</v>
      </c>
      <c r="AF59">
        <v>4313.515625</v>
      </c>
      <c r="AG59">
        <v>4369.7773440000001</v>
      </c>
      <c r="AH59">
        <v>4432.501953</v>
      </c>
      <c r="AI59" s="31">
        <v>1.2999999999999999E-2</v>
      </c>
    </row>
    <row r="60" spans="1:35">
      <c r="A60" t="s">
        <v>315</v>
      </c>
      <c r="B60" t="s">
        <v>1164</v>
      </c>
      <c r="C60" t="s">
        <v>1165</v>
      </c>
      <c r="D60" t="s">
        <v>354</v>
      </c>
      <c r="F60">
        <v>687.54107699999997</v>
      </c>
      <c r="G60">
        <v>533.957581</v>
      </c>
      <c r="H60">
        <v>521.06689500000005</v>
      </c>
      <c r="I60">
        <v>521.97039800000005</v>
      </c>
      <c r="J60">
        <v>499.00573700000001</v>
      </c>
      <c r="K60">
        <v>489.20880099999999</v>
      </c>
      <c r="L60">
        <v>471.12759399999999</v>
      </c>
      <c r="M60">
        <v>459.55618299999998</v>
      </c>
      <c r="N60">
        <v>451.02731299999999</v>
      </c>
      <c r="O60">
        <v>451.06887799999998</v>
      </c>
      <c r="P60">
        <v>450.30673200000001</v>
      </c>
      <c r="Q60">
        <v>450.39215100000001</v>
      </c>
      <c r="R60">
        <v>448.21356200000002</v>
      </c>
      <c r="S60">
        <v>448.02865600000001</v>
      </c>
      <c r="T60">
        <v>444.74847399999999</v>
      </c>
      <c r="U60">
        <v>443.62380999999999</v>
      </c>
      <c r="V60">
        <v>442.39099099999999</v>
      </c>
      <c r="W60">
        <v>440.12359600000002</v>
      </c>
      <c r="X60">
        <v>438.39453099999997</v>
      </c>
      <c r="Y60">
        <v>437.182343</v>
      </c>
      <c r="Z60">
        <v>437.22125199999999</v>
      </c>
      <c r="AA60">
        <v>435.65289300000001</v>
      </c>
      <c r="AB60">
        <v>434.69912699999998</v>
      </c>
      <c r="AC60">
        <v>433.135651</v>
      </c>
      <c r="AD60">
        <v>438.85730000000001</v>
      </c>
      <c r="AE60">
        <v>438.09719799999999</v>
      </c>
      <c r="AF60">
        <v>433.31423999999998</v>
      </c>
      <c r="AG60">
        <v>429.63793900000002</v>
      </c>
      <c r="AH60">
        <v>424.94931000000003</v>
      </c>
      <c r="AI60" s="31">
        <v>-1.7000000000000001E-2</v>
      </c>
    </row>
    <row r="61" spans="1:35">
      <c r="A61" t="s">
        <v>320</v>
      </c>
      <c r="B61" t="s">
        <v>1166</v>
      </c>
      <c r="C61" t="s">
        <v>1167</v>
      </c>
      <c r="D61" t="s">
        <v>354</v>
      </c>
      <c r="F61">
        <v>22.421617999999999</v>
      </c>
      <c r="G61">
        <v>22.410634999999999</v>
      </c>
      <c r="H61">
        <v>22.401547999999998</v>
      </c>
      <c r="I61">
        <v>22.394031999999999</v>
      </c>
      <c r="J61">
        <v>22.387812</v>
      </c>
      <c r="K61">
        <v>22.382666</v>
      </c>
      <c r="L61">
        <v>22.378406999999999</v>
      </c>
      <c r="M61">
        <v>22.374884000000002</v>
      </c>
      <c r="N61">
        <v>22.371969</v>
      </c>
      <c r="O61">
        <v>22.369558000000001</v>
      </c>
      <c r="P61">
        <v>22.367563000000001</v>
      </c>
      <c r="Q61">
        <v>22.365911000000001</v>
      </c>
      <c r="R61">
        <v>22.364546000000001</v>
      </c>
      <c r="S61">
        <v>22.363416999999998</v>
      </c>
      <c r="T61">
        <v>22.362480000000001</v>
      </c>
      <c r="U61">
        <v>22.361708</v>
      </c>
      <c r="V61">
        <v>22.361066999999998</v>
      </c>
      <c r="W61">
        <v>22.360537999999998</v>
      </c>
      <c r="X61">
        <v>22.360099999999999</v>
      </c>
      <c r="Y61">
        <v>22.359736999999999</v>
      </c>
      <c r="Z61">
        <v>22.359438000000001</v>
      </c>
      <c r="AA61">
        <v>22.359190000000002</v>
      </c>
      <c r="AB61">
        <v>22.358984</v>
      </c>
      <c r="AC61">
        <v>22.358813999999999</v>
      </c>
      <c r="AD61">
        <v>22.358673</v>
      </c>
      <c r="AE61">
        <v>22.358557000000001</v>
      </c>
      <c r="AF61">
        <v>22.358460999999998</v>
      </c>
      <c r="AG61">
        <v>22.358381000000001</v>
      </c>
      <c r="AH61">
        <v>22.358315000000001</v>
      </c>
      <c r="AI61" s="31">
        <v>0</v>
      </c>
    </row>
    <row r="62" spans="1:35">
      <c r="A62" t="s">
        <v>308</v>
      </c>
      <c r="B62" t="s">
        <v>1168</v>
      </c>
      <c r="C62" t="s">
        <v>1169</v>
      </c>
      <c r="D62" t="s">
        <v>354</v>
      </c>
      <c r="F62">
        <v>11.141157</v>
      </c>
      <c r="G62">
        <v>11.729122</v>
      </c>
      <c r="H62">
        <v>11.853459000000001</v>
      </c>
      <c r="I62">
        <v>12.010759999999999</v>
      </c>
      <c r="J62">
        <v>12.154844000000001</v>
      </c>
      <c r="K62">
        <v>12.287197000000001</v>
      </c>
      <c r="L62">
        <v>12.139218</v>
      </c>
      <c r="M62">
        <v>12.240539999999999</v>
      </c>
      <c r="N62">
        <v>12.351296</v>
      </c>
      <c r="O62">
        <v>12.459235</v>
      </c>
      <c r="P62">
        <v>12.585068</v>
      </c>
      <c r="Q62">
        <v>12.731653</v>
      </c>
      <c r="R62">
        <v>12.905529</v>
      </c>
      <c r="S62">
        <v>13.095903</v>
      </c>
      <c r="T62">
        <v>13.307463</v>
      </c>
      <c r="U62">
        <v>13.546154</v>
      </c>
      <c r="V62">
        <v>13.805358999999999</v>
      </c>
      <c r="W62">
        <v>14.093753</v>
      </c>
      <c r="X62">
        <v>14.423079</v>
      </c>
      <c r="Y62">
        <v>14.799322</v>
      </c>
      <c r="Z62">
        <v>15.214664000000001</v>
      </c>
      <c r="AA62">
        <v>15.662395</v>
      </c>
      <c r="AB62">
        <v>16.14922</v>
      </c>
      <c r="AC62">
        <v>16.675132999999999</v>
      </c>
      <c r="AD62">
        <v>17.265896000000001</v>
      </c>
      <c r="AE62">
        <v>17.895589999999999</v>
      </c>
      <c r="AF62">
        <v>18.551962</v>
      </c>
      <c r="AG62">
        <v>19.225891000000001</v>
      </c>
      <c r="AH62">
        <v>19.960386</v>
      </c>
      <c r="AI62" s="31">
        <v>2.1000000000000001E-2</v>
      </c>
    </row>
    <row r="63" spans="1:35">
      <c r="A63" t="s">
        <v>282</v>
      </c>
      <c r="B63" t="s">
        <v>1170</v>
      </c>
      <c r="C63" t="s">
        <v>1171</v>
      </c>
      <c r="D63" t="s">
        <v>354</v>
      </c>
      <c r="F63">
        <v>125.945221</v>
      </c>
      <c r="G63">
        <v>125.92506400000001</v>
      </c>
      <c r="H63">
        <v>126.01237500000001</v>
      </c>
      <c r="I63">
        <v>126.049858</v>
      </c>
      <c r="J63">
        <v>126.11367</v>
      </c>
      <c r="K63">
        <v>125.98440600000001</v>
      </c>
      <c r="L63">
        <v>125.852997</v>
      </c>
      <c r="M63">
        <v>125.755234</v>
      </c>
      <c r="N63">
        <v>125.652069</v>
      </c>
      <c r="O63">
        <v>125.54579200000001</v>
      </c>
      <c r="P63">
        <v>125.439178</v>
      </c>
      <c r="Q63">
        <v>125.330147</v>
      </c>
      <c r="R63">
        <v>125.250381</v>
      </c>
      <c r="S63">
        <v>125.225021</v>
      </c>
      <c r="T63">
        <v>125.255257</v>
      </c>
      <c r="U63">
        <v>125.318207</v>
      </c>
      <c r="V63">
        <v>125.411896</v>
      </c>
      <c r="W63">
        <v>125.52668799999999</v>
      </c>
      <c r="X63">
        <v>125.666534</v>
      </c>
      <c r="Y63">
        <v>125.797371</v>
      </c>
      <c r="Z63">
        <v>125.925034</v>
      </c>
      <c r="AA63">
        <v>126.04557</v>
      </c>
      <c r="AB63">
        <v>126.16628300000001</v>
      </c>
      <c r="AC63">
        <v>126.32028200000001</v>
      </c>
      <c r="AD63">
        <v>126.49239300000001</v>
      </c>
      <c r="AE63">
        <v>126.66081200000001</v>
      </c>
      <c r="AF63">
        <v>126.811455</v>
      </c>
      <c r="AG63">
        <v>126.974289</v>
      </c>
      <c r="AH63">
        <v>127.158676</v>
      </c>
      <c r="AI63" s="31">
        <v>0</v>
      </c>
    </row>
    <row r="64" spans="1:35">
      <c r="A64" t="s">
        <v>350</v>
      </c>
      <c r="B64" t="s">
        <v>1172</v>
      </c>
      <c r="C64" t="s">
        <v>1173</v>
      </c>
      <c r="D64" t="s">
        <v>354</v>
      </c>
      <c r="F64">
        <v>26581.265625</v>
      </c>
      <c r="G64">
        <v>26647.203125</v>
      </c>
      <c r="H64">
        <v>26420.152343999998</v>
      </c>
      <c r="I64">
        <v>26103.267577999999</v>
      </c>
      <c r="J64">
        <v>25853.523438</v>
      </c>
      <c r="K64">
        <v>25634.197265999999</v>
      </c>
      <c r="L64">
        <v>25381.251952999999</v>
      </c>
      <c r="M64">
        <v>25095.826172000001</v>
      </c>
      <c r="N64">
        <v>24778.351562</v>
      </c>
      <c r="O64">
        <v>24494.822265999999</v>
      </c>
      <c r="P64">
        <v>24247.378906000002</v>
      </c>
      <c r="Q64">
        <v>24044.353515999999</v>
      </c>
      <c r="R64">
        <v>23864.607422000001</v>
      </c>
      <c r="S64">
        <v>23700.199218999998</v>
      </c>
      <c r="T64">
        <v>23536.744140999999</v>
      </c>
      <c r="U64">
        <v>23418.511718999998</v>
      </c>
      <c r="V64">
        <v>23328.150390999999</v>
      </c>
      <c r="W64">
        <v>23247.015625</v>
      </c>
      <c r="X64">
        <v>23212.578125</v>
      </c>
      <c r="Y64">
        <v>23197.035156000002</v>
      </c>
      <c r="Z64">
        <v>23202.699218999998</v>
      </c>
      <c r="AA64">
        <v>23218.65625</v>
      </c>
      <c r="AB64">
        <v>23255.21875</v>
      </c>
      <c r="AC64">
        <v>23308.402343999998</v>
      </c>
      <c r="AD64">
        <v>23399.15625</v>
      </c>
      <c r="AE64">
        <v>23509.773438</v>
      </c>
      <c r="AF64">
        <v>23623.669922000001</v>
      </c>
      <c r="AG64">
        <v>23745.816406000002</v>
      </c>
      <c r="AH64">
        <v>23914.722656000002</v>
      </c>
      <c r="AI64" s="31">
        <v>-4.0000000000000001E-3</v>
      </c>
    </row>
    <row r="65" spans="1:35">
      <c r="A65" t="s">
        <v>309</v>
      </c>
      <c r="B65" t="s">
        <v>1174</v>
      </c>
      <c r="C65" t="s">
        <v>1175</v>
      </c>
      <c r="D65" t="s">
        <v>354</v>
      </c>
      <c r="F65">
        <v>58.271487999999998</v>
      </c>
      <c r="G65">
        <v>70.924744000000004</v>
      </c>
      <c r="H65">
        <v>86.151306000000005</v>
      </c>
      <c r="I65">
        <v>103.805443</v>
      </c>
      <c r="J65">
        <v>124.942993</v>
      </c>
      <c r="K65">
        <v>150.048294</v>
      </c>
      <c r="L65">
        <v>178.72938500000001</v>
      </c>
      <c r="M65">
        <v>211.366074</v>
      </c>
      <c r="N65">
        <v>247.308029</v>
      </c>
      <c r="O65">
        <v>280.38351399999999</v>
      </c>
      <c r="P65">
        <v>314.45034800000002</v>
      </c>
      <c r="Q65">
        <v>348.62570199999999</v>
      </c>
      <c r="R65">
        <v>383.96487400000001</v>
      </c>
      <c r="S65">
        <v>418.874054</v>
      </c>
      <c r="T65">
        <v>452.58807400000001</v>
      </c>
      <c r="U65">
        <v>485.43649299999998</v>
      </c>
      <c r="V65">
        <v>517.22076400000003</v>
      </c>
      <c r="W65">
        <v>547.37634300000002</v>
      </c>
      <c r="X65">
        <v>575.67040999999995</v>
      </c>
      <c r="Y65">
        <v>602.42620799999997</v>
      </c>
      <c r="Z65">
        <v>627.39489700000001</v>
      </c>
      <c r="AA65">
        <v>650.20367399999998</v>
      </c>
      <c r="AB65">
        <v>671.552368</v>
      </c>
      <c r="AC65">
        <v>690.80651899999998</v>
      </c>
      <c r="AD65">
        <v>710.45507799999996</v>
      </c>
      <c r="AE65">
        <v>729.02062999999998</v>
      </c>
      <c r="AF65">
        <v>747.02380400000004</v>
      </c>
      <c r="AG65">
        <v>764.70153800000003</v>
      </c>
      <c r="AH65">
        <v>781.67742899999996</v>
      </c>
      <c r="AI65" s="31">
        <v>9.7000000000000003E-2</v>
      </c>
    </row>
    <row r="66" spans="1:35">
      <c r="A66" t="s">
        <v>307</v>
      </c>
      <c r="B66" t="s">
        <v>1176</v>
      </c>
      <c r="C66" t="s">
        <v>1177</v>
      </c>
      <c r="D66" t="s">
        <v>354</v>
      </c>
      <c r="F66">
        <v>107.762085</v>
      </c>
      <c r="G66">
        <v>114.841324</v>
      </c>
      <c r="H66">
        <v>124.74314099999999</v>
      </c>
      <c r="I66">
        <v>122.401642</v>
      </c>
      <c r="J66">
        <v>133.70236199999999</v>
      </c>
      <c r="K66">
        <v>135.678101</v>
      </c>
      <c r="L66">
        <v>140.85495</v>
      </c>
      <c r="M66">
        <v>144.49737500000001</v>
      </c>
      <c r="N66">
        <v>145.72705099999999</v>
      </c>
      <c r="O66">
        <v>146.36428799999999</v>
      </c>
      <c r="P66">
        <v>147.34077500000001</v>
      </c>
      <c r="Q66">
        <v>148.05912799999999</v>
      </c>
      <c r="R66">
        <v>150.25817900000001</v>
      </c>
      <c r="S66">
        <v>153.89321899999999</v>
      </c>
      <c r="T66">
        <v>159.305893</v>
      </c>
      <c r="U66">
        <v>165.10998499999999</v>
      </c>
      <c r="V66">
        <v>170.179733</v>
      </c>
      <c r="W66">
        <v>178.245148</v>
      </c>
      <c r="X66">
        <v>185.24722299999999</v>
      </c>
      <c r="Y66">
        <v>193.94168099999999</v>
      </c>
      <c r="Z66">
        <v>203.10612499999999</v>
      </c>
      <c r="AA66">
        <v>214.17356899999999</v>
      </c>
      <c r="AB66">
        <v>224.93594400000001</v>
      </c>
      <c r="AC66">
        <v>236.520264</v>
      </c>
      <c r="AD66">
        <v>245.410034</v>
      </c>
      <c r="AE66">
        <v>259.84387199999998</v>
      </c>
      <c r="AF66">
        <v>276.02593999999999</v>
      </c>
      <c r="AG66">
        <v>292.71752900000001</v>
      </c>
      <c r="AH66">
        <v>309.73700000000002</v>
      </c>
      <c r="AI66" s="31">
        <v>3.7999999999999999E-2</v>
      </c>
    </row>
    <row r="67" spans="1:35">
      <c r="A67" t="s">
        <v>310</v>
      </c>
      <c r="B67" t="s">
        <v>1178</v>
      </c>
      <c r="C67" t="s">
        <v>1179</v>
      </c>
      <c r="D67" t="s">
        <v>354</v>
      </c>
      <c r="F67">
        <v>0.44925500000000002</v>
      </c>
      <c r="G67">
        <v>0.54221699999999995</v>
      </c>
      <c r="H67">
        <v>0.62070599999999998</v>
      </c>
      <c r="I67">
        <v>0.690218</v>
      </c>
      <c r="J67">
        <v>0.76319099999999995</v>
      </c>
      <c r="K67">
        <v>0.83226199999999995</v>
      </c>
      <c r="L67">
        <v>0.90529400000000004</v>
      </c>
      <c r="M67">
        <v>0.97400900000000001</v>
      </c>
      <c r="N67">
        <v>1.046211</v>
      </c>
      <c r="O67">
        <v>1.119019</v>
      </c>
      <c r="P67">
        <v>1.1911099999999999</v>
      </c>
      <c r="Q67">
        <v>1.2624059999999999</v>
      </c>
      <c r="R67">
        <v>1.334878</v>
      </c>
      <c r="S67">
        <v>1.405921</v>
      </c>
      <c r="T67">
        <v>1.472262</v>
      </c>
      <c r="U67">
        <v>1.5366770000000001</v>
      </c>
      <c r="V67">
        <v>1.594822</v>
      </c>
      <c r="W67">
        <v>1.646765</v>
      </c>
      <c r="X67">
        <v>1.6891350000000001</v>
      </c>
      <c r="Y67">
        <v>1.72306</v>
      </c>
      <c r="Z67">
        <v>1.754586</v>
      </c>
      <c r="AA67">
        <v>1.7761979999999999</v>
      </c>
      <c r="AB67">
        <v>1.7921739999999999</v>
      </c>
      <c r="AC67">
        <v>1.8011440000000001</v>
      </c>
      <c r="AD67">
        <v>1.81132</v>
      </c>
      <c r="AE67">
        <v>1.8216939999999999</v>
      </c>
      <c r="AF67">
        <v>1.8289979999999999</v>
      </c>
      <c r="AG67">
        <v>1.834284</v>
      </c>
      <c r="AH67">
        <v>1.8374999999999999</v>
      </c>
      <c r="AI67" s="31">
        <v>5.1999999999999998E-2</v>
      </c>
    </row>
    <row r="68" spans="1:35">
      <c r="A68" t="s">
        <v>283</v>
      </c>
      <c r="B68" t="s">
        <v>1180</v>
      </c>
      <c r="C68" t="s">
        <v>1142</v>
      </c>
      <c r="D68" t="s">
        <v>354</v>
      </c>
      <c r="F68">
        <v>905.73223900000005</v>
      </c>
      <c r="G68">
        <v>820.54260299999999</v>
      </c>
      <c r="H68">
        <v>760.982483</v>
      </c>
      <c r="I68">
        <v>726.75244099999998</v>
      </c>
      <c r="J68">
        <v>695.850098</v>
      </c>
      <c r="K68">
        <v>653.98541299999999</v>
      </c>
      <c r="L68">
        <v>613.92791699999998</v>
      </c>
      <c r="M68">
        <v>612.03295900000001</v>
      </c>
      <c r="N68">
        <v>610.31640600000003</v>
      </c>
      <c r="O68">
        <v>611.89654499999995</v>
      </c>
      <c r="P68">
        <v>617.76355000000001</v>
      </c>
      <c r="Q68">
        <v>626.28515600000003</v>
      </c>
      <c r="R68">
        <v>630.76672399999995</v>
      </c>
      <c r="S68">
        <v>633.47729500000003</v>
      </c>
      <c r="T68">
        <v>634.00311299999998</v>
      </c>
      <c r="U68">
        <v>632.96820100000002</v>
      </c>
      <c r="V68">
        <v>637.83142099999998</v>
      </c>
      <c r="W68">
        <v>636.66796899999997</v>
      </c>
      <c r="X68">
        <v>645.807007</v>
      </c>
      <c r="Y68">
        <v>652.42675799999995</v>
      </c>
      <c r="Z68">
        <v>658.166382</v>
      </c>
      <c r="AA68">
        <v>660.99408000000005</v>
      </c>
      <c r="AB68">
        <v>665.09454300000004</v>
      </c>
      <c r="AC68">
        <v>669.20263699999998</v>
      </c>
      <c r="AD68">
        <v>674.53369099999998</v>
      </c>
      <c r="AE68">
        <v>682.13464399999998</v>
      </c>
      <c r="AF68">
        <v>689.49054000000001</v>
      </c>
      <c r="AG68">
        <v>691.88214100000005</v>
      </c>
      <c r="AH68">
        <v>696.77728300000001</v>
      </c>
      <c r="AI68" s="31">
        <v>-8.9999999999999993E-3</v>
      </c>
    </row>
    <row r="69" spans="1:35">
      <c r="A69" t="s">
        <v>1143</v>
      </c>
      <c r="B69" t="s">
        <v>1181</v>
      </c>
      <c r="C69" t="s">
        <v>1145</v>
      </c>
      <c r="D69" t="s">
        <v>354</v>
      </c>
      <c r="F69">
        <v>332.52310199999999</v>
      </c>
      <c r="G69">
        <v>377.97052000000002</v>
      </c>
      <c r="H69">
        <v>384.00460800000002</v>
      </c>
      <c r="I69">
        <v>408.78292800000003</v>
      </c>
      <c r="J69">
        <v>446.260651</v>
      </c>
      <c r="K69">
        <v>477.17263800000001</v>
      </c>
      <c r="L69">
        <v>503.61007699999999</v>
      </c>
      <c r="M69">
        <v>527.57086200000003</v>
      </c>
      <c r="N69">
        <v>577.96905500000003</v>
      </c>
      <c r="O69">
        <v>628.36724900000002</v>
      </c>
      <c r="P69">
        <v>680.00372300000004</v>
      </c>
      <c r="Q69">
        <v>729.163635</v>
      </c>
      <c r="R69">
        <v>771.16210899999999</v>
      </c>
      <c r="S69">
        <v>796.36120600000004</v>
      </c>
      <c r="T69">
        <v>814.39892599999996</v>
      </c>
      <c r="U69">
        <v>829.96002199999998</v>
      </c>
      <c r="V69">
        <v>838.35974099999999</v>
      </c>
      <c r="W69">
        <v>838.35974099999999</v>
      </c>
      <c r="X69">
        <v>839.59802200000001</v>
      </c>
      <c r="Y69">
        <v>838.35974099999999</v>
      </c>
      <c r="Z69">
        <v>838.35974099999999</v>
      </c>
      <c r="AA69">
        <v>838.35974099999999</v>
      </c>
      <c r="AB69">
        <v>839.59802200000001</v>
      </c>
      <c r="AC69">
        <v>838.35974099999999</v>
      </c>
      <c r="AD69">
        <v>838.35974099999999</v>
      </c>
      <c r="AE69">
        <v>838.35974099999999</v>
      </c>
      <c r="AF69">
        <v>839.59802200000001</v>
      </c>
      <c r="AG69">
        <v>838.35974099999999</v>
      </c>
      <c r="AH69">
        <v>838.35974099999999</v>
      </c>
      <c r="AI69" s="31">
        <v>3.4000000000000002E-2</v>
      </c>
    </row>
    <row r="70" spans="1:35">
      <c r="A70" t="s">
        <v>195</v>
      </c>
      <c r="B70" t="s">
        <v>1182</v>
      </c>
      <c r="C70" t="s">
        <v>1183</v>
      </c>
      <c r="D70" t="s">
        <v>354</v>
      </c>
      <c r="F70">
        <v>27986.003906000002</v>
      </c>
      <c r="G70">
        <v>28032.025390999999</v>
      </c>
      <c r="H70">
        <v>27776.652343999998</v>
      </c>
      <c r="I70">
        <v>27465.699218999998</v>
      </c>
      <c r="J70">
        <v>27255.042968999998</v>
      </c>
      <c r="K70">
        <v>27051.914062</v>
      </c>
      <c r="L70">
        <v>26819.279297000001</v>
      </c>
      <c r="M70">
        <v>26592.267577999999</v>
      </c>
      <c r="N70">
        <v>26360.71875</v>
      </c>
      <c r="O70">
        <v>26162.953125</v>
      </c>
      <c r="P70">
        <v>26008.128906000002</v>
      </c>
      <c r="Q70">
        <v>25897.748047000001</v>
      </c>
      <c r="R70">
        <v>25802.09375</v>
      </c>
      <c r="S70">
        <v>25704.210938</v>
      </c>
      <c r="T70">
        <v>25598.513672000001</v>
      </c>
      <c r="U70">
        <v>25533.523438</v>
      </c>
      <c r="V70">
        <v>25493.337890999999</v>
      </c>
      <c r="W70">
        <v>25449.3125</v>
      </c>
      <c r="X70">
        <v>25460.589843999998</v>
      </c>
      <c r="Y70">
        <v>25485.910156000002</v>
      </c>
      <c r="Z70">
        <v>25531.478515999999</v>
      </c>
      <c r="AA70">
        <v>25584.162109000001</v>
      </c>
      <c r="AB70">
        <v>25658.191406000002</v>
      </c>
      <c r="AC70">
        <v>25745.091797000001</v>
      </c>
      <c r="AD70">
        <v>25869.724609000001</v>
      </c>
      <c r="AE70">
        <v>26020.955077999999</v>
      </c>
      <c r="AF70">
        <v>26177.634765999999</v>
      </c>
      <c r="AG70">
        <v>26335.310547000001</v>
      </c>
      <c r="AH70">
        <v>26543.111327999999</v>
      </c>
      <c r="AI70" s="31">
        <v>-2E-3</v>
      </c>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96"/>
  <sheetViews>
    <sheetView workbookViewId="0"/>
  </sheetViews>
  <sheetFormatPr defaultRowHeight="15"/>
  <cols>
    <col min="1" max="1" width="21.42578125" customWidth="1"/>
    <col min="2" max="2" width="43.85546875" customWidth="1"/>
    <col min="3" max="3" width="79.5703125" bestFit="1" customWidth="1"/>
    <col min="5" max="5" width="13.85546875" customWidth="1"/>
    <col min="6" max="7" width="0" hidden="1" customWidth="1"/>
  </cols>
  <sheetData>
    <row r="1" spans="2:37">
      <c r="B1" t="s">
        <v>301</v>
      </c>
    </row>
    <row r="2" spans="2:37">
      <c r="B2" t="s">
        <v>1184</v>
      </c>
    </row>
    <row r="3" spans="2:37">
      <c r="B3" t="s">
        <v>1185</v>
      </c>
    </row>
    <row r="4" spans="2:37">
      <c r="B4" t="s">
        <v>302</v>
      </c>
    </row>
    <row r="5" spans="2:37">
      <c r="C5" t="s">
        <v>303</v>
      </c>
      <c r="D5" t="s">
        <v>351</v>
      </c>
      <c r="E5" t="s">
        <v>352</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1079</v>
      </c>
      <c r="AK5" t="s">
        <v>540</v>
      </c>
    </row>
    <row r="6" spans="2:37">
      <c r="B6" t="s">
        <v>276</v>
      </c>
      <c r="C6" t="s">
        <v>1186</v>
      </c>
      <c r="D6" t="s">
        <v>1187</v>
      </c>
      <c r="E6" t="s">
        <v>354</v>
      </c>
      <c r="G6">
        <v>14541.972656</v>
      </c>
      <c r="H6">
        <v>14586.113281</v>
      </c>
      <c r="I6">
        <v>14429.691406</v>
      </c>
      <c r="J6">
        <v>14201.924805000001</v>
      </c>
      <c r="K6">
        <v>14016.908203000001</v>
      </c>
      <c r="L6">
        <v>13860.761719</v>
      </c>
      <c r="M6">
        <v>13679.085938</v>
      </c>
      <c r="N6">
        <v>13473.831055000001</v>
      </c>
      <c r="O6">
        <v>13253.083008</v>
      </c>
      <c r="P6">
        <v>13044.084961</v>
      </c>
      <c r="Q6">
        <v>12836.977539</v>
      </c>
      <c r="R6">
        <v>12674.038086</v>
      </c>
      <c r="S6">
        <v>12534.655273</v>
      </c>
      <c r="T6">
        <v>12394.663086</v>
      </c>
      <c r="U6">
        <v>12251.546875</v>
      </c>
      <c r="V6">
        <v>12130.821289</v>
      </c>
      <c r="W6">
        <v>12028.415039</v>
      </c>
      <c r="X6">
        <v>11933.921875</v>
      </c>
      <c r="Y6">
        <v>11864.000977</v>
      </c>
      <c r="Z6">
        <v>11805.395508</v>
      </c>
      <c r="AA6">
        <v>11762.741211</v>
      </c>
      <c r="AB6">
        <v>11733.643555000001</v>
      </c>
      <c r="AC6">
        <v>11725.385742</v>
      </c>
      <c r="AD6">
        <v>11735.774414</v>
      </c>
      <c r="AE6">
        <v>11770.762694999999</v>
      </c>
      <c r="AF6">
        <v>11824.348633</v>
      </c>
      <c r="AG6">
        <v>11889.714844</v>
      </c>
      <c r="AH6">
        <v>11962.909180000001</v>
      </c>
      <c r="AI6">
        <v>12054.454102</v>
      </c>
      <c r="AJ6" s="31">
        <v>-7.0000000000000001E-3</v>
      </c>
      <c r="AK6" s="31">
        <v>0</v>
      </c>
    </row>
    <row r="7" spans="2:37">
      <c r="B7" t="s">
        <v>304</v>
      </c>
      <c r="C7" t="s">
        <v>1188</v>
      </c>
      <c r="D7" t="s">
        <v>1189</v>
      </c>
      <c r="E7" t="s">
        <v>354</v>
      </c>
      <c r="G7">
        <v>14415.272461</v>
      </c>
      <c r="H7">
        <v>14443.935546999999</v>
      </c>
      <c r="I7">
        <v>14272.423828000001</v>
      </c>
      <c r="J7">
        <v>14024.321289</v>
      </c>
      <c r="K7">
        <v>13815.495117</v>
      </c>
      <c r="L7">
        <v>13632.25</v>
      </c>
      <c r="M7">
        <v>13419.692383</v>
      </c>
      <c r="N7">
        <v>13179.959961</v>
      </c>
      <c r="O7">
        <v>12922.150390999999</v>
      </c>
      <c r="P7">
        <v>12678.574219</v>
      </c>
      <c r="Q7">
        <v>12437.037109000001</v>
      </c>
      <c r="R7">
        <v>12238.958984000001</v>
      </c>
      <c r="S7">
        <v>12063.409180000001</v>
      </c>
      <c r="T7">
        <v>11887.983398</v>
      </c>
      <c r="U7">
        <v>11710.702148</v>
      </c>
      <c r="V7">
        <v>11556.080078000001</v>
      </c>
      <c r="W7">
        <v>11421.212890999999</v>
      </c>
      <c r="X7">
        <v>11295.928711</v>
      </c>
      <c r="Y7">
        <v>11196.765625</v>
      </c>
      <c r="Z7">
        <v>11110.766602</v>
      </c>
      <c r="AA7">
        <v>11042.224609000001</v>
      </c>
      <c r="AB7">
        <v>10988.434569999999</v>
      </c>
      <c r="AC7">
        <v>10958.347656</v>
      </c>
      <c r="AD7">
        <v>10949.109375</v>
      </c>
      <c r="AE7">
        <v>10963.973633</v>
      </c>
      <c r="AF7">
        <v>10998.306640999999</v>
      </c>
      <c r="AG7">
        <v>11045.133789</v>
      </c>
      <c r="AH7">
        <v>11100.259765999999</v>
      </c>
      <c r="AI7">
        <v>11174.059569999999</v>
      </c>
      <c r="AJ7" s="31">
        <v>-8.9999999999999993E-3</v>
      </c>
      <c r="AK7" s="31">
        <v>-1E-3</v>
      </c>
    </row>
    <row r="8" spans="2:37">
      <c r="B8" t="s">
        <v>305</v>
      </c>
      <c r="C8" t="s">
        <v>1190</v>
      </c>
      <c r="D8" t="s">
        <v>1191</v>
      </c>
      <c r="E8" t="s">
        <v>354</v>
      </c>
      <c r="G8">
        <v>31.110834000000001</v>
      </c>
      <c r="H8">
        <v>31.640059999999998</v>
      </c>
      <c r="I8">
        <v>29.552766999999999</v>
      </c>
      <c r="J8">
        <v>29.441513</v>
      </c>
      <c r="K8">
        <v>28.728484999999999</v>
      </c>
      <c r="L8">
        <v>27.952176999999999</v>
      </c>
      <c r="M8">
        <v>27.018059000000001</v>
      </c>
      <c r="N8">
        <v>25.972712999999999</v>
      </c>
      <c r="O8">
        <v>24.873795000000001</v>
      </c>
      <c r="P8">
        <v>23.800640000000001</v>
      </c>
      <c r="Q8">
        <v>22.75461</v>
      </c>
      <c r="R8">
        <v>21.823027</v>
      </c>
      <c r="S8">
        <v>20.987984000000001</v>
      </c>
      <c r="T8">
        <v>20.244168999999999</v>
      </c>
      <c r="U8">
        <v>19.537762000000001</v>
      </c>
      <c r="V8">
        <v>19.024712000000001</v>
      </c>
      <c r="W8">
        <v>18.648620999999999</v>
      </c>
      <c r="X8">
        <v>18.398510000000002</v>
      </c>
      <c r="Y8">
        <v>18.275644</v>
      </c>
      <c r="Z8">
        <v>18.222812999999999</v>
      </c>
      <c r="AA8">
        <v>18.236134</v>
      </c>
      <c r="AB8">
        <v>18.340064999999999</v>
      </c>
      <c r="AC8">
        <v>18.452594999999999</v>
      </c>
      <c r="AD8">
        <v>18.609615000000002</v>
      </c>
      <c r="AE8">
        <v>18.756809000000001</v>
      </c>
      <c r="AF8">
        <v>19.004078</v>
      </c>
      <c r="AG8">
        <v>19.229309000000001</v>
      </c>
      <c r="AH8">
        <v>19.515996999999999</v>
      </c>
      <c r="AI8">
        <v>19.788425</v>
      </c>
      <c r="AJ8" s="31">
        <v>-1.6E-2</v>
      </c>
      <c r="AK8" s="31">
        <v>4.0000000000000001E-3</v>
      </c>
    </row>
    <row r="9" spans="2:37">
      <c r="B9" t="s">
        <v>306</v>
      </c>
      <c r="C9" t="s">
        <v>1192</v>
      </c>
      <c r="D9" t="s">
        <v>1193</v>
      </c>
      <c r="E9" t="s">
        <v>354</v>
      </c>
      <c r="G9">
        <v>61.460402999999999</v>
      </c>
      <c r="H9">
        <v>64.699020000000004</v>
      </c>
      <c r="I9">
        <v>67.503647000000001</v>
      </c>
      <c r="J9">
        <v>70.684073999999995</v>
      </c>
      <c r="K9">
        <v>74.503555000000006</v>
      </c>
      <c r="L9">
        <v>77.632530000000003</v>
      </c>
      <c r="M9">
        <v>81.324982000000006</v>
      </c>
      <c r="N9">
        <v>84.520767000000006</v>
      </c>
      <c r="O9">
        <v>86.959732000000002</v>
      </c>
      <c r="P9">
        <v>89.758049</v>
      </c>
      <c r="Q9">
        <v>91.490157999999994</v>
      </c>
      <c r="R9">
        <v>93.247542999999993</v>
      </c>
      <c r="S9">
        <v>95.158996999999999</v>
      </c>
      <c r="T9">
        <v>96.641707999999994</v>
      </c>
      <c r="U9">
        <v>98.053237999999993</v>
      </c>
      <c r="V9">
        <v>99.864699999999999</v>
      </c>
      <c r="W9">
        <v>101.36190000000001</v>
      </c>
      <c r="X9">
        <v>102.785622</v>
      </c>
      <c r="Y9">
        <v>104.47521999999999</v>
      </c>
      <c r="Z9">
        <v>105.749611</v>
      </c>
      <c r="AA9">
        <v>107.324608</v>
      </c>
      <c r="AB9">
        <v>109.779274</v>
      </c>
      <c r="AC9">
        <v>110.920013</v>
      </c>
      <c r="AD9">
        <v>111.97983600000001</v>
      </c>
      <c r="AE9">
        <v>113.441277</v>
      </c>
      <c r="AF9">
        <v>115.037064</v>
      </c>
      <c r="AG9">
        <v>116.75106</v>
      </c>
      <c r="AH9">
        <v>118.593468</v>
      </c>
      <c r="AI9">
        <v>120.69574</v>
      </c>
      <c r="AJ9" s="31">
        <v>2.4E-2</v>
      </c>
      <c r="AK9" s="31">
        <v>2.5000000000000001E-2</v>
      </c>
    </row>
    <row r="10" spans="2:37">
      <c r="B10" t="s">
        <v>307</v>
      </c>
      <c r="C10" t="s">
        <v>1194</v>
      </c>
      <c r="D10" t="s">
        <v>1195</v>
      </c>
      <c r="E10" t="s">
        <v>354</v>
      </c>
      <c r="G10">
        <v>0.71288799999999997</v>
      </c>
      <c r="H10">
        <v>0.67766800000000005</v>
      </c>
      <c r="I10">
        <v>0.53775200000000001</v>
      </c>
      <c r="J10">
        <v>0.51500500000000005</v>
      </c>
      <c r="K10">
        <v>0.507019</v>
      </c>
      <c r="L10">
        <v>0.49244300000000002</v>
      </c>
      <c r="M10">
        <v>0.48183900000000002</v>
      </c>
      <c r="N10">
        <v>0.470472</v>
      </c>
      <c r="O10">
        <v>0.44594200000000001</v>
      </c>
      <c r="P10">
        <v>0.44344499999999998</v>
      </c>
      <c r="Q10">
        <v>0.43788300000000002</v>
      </c>
      <c r="R10">
        <v>0.43343399999999999</v>
      </c>
      <c r="S10">
        <v>0.43173299999999998</v>
      </c>
      <c r="T10">
        <v>0.43049900000000002</v>
      </c>
      <c r="U10">
        <v>0.42709599999999998</v>
      </c>
      <c r="V10">
        <v>0.42463099999999998</v>
      </c>
      <c r="W10">
        <v>0.42622700000000002</v>
      </c>
      <c r="X10">
        <v>0.37802400000000003</v>
      </c>
      <c r="Y10">
        <v>0.33532600000000001</v>
      </c>
      <c r="Z10">
        <v>0.34005299999999999</v>
      </c>
      <c r="AA10">
        <v>0.343781</v>
      </c>
      <c r="AB10">
        <v>0.34665600000000002</v>
      </c>
      <c r="AC10">
        <v>0.34931299999999998</v>
      </c>
      <c r="AD10">
        <v>0.35186400000000001</v>
      </c>
      <c r="AE10">
        <v>0.35644799999999999</v>
      </c>
      <c r="AF10">
        <v>0.36170999999999998</v>
      </c>
      <c r="AG10">
        <v>0.367786</v>
      </c>
      <c r="AH10">
        <v>0.37404300000000001</v>
      </c>
      <c r="AI10">
        <v>0.38108199999999998</v>
      </c>
      <c r="AJ10" s="31">
        <v>-2.1999999999999999E-2</v>
      </c>
      <c r="AK10" s="31">
        <v>-1E-3</v>
      </c>
    </row>
    <row r="11" spans="2:37">
      <c r="B11" t="s">
        <v>308</v>
      </c>
      <c r="C11" t="s">
        <v>1196</v>
      </c>
      <c r="D11" t="s">
        <v>1197</v>
      </c>
      <c r="E11" t="s">
        <v>354</v>
      </c>
      <c r="G11">
        <v>0.79738799999999999</v>
      </c>
      <c r="H11">
        <v>0.735487</v>
      </c>
      <c r="I11">
        <v>0.54745600000000005</v>
      </c>
      <c r="J11">
        <v>0.54066800000000004</v>
      </c>
      <c r="K11">
        <v>0.54419300000000004</v>
      </c>
      <c r="L11">
        <v>0.56128199999999995</v>
      </c>
      <c r="M11">
        <v>0.31209199999999998</v>
      </c>
      <c r="N11">
        <v>0.33013999999999999</v>
      </c>
      <c r="O11">
        <v>0.384077</v>
      </c>
      <c r="P11">
        <v>0.43762600000000001</v>
      </c>
      <c r="Q11">
        <v>0.48971900000000002</v>
      </c>
      <c r="R11">
        <v>0.54025400000000001</v>
      </c>
      <c r="S11">
        <v>0.59017699999999995</v>
      </c>
      <c r="T11">
        <v>0.63807599999999998</v>
      </c>
      <c r="U11">
        <v>0.68416399999999999</v>
      </c>
      <c r="V11">
        <v>0.72875999999999996</v>
      </c>
      <c r="W11">
        <v>0.77158599999999999</v>
      </c>
      <c r="X11">
        <v>0.81298700000000002</v>
      </c>
      <c r="Y11">
        <v>0.85285</v>
      </c>
      <c r="Z11">
        <v>0.89180899999999996</v>
      </c>
      <c r="AA11">
        <v>0.93071300000000001</v>
      </c>
      <c r="AB11">
        <v>0.96862199999999998</v>
      </c>
      <c r="AC11">
        <v>1.007558</v>
      </c>
      <c r="AD11">
        <v>1.0480309999999999</v>
      </c>
      <c r="AE11">
        <v>1.0965309999999999</v>
      </c>
      <c r="AF11">
        <v>1.1502429999999999</v>
      </c>
      <c r="AG11">
        <v>1.2091620000000001</v>
      </c>
      <c r="AH11">
        <v>1.2718959999999999</v>
      </c>
      <c r="AI11">
        <v>1.341161</v>
      </c>
      <c r="AJ11" s="31">
        <v>1.9E-2</v>
      </c>
      <c r="AK11" s="31">
        <v>-7.0000000000000001E-3</v>
      </c>
    </row>
    <row r="12" spans="2:37">
      <c r="B12" t="s">
        <v>309</v>
      </c>
      <c r="C12" t="s">
        <v>1198</v>
      </c>
      <c r="D12" t="s">
        <v>1199</v>
      </c>
      <c r="E12" t="s">
        <v>354</v>
      </c>
      <c r="G12">
        <v>32.193668000000002</v>
      </c>
      <c r="H12">
        <v>43.907116000000002</v>
      </c>
      <c r="I12">
        <v>58.529483999999997</v>
      </c>
      <c r="J12">
        <v>75.757942</v>
      </c>
      <c r="K12">
        <v>96.391159000000002</v>
      </c>
      <c r="L12">
        <v>121.066132</v>
      </c>
      <c r="M12">
        <v>149.37681599999999</v>
      </c>
      <c r="N12">
        <v>181.62849399999999</v>
      </c>
      <c r="O12">
        <v>217.248322</v>
      </c>
      <c r="P12">
        <v>249.97737100000001</v>
      </c>
      <c r="Q12">
        <v>283.60272200000003</v>
      </c>
      <c r="R12">
        <v>317.79742399999998</v>
      </c>
      <c r="S12">
        <v>352.768036</v>
      </c>
      <c r="T12">
        <v>387.34478799999999</v>
      </c>
      <c r="U12">
        <v>420.69439699999998</v>
      </c>
      <c r="V12">
        <v>453.186218</v>
      </c>
      <c r="W12">
        <v>484.42330900000002</v>
      </c>
      <c r="X12">
        <v>513.99560499999995</v>
      </c>
      <c r="Y12">
        <v>541.63085899999999</v>
      </c>
      <c r="Z12">
        <v>567.72460899999999</v>
      </c>
      <c r="AA12">
        <v>591.95019500000001</v>
      </c>
      <c r="AB12">
        <v>614.02081299999998</v>
      </c>
      <c r="AC12">
        <v>634.53887899999995</v>
      </c>
      <c r="AD12">
        <v>652.89733899999999</v>
      </c>
      <c r="AE12">
        <v>671.348206</v>
      </c>
      <c r="AF12">
        <v>688.68969700000002</v>
      </c>
      <c r="AG12">
        <v>705.21575900000005</v>
      </c>
      <c r="AH12">
        <v>721.08111599999995</v>
      </c>
      <c r="AI12">
        <v>736.37286400000005</v>
      </c>
      <c r="AJ12" s="31">
        <v>0.11799999999999999</v>
      </c>
      <c r="AK12" s="31">
        <v>0.10100000000000001</v>
      </c>
    </row>
    <row r="13" spans="2:37">
      <c r="B13" t="s">
        <v>310</v>
      </c>
      <c r="C13" t="s">
        <v>1200</v>
      </c>
      <c r="D13" t="s">
        <v>1201</v>
      </c>
      <c r="E13" t="s">
        <v>354</v>
      </c>
      <c r="G13">
        <v>0.42613899999999999</v>
      </c>
      <c r="H13">
        <v>0.51818299999999995</v>
      </c>
      <c r="I13">
        <v>0.59576700000000005</v>
      </c>
      <c r="J13">
        <v>0.66511799999999999</v>
      </c>
      <c r="K13">
        <v>0.73787199999999997</v>
      </c>
      <c r="L13">
        <v>0.80678000000000005</v>
      </c>
      <c r="M13">
        <v>0.87969799999999998</v>
      </c>
      <c r="N13">
        <v>0.94835800000000003</v>
      </c>
      <c r="O13">
        <v>1.0205519999999999</v>
      </c>
      <c r="P13">
        <v>1.0934459999999999</v>
      </c>
      <c r="Q13">
        <v>1.1656569999999999</v>
      </c>
      <c r="R13">
        <v>1.2371049999999999</v>
      </c>
      <c r="S13">
        <v>1.3096950000000001</v>
      </c>
      <c r="T13">
        <v>1.3809180000000001</v>
      </c>
      <c r="U13">
        <v>1.4474880000000001</v>
      </c>
      <c r="V13">
        <v>1.512508</v>
      </c>
      <c r="W13">
        <v>1.570883</v>
      </c>
      <c r="X13">
        <v>1.623062</v>
      </c>
      <c r="Y13">
        <v>1.665691</v>
      </c>
      <c r="Z13">
        <v>1.699897</v>
      </c>
      <c r="AA13">
        <v>1.7316929999999999</v>
      </c>
      <c r="AB13">
        <v>1.7536229999999999</v>
      </c>
      <c r="AC13">
        <v>1.769871</v>
      </c>
      <c r="AD13">
        <v>1.7791170000000001</v>
      </c>
      <c r="AE13">
        <v>1.7894969999999999</v>
      </c>
      <c r="AF13">
        <v>1.800149</v>
      </c>
      <c r="AG13">
        <v>1.8077129999999999</v>
      </c>
      <c r="AH13">
        <v>1.8132870000000001</v>
      </c>
      <c r="AI13">
        <v>1.8167770000000001</v>
      </c>
      <c r="AJ13" s="31">
        <v>5.2999999999999999E-2</v>
      </c>
      <c r="AK13" s="31">
        <v>3.7999999999999999E-2</v>
      </c>
    </row>
    <row r="14" spans="2:37">
      <c r="B14" t="s">
        <v>311</v>
      </c>
      <c r="C14" t="s">
        <v>1202</v>
      </c>
      <c r="D14" t="s">
        <v>1203</v>
      </c>
      <c r="E14" t="s">
        <v>354</v>
      </c>
      <c r="G14">
        <v>951.50280799999996</v>
      </c>
      <c r="H14">
        <v>942.55828899999995</v>
      </c>
      <c r="I14">
        <v>925.34039299999995</v>
      </c>
      <c r="J14">
        <v>912.45153800000003</v>
      </c>
      <c r="K14">
        <v>903.11096199999997</v>
      </c>
      <c r="L14">
        <v>894.80664100000001</v>
      </c>
      <c r="M14">
        <v>888.38452099999995</v>
      </c>
      <c r="N14">
        <v>882.99560499999995</v>
      </c>
      <c r="O14">
        <v>877.03247099999999</v>
      </c>
      <c r="P14">
        <v>872.79089399999998</v>
      </c>
      <c r="Q14">
        <v>871.79064900000003</v>
      </c>
      <c r="R14">
        <v>871.86755400000004</v>
      </c>
      <c r="S14">
        <v>873.03363000000002</v>
      </c>
      <c r="T14">
        <v>875.073486</v>
      </c>
      <c r="U14">
        <v>877.49945100000002</v>
      </c>
      <c r="V14">
        <v>881.02331500000003</v>
      </c>
      <c r="W14">
        <v>885.54095500000005</v>
      </c>
      <c r="X14">
        <v>889.79608199999996</v>
      </c>
      <c r="Y14">
        <v>896.14636199999995</v>
      </c>
      <c r="Z14">
        <v>903.92437700000005</v>
      </c>
      <c r="AA14">
        <v>911.92645300000004</v>
      </c>
      <c r="AB14">
        <v>919.04620399999999</v>
      </c>
      <c r="AC14">
        <v>925.47399900000005</v>
      </c>
      <c r="AD14">
        <v>932.77233899999999</v>
      </c>
      <c r="AE14">
        <v>941.28070100000002</v>
      </c>
      <c r="AF14">
        <v>951.49883999999997</v>
      </c>
      <c r="AG14">
        <v>960.51415999999995</v>
      </c>
      <c r="AH14">
        <v>969.57879600000001</v>
      </c>
      <c r="AI14">
        <v>981.59570299999996</v>
      </c>
      <c r="AJ14" s="31">
        <v>1E-3</v>
      </c>
      <c r="AK14" s="31">
        <v>8.9999999999999993E-3</v>
      </c>
    </row>
    <row r="15" spans="2:37">
      <c r="B15" t="s">
        <v>304</v>
      </c>
      <c r="C15" t="s">
        <v>1204</v>
      </c>
      <c r="D15" t="s">
        <v>1205</v>
      </c>
      <c r="E15" t="s">
        <v>354</v>
      </c>
      <c r="G15">
        <v>657.76745600000004</v>
      </c>
      <c r="H15">
        <v>651.25982699999997</v>
      </c>
      <c r="I15">
        <v>640.80761700000005</v>
      </c>
      <c r="J15">
        <v>634.44543499999997</v>
      </c>
      <c r="K15">
        <v>630.82428000000004</v>
      </c>
      <c r="L15">
        <v>624.78125</v>
      </c>
      <c r="M15">
        <v>620.947632</v>
      </c>
      <c r="N15">
        <v>618.08074999999997</v>
      </c>
      <c r="O15">
        <v>615.03594999999996</v>
      </c>
      <c r="P15">
        <v>613.48315400000001</v>
      </c>
      <c r="Q15">
        <v>614.07128899999998</v>
      </c>
      <c r="R15">
        <v>615.42193599999996</v>
      </c>
      <c r="S15">
        <v>617.641479</v>
      </c>
      <c r="T15">
        <v>620.38317900000004</v>
      </c>
      <c r="U15">
        <v>623.32220500000005</v>
      </c>
      <c r="V15">
        <v>627.02630599999998</v>
      </c>
      <c r="W15">
        <v>631.23345900000004</v>
      </c>
      <c r="X15">
        <v>635.20404099999996</v>
      </c>
      <c r="Y15">
        <v>640.80859399999997</v>
      </c>
      <c r="Z15">
        <v>646.77948000000004</v>
      </c>
      <c r="AA15">
        <v>653.38256799999999</v>
      </c>
      <c r="AB15">
        <v>659.03369099999998</v>
      </c>
      <c r="AC15">
        <v>663.90283199999999</v>
      </c>
      <c r="AD15">
        <v>669.03552200000001</v>
      </c>
      <c r="AE15">
        <v>675.10998500000005</v>
      </c>
      <c r="AF15">
        <v>682.46606399999996</v>
      </c>
      <c r="AG15">
        <v>688.97082499999999</v>
      </c>
      <c r="AH15">
        <v>695.63995399999999</v>
      </c>
      <c r="AI15">
        <v>704.23315400000001</v>
      </c>
      <c r="AJ15" s="31">
        <v>2E-3</v>
      </c>
      <c r="AK15" s="31">
        <v>8.0000000000000002E-3</v>
      </c>
    </row>
    <row r="16" spans="2:37">
      <c r="B16" t="s">
        <v>305</v>
      </c>
      <c r="C16" t="s">
        <v>1206</v>
      </c>
      <c r="D16" t="s">
        <v>1207</v>
      </c>
      <c r="E16" t="s">
        <v>354</v>
      </c>
      <c r="G16">
        <v>3.5136699999999998</v>
      </c>
      <c r="H16">
        <v>3.389497</v>
      </c>
      <c r="I16">
        <v>2.991625</v>
      </c>
      <c r="J16">
        <v>2.9037060000000001</v>
      </c>
      <c r="K16">
        <v>2.7676799999999999</v>
      </c>
      <c r="L16">
        <v>2.7080980000000001</v>
      </c>
      <c r="M16">
        <v>2.6648450000000001</v>
      </c>
      <c r="N16">
        <v>2.6710020000000001</v>
      </c>
      <c r="O16">
        <v>2.68058</v>
      </c>
      <c r="P16">
        <v>2.705457</v>
      </c>
      <c r="Q16">
        <v>2.745193</v>
      </c>
      <c r="R16">
        <v>2.803118</v>
      </c>
      <c r="S16">
        <v>2.8754189999999999</v>
      </c>
      <c r="T16">
        <v>2.972388</v>
      </c>
      <c r="U16">
        <v>3.075218</v>
      </c>
      <c r="V16">
        <v>3.2065070000000002</v>
      </c>
      <c r="W16">
        <v>3.3501609999999999</v>
      </c>
      <c r="X16">
        <v>3.5010400000000002</v>
      </c>
      <c r="Y16">
        <v>3.6667809999999998</v>
      </c>
      <c r="Z16">
        <v>3.843432</v>
      </c>
      <c r="AA16">
        <v>4.0169430000000004</v>
      </c>
      <c r="AB16">
        <v>4.194909</v>
      </c>
      <c r="AC16">
        <v>4.3540520000000003</v>
      </c>
      <c r="AD16">
        <v>4.5155190000000003</v>
      </c>
      <c r="AE16">
        <v>4.6677289999999996</v>
      </c>
      <c r="AF16">
        <v>4.8359430000000003</v>
      </c>
      <c r="AG16">
        <v>4.9793599999999998</v>
      </c>
      <c r="AH16">
        <v>5.1316860000000002</v>
      </c>
      <c r="AI16">
        <v>5.2824540000000004</v>
      </c>
      <c r="AJ16" s="31">
        <v>1.4999999999999999E-2</v>
      </c>
      <c r="AK16" s="31">
        <v>4.7E-2</v>
      </c>
    </row>
    <row r="17" spans="2:37">
      <c r="B17" t="s">
        <v>306</v>
      </c>
      <c r="C17" t="s">
        <v>1208</v>
      </c>
      <c r="D17" t="s">
        <v>1209</v>
      </c>
      <c r="E17" t="s">
        <v>354</v>
      </c>
      <c r="G17">
        <v>289.12039199999998</v>
      </c>
      <c r="H17">
        <v>286.82144199999999</v>
      </c>
      <c r="I17">
        <v>280.46920799999998</v>
      </c>
      <c r="J17">
        <v>274.07836900000001</v>
      </c>
      <c r="K17">
        <v>268.54092400000002</v>
      </c>
      <c r="L17">
        <v>266.37576300000001</v>
      </c>
      <c r="M17">
        <v>263.84298699999999</v>
      </c>
      <c r="N17">
        <v>261.31542999999999</v>
      </c>
      <c r="O17">
        <v>258.401184</v>
      </c>
      <c r="P17">
        <v>255.69387800000001</v>
      </c>
      <c r="Q17">
        <v>254.05813599999999</v>
      </c>
      <c r="R17">
        <v>252.705139</v>
      </c>
      <c r="S17">
        <v>251.542633</v>
      </c>
      <c r="T17">
        <v>250.69047499999999</v>
      </c>
      <c r="U17">
        <v>250.00555399999999</v>
      </c>
      <c r="V17">
        <v>249.60524000000001</v>
      </c>
      <c r="W17">
        <v>249.66021699999999</v>
      </c>
      <c r="X17">
        <v>249.65734900000001</v>
      </c>
      <c r="Y17">
        <v>250.07077000000001</v>
      </c>
      <c r="Z17">
        <v>251.505585</v>
      </c>
      <c r="AA17">
        <v>252.50730899999999</v>
      </c>
      <c r="AB17">
        <v>253.54638700000001</v>
      </c>
      <c r="AC17">
        <v>254.66670199999999</v>
      </c>
      <c r="AD17">
        <v>256.36206099999998</v>
      </c>
      <c r="AE17">
        <v>258.30450400000001</v>
      </c>
      <c r="AF17">
        <v>260.63464399999998</v>
      </c>
      <c r="AG17">
        <v>262.62152099999997</v>
      </c>
      <c r="AH17">
        <v>264.464203</v>
      </c>
      <c r="AI17">
        <v>267.307861</v>
      </c>
      <c r="AJ17" s="31">
        <v>-3.0000000000000001E-3</v>
      </c>
      <c r="AK17" s="31">
        <v>8.0000000000000002E-3</v>
      </c>
    </row>
    <row r="18" spans="2:37">
      <c r="B18" t="s">
        <v>308</v>
      </c>
      <c r="C18" t="s">
        <v>1210</v>
      </c>
      <c r="D18" t="s">
        <v>1211</v>
      </c>
      <c r="E18" t="s">
        <v>354</v>
      </c>
      <c r="G18">
        <v>1.1919999999999999E-3</v>
      </c>
      <c r="H18">
        <v>5.9367000000000003E-2</v>
      </c>
      <c r="I18">
        <v>0.11705</v>
      </c>
      <c r="J18">
        <v>0.17241300000000001</v>
      </c>
      <c r="K18">
        <v>0.22949800000000001</v>
      </c>
      <c r="L18">
        <v>0.28361900000000001</v>
      </c>
      <c r="M18">
        <v>0.33646300000000001</v>
      </c>
      <c r="N18">
        <v>0.39336500000000002</v>
      </c>
      <c r="O18">
        <v>0.43659700000000001</v>
      </c>
      <c r="P18">
        <v>0.48442800000000003</v>
      </c>
      <c r="Q18">
        <v>0.53945200000000004</v>
      </c>
      <c r="R18">
        <v>0.60183900000000001</v>
      </c>
      <c r="S18">
        <v>0.67321399999999998</v>
      </c>
      <c r="T18">
        <v>0.75634199999999996</v>
      </c>
      <c r="U18">
        <v>0.853271</v>
      </c>
      <c r="V18">
        <v>0.96770199999999995</v>
      </c>
      <c r="W18">
        <v>1.1022019999999999</v>
      </c>
      <c r="X18">
        <v>1.257558</v>
      </c>
      <c r="Y18">
        <v>1.4395659999999999</v>
      </c>
      <c r="Z18">
        <v>1.649748</v>
      </c>
      <c r="AA18">
        <v>1.8861079999999999</v>
      </c>
      <c r="AB18">
        <v>2.1497600000000001</v>
      </c>
      <c r="AC18">
        <v>2.4400059999999999</v>
      </c>
      <c r="AD18">
        <v>2.7592599999999998</v>
      </c>
      <c r="AE18">
        <v>3.1105109999999998</v>
      </c>
      <c r="AF18">
        <v>3.4898639999999999</v>
      </c>
      <c r="AG18">
        <v>3.885303</v>
      </c>
      <c r="AH18">
        <v>4.2978630000000004</v>
      </c>
      <c r="AI18">
        <v>4.7380370000000003</v>
      </c>
      <c r="AJ18" s="31">
        <v>0.34399999999999997</v>
      </c>
      <c r="AK18" s="31">
        <v>8.7999999999999995E-2</v>
      </c>
    </row>
    <row r="19" spans="2:37">
      <c r="B19" t="s">
        <v>307</v>
      </c>
      <c r="C19" t="s">
        <v>1212</v>
      </c>
      <c r="D19" t="s">
        <v>1213</v>
      </c>
      <c r="E19" t="s">
        <v>354</v>
      </c>
      <c r="G19">
        <v>1.100109</v>
      </c>
      <c r="H19">
        <v>1.0280959999999999</v>
      </c>
      <c r="I19">
        <v>0.95485699999999996</v>
      </c>
      <c r="J19">
        <v>0.85162800000000005</v>
      </c>
      <c r="K19">
        <v>0.74851699999999999</v>
      </c>
      <c r="L19">
        <v>0.657968</v>
      </c>
      <c r="M19">
        <v>0.59255500000000005</v>
      </c>
      <c r="N19">
        <v>0.53501100000000001</v>
      </c>
      <c r="O19">
        <v>0.478159</v>
      </c>
      <c r="P19">
        <v>0.42399300000000001</v>
      </c>
      <c r="Q19">
        <v>0.376664</v>
      </c>
      <c r="R19">
        <v>0.33548499999999998</v>
      </c>
      <c r="S19">
        <v>0.30089100000000002</v>
      </c>
      <c r="T19">
        <v>0.27107300000000001</v>
      </c>
      <c r="U19">
        <v>0.243198</v>
      </c>
      <c r="V19">
        <v>0.217586</v>
      </c>
      <c r="W19">
        <v>0.19492699999999999</v>
      </c>
      <c r="X19">
        <v>0.17607900000000001</v>
      </c>
      <c r="Y19">
        <v>0.160581</v>
      </c>
      <c r="Z19">
        <v>0.14618200000000001</v>
      </c>
      <c r="AA19">
        <v>0.133464</v>
      </c>
      <c r="AB19">
        <v>0.121475</v>
      </c>
      <c r="AC19">
        <v>0.110383</v>
      </c>
      <c r="AD19">
        <v>9.9973999999999993E-2</v>
      </c>
      <c r="AE19">
        <v>8.7946999999999997E-2</v>
      </c>
      <c r="AF19">
        <v>7.2319999999999995E-2</v>
      </c>
      <c r="AG19">
        <v>5.7146000000000002E-2</v>
      </c>
      <c r="AH19">
        <v>4.5075999999999998E-2</v>
      </c>
      <c r="AI19">
        <v>3.4169999999999999E-2</v>
      </c>
      <c r="AJ19" s="31">
        <v>-0.11700000000000001</v>
      </c>
      <c r="AK19" s="31">
        <v>-1.2999999999999999E-2</v>
      </c>
    </row>
    <row r="20" spans="2:37">
      <c r="B20" t="s">
        <v>309</v>
      </c>
      <c r="C20" t="s">
        <v>1214</v>
      </c>
      <c r="D20" t="s">
        <v>1215</v>
      </c>
      <c r="E20" t="s">
        <v>354</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117</v>
      </c>
      <c r="AK20" s="31">
        <v>0.115</v>
      </c>
    </row>
    <row r="21" spans="2:37">
      <c r="B21" t="s">
        <v>310</v>
      </c>
      <c r="C21" t="s">
        <v>1216</v>
      </c>
      <c r="D21" t="s">
        <v>1217</v>
      </c>
      <c r="E21" t="s">
        <v>354</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117</v>
      </c>
      <c r="AK21" t="s">
        <v>117</v>
      </c>
    </row>
    <row r="22" spans="2:37">
      <c r="B22" t="s">
        <v>312</v>
      </c>
      <c r="C22" t="s">
        <v>1218</v>
      </c>
      <c r="D22" t="s">
        <v>1219</v>
      </c>
      <c r="E22" t="s">
        <v>354</v>
      </c>
      <c r="G22">
        <v>5922.7910160000001</v>
      </c>
      <c r="H22">
        <v>5816.7055659999996</v>
      </c>
      <c r="I22">
        <v>5728.0952150000003</v>
      </c>
      <c r="J22">
        <v>5673.0986329999996</v>
      </c>
      <c r="K22">
        <v>5638.8964839999999</v>
      </c>
      <c r="L22">
        <v>5591.7084960000002</v>
      </c>
      <c r="M22">
        <v>5543.7119140000004</v>
      </c>
      <c r="N22">
        <v>5483.6694340000004</v>
      </c>
      <c r="O22">
        <v>5422.388672</v>
      </c>
      <c r="P22">
        <v>5371.3027339999999</v>
      </c>
      <c r="Q22">
        <v>5340.158203</v>
      </c>
      <c r="R22">
        <v>5306.5048829999996</v>
      </c>
      <c r="S22">
        <v>5278.7797849999997</v>
      </c>
      <c r="T22">
        <v>5261.2470700000003</v>
      </c>
      <c r="U22">
        <v>5242.9990230000003</v>
      </c>
      <c r="V22">
        <v>5237.6972660000001</v>
      </c>
      <c r="W22">
        <v>5236.3618159999996</v>
      </c>
      <c r="X22">
        <v>5238.3041990000002</v>
      </c>
      <c r="Y22">
        <v>5247.9145509999998</v>
      </c>
      <c r="Z22">
        <v>5263.2084960000002</v>
      </c>
      <c r="AA22">
        <v>5281.4541019999997</v>
      </c>
      <c r="AB22">
        <v>5299.6816410000001</v>
      </c>
      <c r="AC22">
        <v>5316.7680659999996</v>
      </c>
      <c r="AD22">
        <v>5331.7001950000003</v>
      </c>
      <c r="AE22">
        <v>5353.1992190000001</v>
      </c>
      <c r="AF22">
        <v>5376.3164059999999</v>
      </c>
      <c r="AG22">
        <v>5393.3178710000002</v>
      </c>
      <c r="AH22">
        <v>5413.4169920000004</v>
      </c>
      <c r="AI22">
        <v>5450.0122069999998</v>
      </c>
      <c r="AJ22" s="31">
        <v>-3.0000000000000001E-3</v>
      </c>
      <c r="AK22" s="31">
        <v>5.0000000000000001E-3</v>
      </c>
    </row>
    <row r="23" spans="2:37">
      <c r="B23" t="s">
        <v>313</v>
      </c>
      <c r="C23" t="s">
        <v>1220</v>
      </c>
      <c r="D23" t="s">
        <v>1221</v>
      </c>
      <c r="E23" t="s">
        <v>354</v>
      </c>
      <c r="G23">
        <v>616.20519999999999</v>
      </c>
      <c r="H23">
        <v>611.60089100000005</v>
      </c>
      <c r="I23">
        <v>610.37268100000006</v>
      </c>
      <c r="J23">
        <v>612.19366500000001</v>
      </c>
      <c r="K23">
        <v>616.92590299999995</v>
      </c>
      <c r="L23">
        <v>620.02862500000003</v>
      </c>
      <c r="M23">
        <v>623.435608</v>
      </c>
      <c r="N23">
        <v>626.11090100000001</v>
      </c>
      <c r="O23">
        <v>629.31872599999997</v>
      </c>
      <c r="P23">
        <v>633.79577600000005</v>
      </c>
      <c r="Q23">
        <v>641.25616500000001</v>
      </c>
      <c r="R23">
        <v>647.76110800000004</v>
      </c>
      <c r="S23">
        <v>654.28460700000005</v>
      </c>
      <c r="T23">
        <v>661.13012700000002</v>
      </c>
      <c r="U23">
        <v>667.05139199999996</v>
      </c>
      <c r="V23">
        <v>674.55737299999998</v>
      </c>
      <c r="W23">
        <v>681.19171100000005</v>
      </c>
      <c r="X23">
        <v>688.82940699999995</v>
      </c>
      <c r="Y23">
        <v>697.06719999999996</v>
      </c>
      <c r="Z23">
        <v>706.54357900000002</v>
      </c>
      <c r="AA23">
        <v>715.970642</v>
      </c>
      <c r="AB23">
        <v>725.08044400000006</v>
      </c>
      <c r="AC23">
        <v>734.180969</v>
      </c>
      <c r="AD23">
        <v>743.18780500000003</v>
      </c>
      <c r="AE23">
        <v>753.50970500000005</v>
      </c>
      <c r="AF23">
        <v>764.21655299999998</v>
      </c>
      <c r="AG23">
        <v>774.01879899999994</v>
      </c>
      <c r="AH23">
        <v>784.56542999999999</v>
      </c>
      <c r="AI23">
        <v>797.65808100000004</v>
      </c>
      <c r="AJ23" s="31">
        <v>8.9999999999999993E-3</v>
      </c>
      <c r="AK23" s="31">
        <v>1.7000000000000001E-2</v>
      </c>
    </row>
    <row r="24" spans="2:37">
      <c r="B24" t="s">
        <v>306</v>
      </c>
      <c r="C24" t="s">
        <v>1222</v>
      </c>
      <c r="D24" t="s">
        <v>1223</v>
      </c>
      <c r="E24" t="s">
        <v>354</v>
      </c>
      <c r="G24">
        <v>5252.3305659999996</v>
      </c>
      <c r="H24">
        <v>5150.2441410000001</v>
      </c>
      <c r="I24">
        <v>5062.3154299999997</v>
      </c>
      <c r="J24">
        <v>5004.9750979999999</v>
      </c>
      <c r="K24">
        <v>4965.6987300000001</v>
      </c>
      <c r="L24">
        <v>4915.5693359999996</v>
      </c>
      <c r="M24">
        <v>4864.6591799999997</v>
      </c>
      <c r="N24">
        <v>4802.8212890000004</v>
      </c>
      <c r="O24">
        <v>4739.4140619999998</v>
      </c>
      <c r="P24">
        <v>4684.7788090000004</v>
      </c>
      <c r="Q24">
        <v>4646.6831050000001</v>
      </c>
      <c r="R24">
        <v>4606.6586909999996</v>
      </c>
      <c r="S24">
        <v>4572.0830079999996</v>
      </c>
      <c r="T24">
        <v>4546.9648440000001</v>
      </c>
      <c r="U24">
        <v>4521.8164059999999</v>
      </c>
      <c r="V24">
        <v>4507.6464839999999</v>
      </c>
      <c r="W24">
        <v>4498.0512699999999</v>
      </c>
      <c r="X24">
        <v>4490.4604490000002</v>
      </c>
      <c r="Y24">
        <v>4489.5615230000003</v>
      </c>
      <c r="Z24">
        <v>4492.7368159999996</v>
      </c>
      <c r="AA24">
        <v>4498.6596680000002</v>
      </c>
      <c r="AB24">
        <v>4504.6669920000004</v>
      </c>
      <c r="AC24">
        <v>4509.3803710000002</v>
      </c>
      <c r="AD24">
        <v>4511.908203</v>
      </c>
      <c r="AE24">
        <v>4519.439453</v>
      </c>
      <c r="AF24">
        <v>4527.9907229999999</v>
      </c>
      <c r="AG24">
        <v>4531.3125</v>
      </c>
      <c r="AH24">
        <v>4536.8085940000001</v>
      </c>
      <c r="AI24">
        <v>4555.8002930000002</v>
      </c>
      <c r="AJ24" s="31">
        <v>-5.0000000000000001E-3</v>
      </c>
      <c r="AK24" s="31">
        <v>3.0000000000000001E-3</v>
      </c>
    </row>
    <row r="25" spans="2:37">
      <c r="B25" t="s">
        <v>307</v>
      </c>
      <c r="C25" t="s">
        <v>1224</v>
      </c>
      <c r="D25" t="s">
        <v>1225</v>
      </c>
      <c r="E25" t="s">
        <v>354</v>
      </c>
      <c r="G25">
        <v>51.344929</v>
      </c>
      <c r="H25">
        <v>51.773192999999999</v>
      </c>
      <c r="I25">
        <v>51.965775000000001</v>
      </c>
      <c r="J25">
        <v>52.061793999999999</v>
      </c>
      <c r="K25">
        <v>52.003608999999997</v>
      </c>
      <c r="L25">
        <v>51.453991000000002</v>
      </c>
      <c r="M25">
        <v>50.587242000000003</v>
      </c>
      <c r="N25">
        <v>49.357909999999997</v>
      </c>
      <c r="O25">
        <v>47.935226</v>
      </c>
      <c r="P25">
        <v>46.656028999999997</v>
      </c>
      <c r="Q25">
        <v>45.774757000000001</v>
      </c>
      <c r="R25">
        <v>45.265822999999997</v>
      </c>
      <c r="S25">
        <v>45.213749</v>
      </c>
      <c r="T25">
        <v>45.570152</v>
      </c>
      <c r="U25">
        <v>46.181812000000001</v>
      </c>
      <c r="V25">
        <v>47.148071000000002</v>
      </c>
      <c r="W25">
        <v>48.373516000000002</v>
      </c>
      <c r="X25">
        <v>49.850357000000002</v>
      </c>
      <c r="Y25">
        <v>51.657871</v>
      </c>
      <c r="Z25">
        <v>53.784999999999997</v>
      </c>
      <c r="AA25">
        <v>56.128627999999999</v>
      </c>
      <c r="AB25">
        <v>58.653038000000002</v>
      </c>
      <c r="AC25">
        <v>61.322830000000003</v>
      </c>
      <c r="AD25">
        <v>64.089225999999996</v>
      </c>
      <c r="AE25">
        <v>67.060805999999999</v>
      </c>
      <c r="AF25">
        <v>70.195708999999994</v>
      </c>
      <c r="AG25">
        <v>73.347763</v>
      </c>
      <c r="AH25">
        <v>76.647514000000001</v>
      </c>
      <c r="AI25">
        <v>80.336478999999997</v>
      </c>
      <c r="AJ25" s="31">
        <v>1.6E-2</v>
      </c>
      <c r="AK25" s="31">
        <v>2.1999999999999999E-2</v>
      </c>
    </row>
    <row r="26" spans="2:37">
      <c r="B26" t="s">
        <v>308</v>
      </c>
      <c r="C26" t="s">
        <v>1226</v>
      </c>
      <c r="D26" t="s">
        <v>1227</v>
      </c>
      <c r="E26" t="s">
        <v>354</v>
      </c>
      <c r="G26">
        <v>1.2452650000000001</v>
      </c>
      <c r="H26">
        <v>1.3861779999999999</v>
      </c>
      <c r="I26">
        <v>1.5248809999999999</v>
      </c>
      <c r="J26">
        <v>1.6560079999999999</v>
      </c>
      <c r="K26">
        <v>1.7862659999999999</v>
      </c>
      <c r="L26">
        <v>1.903707</v>
      </c>
      <c r="M26">
        <v>2.0105780000000002</v>
      </c>
      <c r="N26">
        <v>2.0996890000000001</v>
      </c>
      <c r="O26">
        <v>2.1804990000000002</v>
      </c>
      <c r="P26">
        <v>2.2604649999999999</v>
      </c>
      <c r="Q26">
        <v>2.3478089999999998</v>
      </c>
      <c r="R26">
        <v>2.4404729999999999</v>
      </c>
      <c r="S26">
        <v>2.5412210000000002</v>
      </c>
      <c r="T26">
        <v>2.6449829999999999</v>
      </c>
      <c r="U26">
        <v>2.752405</v>
      </c>
      <c r="V26">
        <v>2.87385</v>
      </c>
      <c r="W26">
        <v>3.004591</v>
      </c>
      <c r="X26">
        <v>3.1495850000000001</v>
      </c>
      <c r="Y26">
        <v>3.3139080000000001</v>
      </c>
      <c r="Z26">
        <v>3.5006020000000002</v>
      </c>
      <c r="AA26">
        <v>3.7020719999999998</v>
      </c>
      <c r="AB26">
        <v>3.9170069999999999</v>
      </c>
      <c r="AC26">
        <v>4.1414160000000004</v>
      </c>
      <c r="AD26">
        <v>4.3768849999999997</v>
      </c>
      <c r="AE26">
        <v>4.632447</v>
      </c>
      <c r="AF26">
        <v>4.9017460000000002</v>
      </c>
      <c r="AG26">
        <v>5.1746309999999998</v>
      </c>
      <c r="AH26">
        <v>5.4474770000000001</v>
      </c>
      <c r="AI26">
        <v>5.7450359999999998</v>
      </c>
      <c r="AJ26" s="31">
        <v>5.6000000000000001E-2</v>
      </c>
      <c r="AK26" s="31">
        <v>4.4999999999999998E-2</v>
      </c>
    </row>
    <row r="27" spans="2:37">
      <c r="B27" t="s">
        <v>305</v>
      </c>
      <c r="C27" t="s">
        <v>1228</v>
      </c>
      <c r="D27" t="s">
        <v>1229</v>
      </c>
      <c r="E27" t="s">
        <v>354</v>
      </c>
      <c r="G27">
        <v>1.575329</v>
      </c>
      <c r="H27">
        <v>1.59209</v>
      </c>
      <c r="I27">
        <v>1.542675</v>
      </c>
      <c r="J27">
        <v>1.6006830000000001</v>
      </c>
      <c r="K27">
        <v>1.6393420000000001</v>
      </c>
      <c r="L27">
        <v>1.678971</v>
      </c>
      <c r="M27">
        <v>1.7193179999999999</v>
      </c>
      <c r="N27">
        <v>1.762707</v>
      </c>
      <c r="O27">
        <v>1.813895</v>
      </c>
      <c r="P27">
        <v>1.879181</v>
      </c>
      <c r="Q27">
        <v>1.9543600000000001</v>
      </c>
      <c r="R27">
        <v>2.0339360000000002</v>
      </c>
      <c r="S27">
        <v>2.113308</v>
      </c>
      <c r="T27">
        <v>2.196958</v>
      </c>
      <c r="U27">
        <v>2.2686670000000002</v>
      </c>
      <c r="V27">
        <v>2.3534449999999998</v>
      </c>
      <c r="W27">
        <v>2.433783</v>
      </c>
      <c r="X27">
        <v>2.5157970000000001</v>
      </c>
      <c r="Y27">
        <v>2.6119849999999998</v>
      </c>
      <c r="Z27">
        <v>2.7199399999999998</v>
      </c>
      <c r="AA27">
        <v>2.8330769999999998</v>
      </c>
      <c r="AB27">
        <v>2.961128</v>
      </c>
      <c r="AC27">
        <v>3.087059</v>
      </c>
      <c r="AD27">
        <v>3.2187969999999999</v>
      </c>
      <c r="AE27">
        <v>3.346063</v>
      </c>
      <c r="AF27">
        <v>3.488648</v>
      </c>
      <c r="AG27">
        <v>3.6174729999999999</v>
      </c>
      <c r="AH27">
        <v>3.75576</v>
      </c>
      <c r="AI27">
        <v>3.8951479999999998</v>
      </c>
      <c r="AJ27" s="31">
        <v>3.3000000000000002E-2</v>
      </c>
      <c r="AK27" s="31">
        <v>6.7000000000000004E-2</v>
      </c>
    </row>
    <row r="28" spans="2:37">
      <c r="B28" t="s">
        <v>309</v>
      </c>
      <c r="C28" t="s">
        <v>1230</v>
      </c>
      <c r="D28" t="s">
        <v>1231</v>
      </c>
      <c r="E28" t="s">
        <v>354</v>
      </c>
      <c r="G28">
        <v>9.0132000000000004E-2</v>
      </c>
      <c r="H28">
        <v>0.10914600000000001</v>
      </c>
      <c r="I28">
        <v>0.14400499999999999</v>
      </c>
      <c r="J28">
        <v>0.16340499999999999</v>
      </c>
      <c r="K28">
        <v>0.180895</v>
      </c>
      <c r="L28">
        <v>0.19575699999999999</v>
      </c>
      <c r="M28">
        <v>0.20827399999999999</v>
      </c>
      <c r="N28">
        <v>0.21801599999999999</v>
      </c>
      <c r="O28">
        <v>0.225574</v>
      </c>
      <c r="P28">
        <v>0.231714</v>
      </c>
      <c r="Q28">
        <v>0.23694499999999999</v>
      </c>
      <c r="R28">
        <v>0.240285</v>
      </c>
      <c r="S28">
        <v>0.24247299999999999</v>
      </c>
      <c r="T28">
        <v>0.244232</v>
      </c>
      <c r="U28">
        <v>0.245169</v>
      </c>
      <c r="V28">
        <v>0.24673500000000001</v>
      </c>
      <c r="W28">
        <v>0.24945500000000001</v>
      </c>
      <c r="X28">
        <v>0.25267000000000001</v>
      </c>
      <c r="Y28">
        <v>0.25714399999999998</v>
      </c>
      <c r="Z28">
        <v>0.26399899999999998</v>
      </c>
      <c r="AA28">
        <v>0.27311400000000002</v>
      </c>
      <c r="AB28">
        <v>0.28285100000000002</v>
      </c>
      <c r="AC28">
        <v>0.293846</v>
      </c>
      <c r="AD28">
        <v>0.30659700000000001</v>
      </c>
      <c r="AE28">
        <v>0.32178200000000001</v>
      </c>
      <c r="AF28">
        <v>0.33802500000000002</v>
      </c>
      <c r="AG28">
        <v>0.35486499999999999</v>
      </c>
      <c r="AH28">
        <v>0.37290400000000001</v>
      </c>
      <c r="AI28">
        <v>0.39289000000000002</v>
      </c>
      <c r="AJ28" s="31">
        <v>5.3999999999999999E-2</v>
      </c>
      <c r="AK28" s="31">
        <v>0.123</v>
      </c>
    </row>
    <row r="29" spans="2:37">
      <c r="B29" t="s">
        <v>310</v>
      </c>
      <c r="C29" t="s">
        <v>1232</v>
      </c>
      <c r="D29" t="s">
        <v>1233</v>
      </c>
      <c r="E29" t="s">
        <v>354</v>
      </c>
      <c r="G29">
        <v>0</v>
      </c>
      <c r="H29">
        <v>0</v>
      </c>
      <c r="I29">
        <v>0.22972699999999999</v>
      </c>
      <c r="J29">
        <v>0.44725199999999998</v>
      </c>
      <c r="K29">
        <v>0.66231200000000001</v>
      </c>
      <c r="L29">
        <v>0.87751500000000004</v>
      </c>
      <c r="M29">
        <v>1.0912500000000001</v>
      </c>
      <c r="N29">
        <v>1.2990360000000001</v>
      </c>
      <c r="O29">
        <v>1.5006790000000001</v>
      </c>
      <c r="P29">
        <v>1.7007650000000001</v>
      </c>
      <c r="Q29">
        <v>1.904776</v>
      </c>
      <c r="R29">
        <v>2.1047159999999998</v>
      </c>
      <c r="S29">
        <v>2.3014619999999999</v>
      </c>
      <c r="T29">
        <v>2.4959410000000002</v>
      </c>
      <c r="U29">
        <v>2.6833969999999998</v>
      </c>
      <c r="V29">
        <v>2.8711519999999999</v>
      </c>
      <c r="W29">
        <v>3.0575350000000001</v>
      </c>
      <c r="X29">
        <v>3.245911</v>
      </c>
      <c r="Y29">
        <v>3.4448439999999998</v>
      </c>
      <c r="Z29">
        <v>3.6585719999999999</v>
      </c>
      <c r="AA29">
        <v>3.886771</v>
      </c>
      <c r="AB29">
        <v>4.1203969999999996</v>
      </c>
      <c r="AC29">
        <v>4.3612700000000002</v>
      </c>
      <c r="AD29">
        <v>4.6121660000000002</v>
      </c>
      <c r="AE29">
        <v>4.8889959999999997</v>
      </c>
      <c r="AF29">
        <v>5.184831</v>
      </c>
      <c r="AG29">
        <v>5.4921150000000001</v>
      </c>
      <c r="AH29">
        <v>5.8197830000000002</v>
      </c>
      <c r="AI29">
        <v>6.1840799999999998</v>
      </c>
      <c r="AJ29" t="s">
        <v>117</v>
      </c>
      <c r="AK29" s="31">
        <v>0.13400000000000001</v>
      </c>
    </row>
    <row r="30" spans="2:37">
      <c r="B30" t="s">
        <v>314</v>
      </c>
      <c r="C30" t="s">
        <v>1234</v>
      </c>
      <c r="D30" t="s">
        <v>1235</v>
      </c>
      <c r="E30" t="s">
        <v>354</v>
      </c>
      <c r="G30">
        <v>481.38171399999999</v>
      </c>
      <c r="H30">
        <v>474.82238799999999</v>
      </c>
      <c r="I30">
        <v>494.12914999999998</v>
      </c>
      <c r="J30">
        <v>482.20422400000001</v>
      </c>
      <c r="K30">
        <v>461.88034099999999</v>
      </c>
      <c r="L30">
        <v>446.09524499999998</v>
      </c>
      <c r="M30">
        <v>439.745361</v>
      </c>
      <c r="N30">
        <v>444.52569599999998</v>
      </c>
      <c r="O30">
        <v>441.89193699999998</v>
      </c>
      <c r="P30">
        <v>443.42330900000002</v>
      </c>
      <c r="Q30">
        <v>447.43722500000001</v>
      </c>
      <c r="R30">
        <v>450.64798000000002</v>
      </c>
      <c r="S30">
        <v>452.66558800000001</v>
      </c>
      <c r="T30">
        <v>455.51504499999999</v>
      </c>
      <c r="U30">
        <v>455.89370700000001</v>
      </c>
      <c r="V30">
        <v>456.86227400000001</v>
      </c>
      <c r="W30">
        <v>458.27462800000001</v>
      </c>
      <c r="X30">
        <v>457.60876500000001</v>
      </c>
      <c r="Y30">
        <v>458.12835699999999</v>
      </c>
      <c r="Z30">
        <v>461.673248</v>
      </c>
      <c r="AA30">
        <v>464.588348</v>
      </c>
      <c r="AB30">
        <v>464.93649299999998</v>
      </c>
      <c r="AC30">
        <v>464.922821</v>
      </c>
      <c r="AD30">
        <v>464.770691</v>
      </c>
      <c r="AE30">
        <v>465.76678500000003</v>
      </c>
      <c r="AF30">
        <v>468.15533399999998</v>
      </c>
      <c r="AG30">
        <v>471.33984400000003</v>
      </c>
      <c r="AH30">
        <v>472.59906000000001</v>
      </c>
      <c r="AI30">
        <v>475.72866800000003</v>
      </c>
      <c r="AJ30" s="31">
        <v>0</v>
      </c>
      <c r="AK30" s="31">
        <v>1E-3</v>
      </c>
    </row>
    <row r="31" spans="2:37">
      <c r="B31" t="s">
        <v>306</v>
      </c>
      <c r="C31" t="s">
        <v>1236</v>
      </c>
      <c r="D31" t="s">
        <v>1237</v>
      </c>
      <c r="E31" t="s">
        <v>354</v>
      </c>
      <c r="G31">
        <v>480.86654700000003</v>
      </c>
      <c r="H31">
        <v>473.79251099999999</v>
      </c>
      <c r="I31">
        <v>492.51501500000001</v>
      </c>
      <c r="J31">
        <v>480.10034200000001</v>
      </c>
      <c r="K31">
        <v>459.17535400000003</v>
      </c>
      <c r="L31">
        <v>442.59573399999999</v>
      </c>
      <c r="M31">
        <v>435.204926</v>
      </c>
      <c r="N31">
        <v>438.61608899999999</v>
      </c>
      <c r="O31">
        <v>434.49127199999998</v>
      </c>
      <c r="P31">
        <v>434.25302099999999</v>
      </c>
      <c r="Q31">
        <v>435.99301100000002</v>
      </c>
      <c r="R31">
        <v>436.48690800000003</v>
      </c>
      <c r="S31">
        <v>435.37204000000003</v>
      </c>
      <c r="T31">
        <v>434.60772700000001</v>
      </c>
      <c r="U31">
        <v>431.05429099999998</v>
      </c>
      <c r="V31">
        <v>427.65039100000001</v>
      </c>
      <c r="W31">
        <v>424.25372299999998</v>
      </c>
      <c r="X31">
        <v>418.55365</v>
      </c>
      <c r="Y31">
        <v>413.58151199999998</v>
      </c>
      <c r="Z31">
        <v>410.946777</v>
      </c>
      <c r="AA31">
        <v>407.33846999999997</v>
      </c>
      <c r="AB31">
        <v>401.121399</v>
      </c>
      <c r="AC31">
        <v>394.29074100000003</v>
      </c>
      <c r="AD31">
        <v>387.06680299999999</v>
      </c>
      <c r="AE31">
        <v>380.52633700000001</v>
      </c>
      <c r="AF31">
        <v>373.70101899999997</v>
      </c>
      <c r="AG31">
        <v>367.609375</v>
      </c>
      <c r="AH31">
        <v>360.13336199999998</v>
      </c>
      <c r="AI31">
        <v>354.19946299999998</v>
      </c>
      <c r="AJ31" s="31">
        <v>-1.0999999999999999E-2</v>
      </c>
      <c r="AK31" s="31">
        <v>-1.7000000000000001E-2</v>
      </c>
    </row>
    <row r="32" spans="2:37">
      <c r="B32" t="s">
        <v>315</v>
      </c>
      <c r="C32" t="s">
        <v>1238</v>
      </c>
      <c r="D32" t="s">
        <v>1239</v>
      </c>
      <c r="E32" t="s">
        <v>354</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117</v>
      </c>
      <c r="AK32" t="s">
        <v>117</v>
      </c>
    </row>
    <row r="33" spans="2:37">
      <c r="B33" t="s">
        <v>316</v>
      </c>
      <c r="C33" t="s">
        <v>1240</v>
      </c>
      <c r="D33" t="s">
        <v>1241</v>
      </c>
      <c r="E33" t="s">
        <v>354</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117</v>
      </c>
      <c r="AK33" t="s">
        <v>117</v>
      </c>
    </row>
    <row r="34" spans="2:37">
      <c r="B34" t="s">
        <v>317</v>
      </c>
      <c r="C34" t="s">
        <v>1242</v>
      </c>
      <c r="D34" t="s">
        <v>1243</v>
      </c>
      <c r="E34" t="s">
        <v>354</v>
      </c>
      <c r="G34">
        <v>0.51516300000000004</v>
      </c>
      <c r="H34">
        <v>1.02989</v>
      </c>
      <c r="I34">
        <v>1.6141289999999999</v>
      </c>
      <c r="J34">
        <v>2.1038670000000002</v>
      </c>
      <c r="K34">
        <v>2.7049910000000001</v>
      </c>
      <c r="L34">
        <v>3.499511</v>
      </c>
      <c r="M34">
        <v>4.5404369999999998</v>
      </c>
      <c r="N34">
        <v>5.9096029999999997</v>
      </c>
      <c r="O34">
        <v>7.4006509999999999</v>
      </c>
      <c r="P34">
        <v>9.1702840000000005</v>
      </c>
      <c r="Q34">
        <v>11.444215</v>
      </c>
      <c r="R34">
        <v>14.161068</v>
      </c>
      <c r="S34">
        <v>17.293554</v>
      </c>
      <c r="T34">
        <v>20.907318</v>
      </c>
      <c r="U34">
        <v>24.839417000000001</v>
      </c>
      <c r="V34">
        <v>29.211893</v>
      </c>
      <c r="W34">
        <v>34.020896999999998</v>
      </c>
      <c r="X34">
        <v>39.055110999999997</v>
      </c>
      <c r="Y34">
        <v>44.546832999999999</v>
      </c>
      <c r="Z34">
        <v>50.726470999999997</v>
      </c>
      <c r="AA34">
        <v>57.249889000000003</v>
      </c>
      <c r="AB34">
        <v>63.815086000000001</v>
      </c>
      <c r="AC34">
        <v>70.632087999999996</v>
      </c>
      <c r="AD34">
        <v>77.703888000000006</v>
      </c>
      <c r="AE34">
        <v>85.240448000000001</v>
      </c>
      <c r="AF34">
        <v>94.454329999999999</v>
      </c>
      <c r="AG34">
        <v>103.730484</v>
      </c>
      <c r="AH34">
        <v>112.465706</v>
      </c>
      <c r="AI34">
        <v>121.52919799999999</v>
      </c>
      <c r="AJ34" s="31">
        <v>0.215</v>
      </c>
      <c r="AK34" s="31">
        <v>0.223</v>
      </c>
    </row>
    <row r="35" spans="2:37">
      <c r="B35" t="s">
        <v>213</v>
      </c>
      <c r="C35" t="s">
        <v>1244</v>
      </c>
      <c r="D35" t="s">
        <v>1245</v>
      </c>
      <c r="E35" t="s">
        <v>354</v>
      </c>
      <c r="G35">
        <v>98.239020999999994</v>
      </c>
      <c r="H35">
        <v>98.920753000000005</v>
      </c>
      <c r="I35">
        <v>98.114661999999996</v>
      </c>
      <c r="J35">
        <v>97.346069</v>
      </c>
      <c r="K35">
        <v>96.685867000000002</v>
      </c>
      <c r="L35">
        <v>95.823470999999998</v>
      </c>
      <c r="M35">
        <v>94.964698999999996</v>
      </c>
      <c r="N35">
        <v>93.890502999999995</v>
      </c>
      <c r="O35">
        <v>92.919189000000003</v>
      </c>
      <c r="P35">
        <v>92.029815999999997</v>
      </c>
      <c r="Q35">
        <v>91.401107999999994</v>
      </c>
      <c r="R35">
        <v>90.674225000000007</v>
      </c>
      <c r="S35">
        <v>89.934028999999995</v>
      </c>
      <c r="T35">
        <v>89.168869000000001</v>
      </c>
      <c r="U35">
        <v>88.333008000000007</v>
      </c>
      <c r="V35">
        <v>87.614966999999993</v>
      </c>
      <c r="W35">
        <v>86.833350999999993</v>
      </c>
      <c r="X35">
        <v>86.156693000000004</v>
      </c>
      <c r="Y35">
        <v>85.473595000000003</v>
      </c>
      <c r="Z35">
        <v>84.846123000000006</v>
      </c>
      <c r="AA35">
        <v>84.273765999999995</v>
      </c>
      <c r="AB35">
        <v>83.705399</v>
      </c>
      <c r="AC35">
        <v>83.103454999999997</v>
      </c>
      <c r="AD35">
        <v>82.418205</v>
      </c>
      <c r="AE35">
        <v>81.856209000000007</v>
      </c>
      <c r="AF35">
        <v>81.249022999999994</v>
      </c>
      <c r="AG35">
        <v>80.573120000000003</v>
      </c>
      <c r="AH35">
        <v>79.990395000000007</v>
      </c>
      <c r="AI35">
        <v>79.592849999999999</v>
      </c>
      <c r="AJ35" s="31">
        <v>-7.0000000000000001E-3</v>
      </c>
      <c r="AK35" s="31">
        <v>-1.4E-2</v>
      </c>
    </row>
    <row r="36" spans="2:37">
      <c r="B36" t="s">
        <v>306</v>
      </c>
      <c r="C36" t="s">
        <v>1246</v>
      </c>
      <c r="D36" t="s">
        <v>1247</v>
      </c>
      <c r="E36" t="s">
        <v>354</v>
      </c>
      <c r="G36">
        <v>95.724982999999995</v>
      </c>
      <c r="H36">
        <v>96.410872999999995</v>
      </c>
      <c r="I36">
        <v>95.648369000000002</v>
      </c>
      <c r="J36">
        <v>94.922400999999994</v>
      </c>
      <c r="K36">
        <v>94.299674999999993</v>
      </c>
      <c r="L36">
        <v>93.480141000000003</v>
      </c>
      <c r="M36">
        <v>92.663535999999993</v>
      </c>
      <c r="N36">
        <v>91.636002000000005</v>
      </c>
      <c r="O36">
        <v>90.709732000000002</v>
      </c>
      <c r="P36">
        <v>89.864052000000001</v>
      </c>
      <c r="Q36">
        <v>89.271820000000005</v>
      </c>
      <c r="R36">
        <v>88.583907999999994</v>
      </c>
      <c r="S36">
        <v>87.881882000000004</v>
      </c>
      <c r="T36">
        <v>87.154610000000005</v>
      </c>
      <c r="U36">
        <v>86.355025999999995</v>
      </c>
      <c r="V36">
        <v>85.672011999999995</v>
      </c>
      <c r="W36">
        <v>84.929305999999997</v>
      </c>
      <c r="X36">
        <v>84.290549999999996</v>
      </c>
      <c r="Y36">
        <v>83.598647999999997</v>
      </c>
      <c r="Z36">
        <v>82.885955999999993</v>
      </c>
      <c r="AA36">
        <v>82.221778999999998</v>
      </c>
      <c r="AB36">
        <v>81.555756000000002</v>
      </c>
      <c r="AC36">
        <v>80.850998000000004</v>
      </c>
      <c r="AD36">
        <v>80.058989999999994</v>
      </c>
      <c r="AE36">
        <v>79.380050999999995</v>
      </c>
      <c r="AF36">
        <v>78.650115999999997</v>
      </c>
      <c r="AG36">
        <v>77.846335999999994</v>
      </c>
      <c r="AH36">
        <v>77.124741</v>
      </c>
      <c r="AI36">
        <v>76.572761999999997</v>
      </c>
      <c r="AJ36" s="31">
        <v>-8.0000000000000002E-3</v>
      </c>
      <c r="AK36" s="31">
        <v>-1.4E-2</v>
      </c>
    </row>
    <row r="37" spans="2:37">
      <c r="B37" t="s">
        <v>318</v>
      </c>
      <c r="C37" t="s">
        <v>1248</v>
      </c>
      <c r="D37" t="s">
        <v>1249</v>
      </c>
      <c r="E37" t="s">
        <v>354</v>
      </c>
      <c r="G37">
        <v>1.875904</v>
      </c>
      <c r="H37">
        <v>1.8078829999999999</v>
      </c>
      <c r="I37">
        <v>1.7136819999999999</v>
      </c>
      <c r="J37">
        <v>1.621937</v>
      </c>
      <c r="K37">
        <v>1.5413140000000001</v>
      </c>
      <c r="L37">
        <v>1.455168</v>
      </c>
      <c r="M37">
        <v>1.371278</v>
      </c>
      <c r="N37">
        <v>1.2863249999999999</v>
      </c>
      <c r="O37">
        <v>1.1999850000000001</v>
      </c>
      <c r="P37">
        <v>1.1125510000000001</v>
      </c>
      <c r="Q37">
        <v>1.0315639999999999</v>
      </c>
      <c r="R37">
        <v>0.94839600000000002</v>
      </c>
      <c r="S37">
        <v>0.86860599999999999</v>
      </c>
      <c r="T37">
        <v>0.79182399999999997</v>
      </c>
      <c r="U37">
        <v>0.72530600000000001</v>
      </c>
      <c r="V37">
        <v>0.65481</v>
      </c>
      <c r="W37">
        <v>0.57531900000000002</v>
      </c>
      <c r="X37">
        <v>0.49192999999999998</v>
      </c>
      <c r="Y37">
        <v>0.417902</v>
      </c>
      <c r="Z37">
        <v>0.41475499999999998</v>
      </c>
      <c r="AA37">
        <v>0.41187499999999999</v>
      </c>
      <c r="AB37">
        <v>0.40901599999999999</v>
      </c>
      <c r="AC37">
        <v>0.40599000000000002</v>
      </c>
      <c r="AD37">
        <v>0.40254800000000002</v>
      </c>
      <c r="AE37">
        <v>0.39974100000000001</v>
      </c>
      <c r="AF37">
        <v>0.396733</v>
      </c>
      <c r="AG37">
        <v>0.39335599999999998</v>
      </c>
      <c r="AH37">
        <v>0.39045299999999999</v>
      </c>
      <c r="AI37">
        <v>0.38850499999999999</v>
      </c>
      <c r="AJ37" s="31">
        <v>-5.5E-2</v>
      </c>
      <c r="AK37" s="31">
        <v>-6.0999999999999999E-2</v>
      </c>
    </row>
    <row r="38" spans="2:37">
      <c r="B38" t="s">
        <v>316</v>
      </c>
      <c r="C38" t="s">
        <v>1250</v>
      </c>
      <c r="D38" t="s">
        <v>1251</v>
      </c>
      <c r="E38" t="s">
        <v>354</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117</v>
      </c>
      <c r="AK38" t="s">
        <v>117</v>
      </c>
    </row>
    <row r="39" spans="2:37">
      <c r="B39" t="s">
        <v>317</v>
      </c>
      <c r="C39" t="s">
        <v>1252</v>
      </c>
      <c r="D39" t="s">
        <v>1253</v>
      </c>
      <c r="E39" t="s">
        <v>354</v>
      </c>
      <c r="G39">
        <v>0.638131</v>
      </c>
      <c r="H39">
        <v>0.70199999999999996</v>
      </c>
      <c r="I39">
        <v>0.75260700000000003</v>
      </c>
      <c r="J39">
        <v>0.80172500000000002</v>
      </c>
      <c r="K39">
        <v>0.84487999999999996</v>
      </c>
      <c r="L39">
        <v>0.88815699999999997</v>
      </c>
      <c r="M39">
        <v>0.92988400000000004</v>
      </c>
      <c r="N39">
        <v>0.96818099999999996</v>
      </c>
      <c r="O39">
        <v>1.009477</v>
      </c>
      <c r="P39">
        <v>1.053212</v>
      </c>
      <c r="Q39">
        <v>1.0977250000000001</v>
      </c>
      <c r="R39">
        <v>1.1419189999999999</v>
      </c>
      <c r="S39">
        <v>1.183538</v>
      </c>
      <c r="T39">
        <v>1.2224330000000001</v>
      </c>
      <c r="U39">
        <v>1.252678</v>
      </c>
      <c r="V39">
        <v>1.2881480000000001</v>
      </c>
      <c r="W39">
        <v>1.3287279999999999</v>
      </c>
      <c r="X39">
        <v>1.374214</v>
      </c>
      <c r="Y39">
        <v>1.4570460000000001</v>
      </c>
      <c r="Z39">
        <v>1.54541</v>
      </c>
      <c r="AA39">
        <v>1.640115</v>
      </c>
      <c r="AB39">
        <v>1.7406269999999999</v>
      </c>
      <c r="AC39">
        <v>1.8464670000000001</v>
      </c>
      <c r="AD39">
        <v>1.956663</v>
      </c>
      <c r="AE39">
        <v>2.0764179999999999</v>
      </c>
      <c r="AF39">
        <v>2.2021730000000002</v>
      </c>
      <c r="AG39">
        <v>2.3334239999999999</v>
      </c>
      <c r="AH39">
        <v>2.4752070000000002</v>
      </c>
      <c r="AI39">
        <v>2.6315870000000001</v>
      </c>
      <c r="AJ39" s="31">
        <v>5.1999999999999998E-2</v>
      </c>
      <c r="AK39" s="31">
        <v>4.8000000000000001E-2</v>
      </c>
    </row>
    <row r="40" spans="2:37">
      <c r="B40" t="s">
        <v>212</v>
      </c>
      <c r="C40" t="s">
        <v>1254</v>
      </c>
      <c r="D40" t="s">
        <v>1255</v>
      </c>
      <c r="E40" t="s">
        <v>354</v>
      </c>
      <c r="G40">
        <v>935.02770999999996</v>
      </c>
      <c r="H40">
        <v>881.83038299999998</v>
      </c>
      <c r="I40">
        <v>877.72729500000003</v>
      </c>
      <c r="J40">
        <v>878.60412599999995</v>
      </c>
      <c r="K40">
        <v>871.25030500000003</v>
      </c>
      <c r="L40">
        <v>868.44872999999995</v>
      </c>
      <c r="M40">
        <v>862.68933100000004</v>
      </c>
      <c r="N40">
        <v>859.14196800000002</v>
      </c>
      <c r="O40">
        <v>856.63439900000003</v>
      </c>
      <c r="P40">
        <v>857.13647500000002</v>
      </c>
      <c r="Q40">
        <v>857.43701199999998</v>
      </c>
      <c r="R40">
        <v>858.00024399999995</v>
      </c>
      <c r="S40">
        <v>857.76019299999996</v>
      </c>
      <c r="T40">
        <v>858.217896</v>
      </c>
      <c r="U40">
        <v>857.54724099999999</v>
      </c>
      <c r="V40">
        <v>857.61346400000002</v>
      </c>
      <c r="W40">
        <v>857.63464399999998</v>
      </c>
      <c r="X40">
        <v>857.34979199999998</v>
      </c>
      <c r="Y40">
        <v>857.24542199999996</v>
      </c>
      <c r="Z40">
        <v>857.30096400000002</v>
      </c>
      <c r="AA40">
        <v>857.82971199999997</v>
      </c>
      <c r="AB40">
        <v>857.81982400000004</v>
      </c>
      <c r="AC40">
        <v>858.04791299999999</v>
      </c>
      <c r="AD40">
        <v>858.06762700000002</v>
      </c>
      <c r="AE40">
        <v>860.63342299999999</v>
      </c>
      <c r="AF40">
        <v>860.92425500000002</v>
      </c>
      <c r="AG40">
        <v>859.83441200000004</v>
      </c>
      <c r="AH40">
        <v>859.12170400000002</v>
      </c>
      <c r="AI40">
        <v>858.094604</v>
      </c>
      <c r="AJ40" s="31">
        <v>-3.0000000000000001E-3</v>
      </c>
      <c r="AK40" s="31">
        <v>2E-3</v>
      </c>
    </row>
    <row r="41" spans="2:37">
      <c r="B41" t="s">
        <v>306</v>
      </c>
      <c r="C41" t="s">
        <v>1256</v>
      </c>
      <c r="D41" t="s">
        <v>1257</v>
      </c>
      <c r="E41" t="s">
        <v>354</v>
      </c>
      <c r="G41">
        <v>222.93867499999999</v>
      </c>
      <c r="H41">
        <v>318.21374500000002</v>
      </c>
      <c r="I41">
        <v>318.50683600000002</v>
      </c>
      <c r="J41">
        <v>321.42748999999998</v>
      </c>
      <c r="K41">
        <v>326.40893599999998</v>
      </c>
      <c r="L41">
        <v>331.75039700000002</v>
      </c>
      <c r="M41">
        <v>339.13262900000001</v>
      </c>
      <c r="N41">
        <v>343.65380900000002</v>
      </c>
      <c r="O41">
        <v>348.44000199999999</v>
      </c>
      <c r="P41">
        <v>348.61184700000001</v>
      </c>
      <c r="Q41">
        <v>349.93618800000002</v>
      </c>
      <c r="R41">
        <v>351.71850599999999</v>
      </c>
      <c r="S41">
        <v>354.40063500000002</v>
      </c>
      <c r="T41">
        <v>355.17700200000002</v>
      </c>
      <c r="U41">
        <v>356.67022700000001</v>
      </c>
      <c r="V41">
        <v>356.87670900000001</v>
      </c>
      <c r="W41">
        <v>358.82894900000002</v>
      </c>
      <c r="X41">
        <v>358.93920900000001</v>
      </c>
      <c r="Y41">
        <v>360.572205</v>
      </c>
      <c r="Z41">
        <v>361.26196299999998</v>
      </c>
      <c r="AA41">
        <v>361.28478999999999</v>
      </c>
      <c r="AB41">
        <v>360.64623999999998</v>
      </c>
      <c r="AC41">
        <v>360.38775600000002</v>
      </c>
      <c r="AD41">
        <v>360.05560300000002</v>
      </c>
      <c r="AE41">
        <v>358.46176100000002</v>
      </c>
      <c r="AF41">
        <v>357.26376299999998</v>
      </c>
      <c r="AG41">
        <v>357.07412699999998</v>
      </c>
      <c r="AH41">
        <v>355.22808800000001</v>
      </c>
      <c r="AI41">
        <v>354.51147500000002</v>
      </c>
      <c r="AJ41" s="31">
        <v>1.7000000000000001E-2</v>
      </c>
      <c r="AK41" s="31">
        <v>-0.01</v>
      </c>
    </row>
    <row r="42" spans="2:37">
      <c r="B42" t="s">
        <v>318</v>
      </c>
      <c r="C42" t="s">
        <v>1258</v>
      </c>
      <c r="D42" t="s">
        <v>1259</v>
      </c>
      <c r="E42" t="s">
        <v>354</v>
      </c>
      <c r="G42">
        <v>685.66516100000001</v>
      </c>
      <c r="H42">
        <v>532.149719</v>
      </c>
      <c r="I42">
        <v>519.35320999999999</v>
      </c>
      <c r="J42">
        <v>520.34844999999996</v>
      </c>
      <c r="K42">
        <v>497.46441700000003</v>
      </c>
      <c r="L42">
        <v>487.75363199999998</v>
      </c>
      <c r="M42">
        <v>469.75631700000002</v>
      </c>
      <c r="N42">
        <v>458.26986699999998</v>
      </c>
      <c r="O42">
        <v>449.82733200000001</v>
      </c>
      <c r="P42">
        <v>449.95632899999998</v>
      </c>
      <c r="Q42">
        <v>449.27517699999999</v>
      </c>
      <c r="R42">
        <v>449.44375600000001</v>
      </c>
      <c r="S42">
        <v>447.34497099999999</v>
      </c>
      <c r="T42">
        <v>447.23684700000001</v>
      </c>
      <c r="U42">
        <v>444.02316300000001</v>
      </c>
      <c r="V42">
        <v>442.96899400000001</v>
      </c>
      <c r="W42">
        <v>441.815674</v>
      </c>
      <c r="X42">
        <v>439.63165300000003</v>
      </c>
      <c r="Y42">
        <v>437.97662400000002</v>
      </c>
      <c r="Z42">
        <v>436.76757800000001</v>
      </c>
      <c r="AA42">
        <v>436.80938700000002</v>
      </c>
      <c r="AB42">
        <v>435.24386600000003</v>
      </c>
      <c r="AC42">
        <v>434.29315200000002</v>
      </c>
      <c r="AD42">
        <v>432.733093</v>
      </c>
      <c r="AE42">
        <v>438.45755000000003</v>
      </c>
      <c r="AF42">
        <v>437.70047</v>
      </c>
      <c r="AG42">
        <v>432.92089800000002</v>
      </c>
      <c r="AH42">
        <v>429.24749800000001</v>
      </c>
      <c r="AI42">
        <v>424.56079099999999</v>
      </c>
      <c r="AJ42" s="31">
        <v>-1.7000000000000001E-2</v>
      </c>
      <c r="AK42" s="31">
        <v>5.0000000000000001E-3</v>
      </c>
    </row>
    <row r="43" spans="2:37">
      <c r="B43" t="s">
        <v>316</v>
      </c>
      <c r="C43" t="s">
        <v>1260</v>
      </c>
      <c r="D43" t="s">
        <v>1261</v>
      </c>
      <c r="E43" t="s">
        <v>354</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117</v>
      </c>
      <c r="AK43" t="s">
        <v>117</v>
      </c>
    </row>
    <row r="44" spans="2:37">
      <c r="B44" t="s">
        <v>317</v>
      </c>
      <c r="C44" t="s">
        <v>1262</v>
      </c>
      <c r="D44" t="s">
        <v>1263</v>
      </c>
      <c r="E44" t="s">
        <v>354</v>
      </c>
      <c r="G44">
        <v>26.423862</v>
      </c>
      <c r="H44">
        <v>31.466925</v>
      </c>
      <c r="I44">
        <v>39.867241</v>
      </c>
      <c r="J44">
        <v>36.828189999999999</v>
      </c>
      <c r="K44">
        <v>47.376953</v>
      </c>
      <c r="L44">
        <v>48.944679000000001</v>
      </c>
      <c r="M44">
        <v>53.800423000000002</v>
      </c>
      <c r="N44">
        <v>57.218277</v>
      </c>
      <c r="O44">
        <v>58.367088000000003</v>
      </c>
      <c r="P44">
        <v>58.568268000000003</v>
      </c>
      <c r="Q44">
        <v>58.225639000000001</v>
      </c>
      <c r="R44">
        <v>56.838042999999999</v>
      </c>
      <c r="S44">
        <v>56.014595</v>
      </c>
      <c r="T44">
        <v>55.804080999999996</v>
      </c>
      <c r="U44">
        <v>56.853912000000001</v>
      </c>
      <c r="V44">
        <v>57.767783999999999</v>
      </c>
      <c r="W44">
        <v>56.989986000000002</v>
      </c>
      <c r="X44">
        <v>58.778945999999998</v>
      </c>
      <c r="Y44">
        <v>58.696617000000003</v>
      </c>
      <c r="Z44">
        <v>59.2714</v>
      </c>
      <c r="AA44">
        <v>59.735518999999996</v>
      </c>
      <c r="AB44">
        <v>61.929656999999999</v>
      </c>
      <c r="AC44">
        <v>63.367027</v>
      </c>
      <c r="AD44">
        <v>65.278946000000005</v>
      </c>
      <c r="AE44">
        <v>63.714081</v>
      </c>
      <c r="AF44">
        <v>65.960021999999995</v>
      </c>
      <c r="AG44">
        <v>69.839432000000002</v>
      </c>
      <c r="AH44">
        <v>74.646148999999994</v>
      </c>
      <c r="AI44">
        <v>79.022368999999998</v>
      </c>
      <c r="AJ44" s="31">
        <v>0.04</v>
      </c>
      <c r="AK44" s="31">
        <v>6.0999999999999999E-2</v>
      </c>
    </row>
    <row r="45" spans="2:37">
      <c r="B45" t="s">
        <v>277</v>
      </c>
      <c r="C45" t="s">
        <v>1264</v>
      </c>
      <c r="D45" t="s">
        <v>1108</v>
      </c>
      <c r="E45" t="s">
        <v>354</v>
      </c>
      <c r="G45">
        <v>2802.8073730000001</v>
      </c>
      <c r="H45">
        <v>3008.1679690000001</v>
      </c>
      <c r="I45">
        <v>3051.2026369999999</v>
      </c>
      <c r="J45">
        <v>3057.110596</v>
      </c>
      <c r="K45">
        <v>3095.898193</v>
      </c>
      <c r="L45">
        <v>3134.226807</v>
      </c>
      <c r="M45">
        <v>3164.5515140000002</v>
      </c>
      <c r="N45">
        <v>3187.108154</v>
      </c>
      <c r="O45">
        <v>3202.938232</v>
      </c>
      <c r="P45">
        <v>3218.7827149999998</v>
      </c>
      <c r="Q45">
        <v>3243.936279</v>
      </c>
      <c r="R45">
        <v>3270.4479980000001</v>
      </c>
      <c r="S45">
        <v>3294.4030760000001</v>
      </c>
      <c r="T45">
        <v>3322.9240719999998</v>
      </c>
      <c r="U45">
        <v>3359.8247070000002</v>
      </c>
      <c r="V45">
        <v>3403.8945309999999</v>
      </c>
      <c r="W45">
        <v>3450.171875</v>
      </c>
      <c r="X45">
        <v>3498.4882809999999</v>
      </c>
      <c r="Y45">
        <v>3554.6437989999999</v>
      </c>
      <c r="Z45">
        <v>3608.4033199999999</v>
      </c>
      <c r="AA45">
        <v>3663.0974120000001</v>
      </c>
      <c r="AB45">
        <v>3718.6245119999999</v>
      </c>
      <c r="AC45">
        <v>3774.0097660000001</v>
      </c>
      <c r="AD45">
        <v>3827.9187010000001</v>
      </c>
      <c r="AE45">
        <v>3880.4333499999998</v>
      </c>
      <c r="AF45">
        <v>3936.7380370000001</v>
      </c>
      <c r="AG45">
        <v>3993.6040039999998</v>
      </c>
      <c r="AH45">
        <v>4049.650635</v>
      </c>
      <c r="AI45">
        <v>4112.1577150000003</v>
      </c>
      <c r="AJ45" s="31">
        <v>1.4E-2</v>
      </c>
      <c r="AK45" s="31">
        <v>2.5999999999999999E-2</v>
      </c>
    </row>
    <row r="46" spans="2:37">
      <c r="B46" t="s">
        <v>319</v>
      </c>
      <c r="C46" t="s">
        <v>1265</v>
      </c>
      <c r="D46" t="s">
        <v>1266</v>
      </c>
      <c r="E46" t="s">
        <v>354</v>
      </c>
      <c r="G46">
        <v>2780.3857419999999</v>
      </c>
      <c r="H46">
        <v>2985.7573240000002</v>
      </c>
      <c r="I46">
        <v>3028.8010250000002</v>
      </c>
      <c r="J46">
        <v>3034.7165530000002</v>
      </c>
      <c r="K46">
        <v>3073.5104980000001</v>
      </c>
      <c r="L46">
        <v>3111.8442380000001</v>
      </c>
      <c r="M46">
        <v>3142.173096</v>
      </c>
      <c r="N46">
        <v>3164.733154</v>
      </c>
      <c r="O46">
        <v>3180.5661620000001</v>
      </c>
      <c r="P46">
        <v>3196.413086</v>
      </c>
      <c r="Q46">
        <v>3221.5686040000001</v>
      </c>
      <c r="R46">
        <v>3248.0820309999999</v>
      </c>
      <c r="S46">
        <v>3272.0385740000002</v>
      </c>
      <c r="T46">
        <v>3300.560547</v>
      </c>
      <c r="U46">
        <v>3337.4621579999998</v>
      </c>
      <c r="V46">
        <v>3381.5327149999998</v>
      </c>
      <c r="W46">
        <v>3427.8107909999999</v>
      </c>
      <c r="X46">
        <v>3476.1276859999998</v>
      </c>
      <c r="Y46">
        <v>3532.2836910000001</v>
      </c>
      <c r="Z46">
        <v>3586.0437010000001</v>
      </c>
      <c r="AA46">
        <v>3640.7380370000001</v>
      </c>
      <c r="AB46">
        <v>3696.2653810000002</v>
      </c>
      <c r="AC46">
        <v>3751.6508789999998</v>
      </c>
      <c r="AD46">
        <v>3805.5598140000002</v>
      </c>
      <c r="AE46">
        <v>3858.0747070000002</v>
      </c>
      <c r="AF46">
        <v>3914.3793949999999</v>
      </c>
      <c r="AG46">
        <v>3971.2456050000001</v>
      </c>
      <c r="AH46">
        <v>4027.2922359999998</v>
      </c>
      <c r="AI46">
        <v>4089.7993160000001</v>
      </c>
      <c r="AJ46" s="31">
        <v>1.4E-2</v>
      </c>
      <c r="AK46" s="31">
        <v>2.7E-2</v>
      </c>
    </row>
    <row r="47" spans="2:37">
      <c r="B47" t="s">
        <v>320</v>
      </c>
      <c r="C47" t="s">
        <v>1267</v>
      </c>
      <c r="D47" t="s">
        <v>1268</v>
      </c>
      <c r="E47" t="s">
        <v>354</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31">
        <v>0</v>
      </c>
      <c r="AK47" s="31">
        <v>0</v>
      </c>
    </row>
    <row r="48" spans="2:37">
      <c r="B48" t="s">
        <v>278</v>
      </c>
      <c r="C48" t="s">
        <v>1269</v>
      </c>
      <c r="D48" t="s">
        <v>1270</v>
      </c>
      <c r="E48" t="s">
        <v>354</v>
      </c>
      <c r="G48">
        <v>430.83187900000001</v>
      </c>
      <c r="H48">
        <v>433.13122600000003</v>
      </c>
      <c r="I48">
        <v>433.96752900000001</v>
      </c>
      <c r="J48">
        <v>434.62820399999998</v>
      </c>
      <c r="K48">
        <v>435.16168199999998</v>
      </c>
      <c r="L48">
        <v>435.947113</v>
      </c>
      <c r="M48">
        <v>436.50567599999999</v>
      </c>
      <c r="N48">
        <v>436.95120200000002</v>
      </c>
      <c r="O48">
        <v>437.33203099999997</v>
      </c>
      <c r="P48">
        <v>437.57638500000002</v>
      </c>
      <c r="Q48">
        <v>437.74392699999999</v>
      </c>
      <c r="R48">
        <v>437.826752</v>
      </c>
      <c r="S48">
        <v>437.85824600000001</v>
      </c>
      <c r="T48">
        <v>437.879456</v>
      </c>
      <c r="U48">
        <v>438.00381499999997</v>
      </c>
      <c r="V48">
        <v>438.20288099999999</v>
      </c>
      <c r="W48">
        <v>438.41198700000001</v>
      </c>
      <c r="X48">
        <v>438.63055400000002</v>
      </c>
      <c r="Y48">
        <v>438.85791</v>
      </c>
      <c r="Z48">
        <v>439.09307899999999</v>
      </c>
      <c r="AA48">
        <v>439.33535799999999</v>
      </c>
      <c r="AB48">
        <v>439.584137</v>
      </c>
      <c r="AC48">
        <v>439.83880599999998</v>
      </c>
      <c r="AD48">
        <v>440.09887700000002</v>
      </c>
      <c r="AE48">
        <v>440.36389200000002</v>
      </c>
      <c r="AF48">
        <v>440.63324</v>
      </c>
      <c r="AG48">
        <v>440.906677</v>
      </c>
      <c r="AH48">
        <v>441.18383799999998</v>
      </c>
      <c r="AI48">
        <v>441.46450800000002</v>
      </c>
      <c r="AJ48" s="31">
        <v>1E-3</v>
      </c>
      <c r="AK48" s="31">
        <v>0</v>
      </c>
    </row>
    <row r="49" spans="1:37">
      <c r="B49" t="s">
        <v>321</v>
      </c>
      <c r="C49" t="s">
        <v>1271</v>
      </c>
      <c r="D49" t="s">
        <v>1272</v>
      </c>
      <c r="E49" t="s">
        <v>354</v>
      </c>
      <c r="G49">
        <v>334.448914</v>
      </c>
      <c r="H49">
        <v>336.233856</v>
      </c>
      <c r="I49">
        <v>336.88305700000001</v>
      </c>
      <c r="J49">
        <v>337.39593500000001</v>
      </c>
      <c r="K49">
        <v>337.81005900000002</v>
      </c>
      <c r="L49">
        <v>338.41980000000001</v>
      </c>
      <c r="M49">
        <v>338.85339399999998</v>
      </c>
      <c r="N49">
        <v>339.19924900000001</v>
      </c>
      <c r="O49">
        <v>339.49490400000002</v>
      </c>
      <c r="P49">
        <v>339.68457000000001</v>
      </c>
      <c r="Q49">
        <v>339.81463600000001</v>
      </c>
      <c r="R49">
        <v>339.87893700000001</v>
      </c>
      <c r="S49">
        <v>339.90338100000002</v>
      </c>
      <c r="T49">
        <v>339.91986100000003</v>
      </c>
      <c r="U49">
        <v>340.01638800000001</v>
      </c>
      <c r="V49">
        <v>340.170929</v>
      </c>
      <c r="W49">
        <v>340.33325200000002</v>
      </c>
      <c r="X49">
        <v>340.50292999999999</v>
      </c>
      <c r="Y49">
        <v>340.67941300000001</v>
      </c>
      <c r="Z49">
        <v>340.86196899999999</v>
      </c>
      <c r="AA49">
        <v>341.050049</v>
      </c>
      <c r="AB49">
        <v>341.24316399999998</v>
      </c>
      <c r="AC49">
        <v>341.44085699999999</v>
      </c>
      <c r="AD49">
        <v>341.64276100000001</v>
      </c>
      <c r="AE49">
        <v>341.84848</v>
      </c>
      <c r="AF49">
        <v>342.05758700000001</v>
      </c>
      <c r="AG49">
        <v>342.269836</v>
      </c>
      <c r="AH49">
        <v>342.48501599999997</v>
      </c>
      <c r="AI49">
        <v>342.70288099999999</v>
      </c>
      <c r="AJ49" s="31">
        <v>1E-3</v>
      </c>
      <c r="AK49" s="31">
        <v>0</v>
      </c>
    </row>
    <row r="50" spans="1:37">
      <c r="B50" t="s">
        <v>315</v>
      </c>
      <c r="C50" t="s">
        <v>1273</v>
      </c>
      <c r="D50" t="s">
        <v>1274</v>
      </c>
      <c r="E50" t="s">
        <v>354</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117</v>
      </c>
      <c r="AK50" s="31">
        <v>0</v>
      </c>
    </row>
    <row r="51" spans="1:37">
      <c r="B51" t="s">
        <v>322</v>
      </c>
      <c r="C51" t="s">
        <v>1275</v>
      </c>
      <c r="D51" t="s">
        <v>1276</v>
      </c>
      <c r="E51" t="s">
        <v>354</v>
      </c>
      <c r="G51">
        <v>96.382973000000007</v>
      </c>
      <c r="H51">
        <v>96.897368999999998</v>
      </c>
      <c r="I51">
        <v>97.084457</v>
      </c>
      <c r="J51">
        <v>97.232269000000002</v>
      </c>
      <c r="K51">
        <v>97.351607999999999</v>
      </c>
      <c r="L51">
        <v>97.527321000000001</v>
      </c>
      <c r="M51">
        <v>97.652275000000003</v>
      </c>
      <c r="N51">
        <v>97.751960999999994</v>
      </c>
      <c r="O51">
        <v>97.837142999999998</v>
      </c>
      <c r="P51">
        <v>97.891814999999994</v>
      </c>
      <c r="Q51">
        <v>97.929291000000006</v>
      </c>
      <c r="R51">
        <v>97.947815000000006</v>
      </c>
      <c r="S51">
        <v>97.954857000000004</v>
      </c>
      <c r="T51">
        <v>97.959594999999993</v>
      </c>
      <c r="U51">
        <v>97.987419000000003</v>
      </c>
      <c r="V51">
        <v>98.031966999999995</v>
      </c>
      <c r="W51">
        <v>98.078743000000003</v>
      </c>
      <c r="X51">
        <v>98.12764</v>
      </c>
      <c r="Y51">
        <v>98.178512999999995</v>
      </c>
      <c r="Z51">
        <v>98.231116999999998</v>
      </c>
      <c r="AA51">
        <v>98.285308999999998</v>
      </c>
      <c r="AB51">
        <v>98.340964999999997</v>
      </c>
      <c r="AC51">
        <v>98.397942</v>
      </c>
      <c r="AD51">
        <v>98.456130999999999</v>
      </c>
      <c r="AE51">
        <v>98.515411</v>
      </c>
      <c r="AF51">
        <v>98.575667999999993</v>
      </c>
      <c r="AG51">
        <v>98.636825999999999</v>
      </c>
      <c r="AH51">
        <v>98.698836999999997</v>
      </c>
      <c r="AI51">
        <v>98.761627000000004</v>
      </c>
      <c r="AJ51" s="31">
        <v>1E-3</v>
      </c>
      <c r="AK51" s="31">
        <v>0</v>
      </c>
    </row>
    <row r="52" spans="1:37">
      <c r="B52" t="s">
        <v>279</v>
      </c>
      <c r="C52" t="s">
        <v>1277</v>
      </c>
      <c r="D52" t="s">
        <v>1278</v>
      </c>
      <c r="E52" t="s">
        <v>354</v>
      </c>
      <c r="G52">
        <v>210.97721899999999</v>
      </c>
      <c r="H52">
        <v>220.80746500000001</v>
      </c>
      <c r="I52">
        <v>225.15119899999999</v>
      </c>
      <c r="J52">
        <v>225.93090799999999</v>
      </c>
      <c r="K52">
        <v>226.441757</v>
      </c>
      <c r="L52">
        <v>226.74642900000001</v>
      </c>
      <c r="M52">
        <v>226.787048</v>
      </c>
      <c r="N52">
        <v>226.390717</v>
      </c>
      <c r="O52">
        <v>225.62441999999999</v>
      </c>
      <c r="P52">
        <v>224.46057099999999</v>
      </c>
      <c r="Q52">
        <v>223.250336</v>
      </c>
      <c r="R52">
        <v>223.04595900000001</v>
      </c>
      <c r="S52">
        <v>222.35723899999999</v>
      </c>
      <c r="T52">
        <v>221.455566</v>
      </c>
      <c r="U52">
        <v>220.40602100000001</v>
      </c>
      <c r="V52">
        <v>218.77555799999999</v>
      </c>
      <c r="W52">
        <v>217.16113300000001</v>
      </c>
      <c r="X52">
        <v>215.39122</v>
      </c>
      <c r="Y52">
        <v>213.471802</v>
      </c>
      <c r="Z52">
        <v>211.40820299999999</v>
      </c>
      <c r="AA52">
        <v>209.23976099999999</v>
      </c>
      <c r="AB52">
        <v>206.76431299999999</v>
      </c>
      <c r="AC52">
        <v>204.38597100000001</v>
      </c>
      <c r="AD52">
        <v>201.858643</v>
      </c>
      <c r="AE52">
        <v>199.42544599999999</v>
      </c>
      <c r="AF52">
        <v>196.48846399999999</v>
      </c>
      <c r="AG52">
        <v>193.40808100000001</v>
      </c>
      <c r="AH52">
        <v>189.779068</v>
      </c>
      <c r="AI52">
        <v>186.44667100000001</v>
      </c>
      <c r="AJ52" s="31">
        <v>-4.0000000000000001E-3</v>
      </c>
      <c r="AK52" s="31">
        <v>1.9E-2</v>
      </c>
    </row>
    <row r="53" spans="1:37">
      <c r="B53" t="s">
        <v>323</v>
      </c>
      <c r="C53" t="s">
        <v>1279</v>
      </c>
      <c r="D53" t="s">
        <v>1280</v>
      </c>
      <c r="E53" t="s">
        <v>354</v>
      </c>
      <c r="G53">
        <v>92.212233999999995</v>
      </c>
      <c r="H53">
        <v>95.837829999999997</v>
      </c>
      <c r="I53">
        <v>98.320953000000003</v>
      </c>
      <c r="J53">
        <v>98.870079000000004</v>
      </c>
      <c r="K53">
        <v>99.844643000000005</v>
      </c>
      <c r="L53">
        <v>100.614418</v>
      </c>
      <c r="M53">
        <v>101.247078</v>
      </c>
      <c r="N53">
        <v>101.616623</v>
      </c>
      <c r="O53">
        <v>101.724174</v>
      </c>
      <c r="P53">
        <v>101.53801</v>
      </c>
      <c r="Q53">
        <v>101.311256</v>
      </c>
      <c r="R53">
        <v>100.97640199999999</v>
      </c>
      <c r="S53">
        <v>100.756874</v>
      </c>
      <c r="T53">
        <v>100.295074</v>
      </c>
      <c r="U53">
        <v>99.678466999999998</v>
      </c>
      <c r="V53">
        <v>98.421806000000004</v>
      </c>
      <c r="W53">
        <v>97.683716000000004</v>
      </c>
      <c r="X53">
        <v>96.918678</v>
      </c>
      <c r="Y53">
        <v>96.071006999999994</v>
      </c>
      <c r="Z53">
        <v>95.130722000000006</v>
      </c>
      <c r="AA53">
        <v>94.233086</v>
      </c>
      <c r="AB53">
        <v>93.123824999999997</v>
      </c>
      <c r="AC53">
        <v>92.204300000000003</v>
      </c>
      <c r="AD53">
        <v>91.250327999999996</v>
      </c>
      <c r="AE53">
        <v>90.658730000000006</v>
      </c>
      <c r="AF53">
        <v>89.694473000000002</v>
      </c>
      <c r="AG53">
        <v>88.826485000000005</v>
      </c>
      <c r="AH53">
        <v>87.819648999999998</v>
      </c>
      <c r="AI53">
        <v>86.904647999999995</v>
      </c>
      <c r="AJ53" s="31">
        <v>-2E-3</v>
      </c>
      <c r="AK53" s="31">
        <v>0.01</v>
      </c>
    </row>
    <row r="54" spans="1:37">
      <c r="A54" t="s">
        <v>113</v>
      </c>
      <c r="B54" t="s">
        <v>313</v>
      </c>
      <c r="C54" t="s">
        <v>1281</v>
      </c>
      <c r="D54" t="s">
        <v>1282</v>
      </c>
      <c r="E54" t="s">
        <v>354</v>
      </c>
      <c r="G54">
        <v>12.007432</v>
      </c>
      <c r="H54">
        <v>12.465114</v>
      </c>
      <c r="I54">
        <v>12.775763</v>
      </c>
      <c r="J54">
        <v>12.835153999999999</v>
      </c>
      <c r="K54">
        <v>12.958027</v>
      </c>
      <c r="L54">
        <v>13.056922</v>
      </c>
      <c r="M54">
        <v>13.141268999999999</v>
      </c>
      <c r="N54">
        <v>13.190033</v>
      </c>
      <c r="O54">
        <v>13.202685000000001</v>
      </c>
      <c r="P54">
        <v>13.177554000000001</v>
      </c>
      <c r="Q54">
        <v>13.150479000000001</v>
      </c>
      <c r="R54">
        <v>13.109432999999999</v>
      </c>
      <c r="S54">
        <v>13.083599</v>
      </c>
      <c r="T54">
        <v>13.026247</v>
      </c>
      <c r="U54">
        <v>12.949903000000001</v>
      </c>
      <c r="V54">
        <v>12.790073</v>
      </c>
      <c r="W54">
        <v>12.696982999999999</v>
      </c>
      <c r="X54">
        <v>12.600635</v>
      </c>
      <c r="Y54">
        <v>12.493633000000001</v>
      </c>
      <c r="Z54">
        <v>12.374180000000001</v>
      </c>
      <c r="AA54">
        <v>12.260481</v>
      </c>
      <c r="AB54">
        <v>12.119045</v>
      </c>
      <c r="AC54">
        <v>12.002355</v>
      </c>
      <c r="AD54">
        <v>11.880788000000001</v>
      </c>
      <c r="AE54">
        <v>11.808579999999999</v>
      </c>
      <c r="AF54">
        <v>11.685587</v>
      </c>
      <c r="AG54">
        <v>11.575792</v>
      </c>
      <c r="AH54">
        <v>11.447132</v>
      </c>
      <c r="AI54">
        <v>11.331303999999999</v>
      </c>
      <c r="AJ54" s="31">
        <v>-2E-3</v>
      </c>
      <c r="AK54" s="31">
        <v>1.0999999999999999E-2</v>
      </c>
    </row>
    <row r="55" spans="1:37">
      <c r="A55" t="s">
        <v>113</v>
      </c>
      <c r="B55" t="s">
        <v>305</v>
      </c>
      <c r="C55" t="s">
        <v>1283</v>
      </c>
      <c r="D55" t="s">
        <v>1284</v>
      </c>
      <c r="E55" t="s">
        <v>354</v>
      </c>
      <c r="G55">
        <v>7.4320000000000002E-3</v>
      </c>
      <c r="H55">
        <v>7.7629999999999999E-3</v>
      </c>
      <c r="I55">
        <v>7.9489999999999995E-3</v>
      </c>
      <c r="J55">
        <v>8.0289999999999997E-3</v>
      </c>
      <c r="K55">
        <v>8.1410000000000007E-3</v>
      </c>
      <c r="L55">
        <v>8.2100000000000003E-3</v>
      </c>
      <c r="M55">
        <v>8.2570000000000005E-3</v>
      </c>
      <c r="N55">
        <v>8.2789999999999999E-3</v>
      </c>
      <c r="O55">
        <v>8.2830000000000004E-3</v>
      </c>
      <c r="P55">
        <v>8.2609999999999992E-3</v>
      </c>
      <c r="Q55">
        <v>8.2290000000000002E-3</v>
      </c>
      <c r="R55">
        <v>8.1890000000000001E-3</v>
      </c>
      <c r="S55">
        <v>8.1569999999999993E-3</v>
      </c>
      <c r="T55">
        <v>8.1069999999999996E-3</v>
      </c>
      <c r="U55">
        <v>8.0420000000000005E-3</v>
      </c>
      <c r="V55">
        <v>7.9609999999999993E-3</v>
      </c>
      <c r="W55">
        <v>7.8829999999999994E-3</v>
      </c>
      <c r="X55">
        <v>7.803E-3</v>
      </c>
      <c r="Y55">
        <v>7.7130000000000002E-3</v>
      </c>
      <c r="Z55">
        <v>7.6150000000000002E-3</v>
      </c>
      <c r="AA55">
        <v>7.5209999999999999E-3</v>
      </c>
      <c r="AB55">
        <v>7.3980000000000001E-3</v>
      </c>
      <c r="AC55">
        <v>7.3070000000000001E-3</v>
      </c>
      <c r="AD55">
        <v>7.2150000000000001E-3</v>
      </c>
      <c r="AE55">
        <v>7.143E-3</v>
      </c>
      <c r="AF55">
        <v>7.0499999999999998E-3</v>
      </c>
      <c r="AG55">
        <v>6.9610000000000002E-3</v>
      </c>
      <c r="AH55">
        <v>6.8640000000000003E-3</v>
      </c>
      <c r="AI55">
        <v>6.7689999999999998E-3</v>
      </c>
      <c r="AJ55" s="31">
        <v>-3.0000000000000001E-3</v>
      </c>
      <c r="AK55" s="31">
        <v>3.0000000000000001E-3</v>
      </c>
    </row>
    <row r="56" spans="1:37">
      <c r="A56" t="s">
        <v>114</v>
      </c>
      <c r="B56" t="s">
        <v>306</v>
      </c>
      <c r="C56" t="s">
        <v>1285</v>
      </c>
      <c r="D56" t="s">
        <v>1286</v>
      </c>
      <c r="E56" t="s">
        <v>354</v>
      </c>
      <c r="G56">
        <v>52.012611</v>
      </c>
      <c r="H56">
        <v>54.015754999999999</v>
      </c>
      <c r="I56">
        <v>55.245651000000002</v>
      </c>
      <c r="J56">
        <v>55.522506999999997</v>
      </c>
      <c r="K56">
        <v>56.047764000000001</v>
      </c>
      <c r="L56">
        <v>56.442497000000003</v>
      </c>
      <c r="M56">
        <v>56.754584999999999</v>
      </c>
      <c r="N56">
        <v>56.903236</v>
      </c>
      <c r="O56">
        <v>56.888607</v>
      </c>
      <c r="P56">
        <v>56.712851999999998</v>
      </c>
      <c r="Q56">
        <v>56.517417999999999</v>
      </c>
      <c r="R56">
        <v>56.260185</v>
      </c>
      <c r="S56">
        <v>56.054282999999998</v>
      </c>
      <c r="T56">
        <v>55.704571000000001</v>
      </c>
      <c r="U56">
        <v>55.261519999999997</v>
      </c>
      <c r="V56">
        <v>54.562843000000001</v>
      </c>
      <c r="W56">
        <v>54.018444000000002</v>
      </c>
      <c r="X56">
        <v>53.439864999999998</v>
      </c>
      <c r="Y56">
        <v>52.799095000000001</v>
      </c>
      <c r="Z56">
        <v>52.084651999999998</v>
      </c>
      <c r="AA56">
        <v>51.363410999999999</v>
      </c>
      <c r="AB56">
        <v>50.487484000000002</v>
      </c>
      <c r="AC56">
        <v>49.676124999999999</v>
      </c>
      <c r="AD56">
        <v>48.788139000000001</v>
      </c>
      <c r="AE56">
        <v>48.012000999999998</v>
      </c>
      <c r="AF56">
        <v>46.925766000000003</v>
      </c>
      <c r="AG56">
        <v>45.703896</v>
      </c>
      <c r="AH56">
        <v>44.05574</v>
      </c>
      <c r="AI56">
        <v>42.693801999999998</v>
      </c>
      <c r="AJ56" s="31">
        <v>-7.0000000000000001E-3</v>
      </c>
      <c r="AK56" s="31">
        <v>5.0000000000000001E-3</v>
      </c>
    </row>
    <row r="57" spans="1:37">
      <c r="A57" t="s">
        <v>112</v>
      </c>
      <c r="B57" t="s">
        <v>307</v>
      </c>
      <c r="C57" t="s">
        <v>1287</v>
      </c>
      <c r="D57" t="s">
        <v>1288</v>
      </c>
      <c r="E57" t="s">
        <v>354</v>
      </c>
      <c r="G57">
        <v>26.102913000000001</v>
      </c>
      <c r="H57">
        <v>27.152719000000001</v>
      </c>
      <c r="I57">
        <v>27.997173</v>
      </c>
      <c r="J57">
        <v>28.156234999999999</v>
      </c>
      <c r="K57">
        <v>28.412040999999999</v>
      </c>
      <c r="L57">
        <v>28.617826000000001</v>
      </c>
      <c r="M57">
        <v>28.781718999999999</v>
      </c>
      <c r="N57">
        <v>28.881858999999999</v>
      </c>
      <c r="O57">
        <v>28.919270999999998</v>
      </c>
      <c r="P57">
        <v>28.863105999999998</v>
      </c>
      <c r="Q57">
        <v>28.782406000000002</v>
      </c>
      <c r="R57">
        <v>28.664639000000001</v>
      </c>
      <c r="S57">
        <v>28.58287</v>
      </c>
      <c r="T57">
        <v>28.431080000000001</v>
      </c>
      <c r="U57">
        <v>28.230478000000002</v>
      </c>
      <c r="V57">
        <v>27.752499</v>
      </c>
      <c r="W57">
        <v>27.526546</v>
      </c>
      <c r="X57">
        <v>27.295058999999998</v>
      </c>
      <c r="Y57">
        <v>27.037399000000001</v>
      </c>
      <c r="Z57">
        <v>26.753869999999999</v>
      </c>
      <c r="AA57">
        <v>26.484290999999999</v>
      </c>
      <c r="AB57">
        <v>26.160323999999999</v>
      </c>
      <c r="AC57">
        <v>25.885159999999999</v>
      </c>
      <c r="AD57">
        <v>25.601519</v>
      </c>
      <c r="AE57">
        <v>25.421154000000001</v>
      </c>
      <c r="AF57">
        <v>25.134627999999999</v>
      </c>
      <c r="AG57">
        <v>24.876854000000002</v>
      </c>
      <c r="AH57">
        <v>24.580860000000001</v>
      </c>
      <c r="AI57">
        <v>24.309217</v>
      </c>
      <c r="AJ57" s="31">
        <v>-3.0000000000000001E-3</v>
      </c>
      <c r="AK57" s="31">
        <v>0.01</v>
      </c>
    </row>
    <row r="58" spans="1:37">
      <c r="A58" t="s">
        <v>257</v>
      </c>
      <c r="B58" t="s">
        <v>308</v>
      </c>
      <c r="C58" t="s">
        <v>1289</v>
      </c>
      <c r="D58" t="s">
        <v>1290</v>
      </c>
      <c r="E58" t="s">
        <v>354</v>
      </c>
      <c r="G58">
        <v>1.4757659999999999</v>
      </c>
      <c r="H58">
        <v>1.5326839999999999</v>
      </c>
      <c r="I58">
        <v>1.572022</v>
      </c>
      <c r="J58">
        <v>1.5786210000000001</v>
      </c>
      <c r="K58">
        <v>1.5959749999999999</v>
      </c>
      <c r="L58">
        <v>1.6095010000000001</v>
      </c>
      <c r="M58">
        <v>1.6204449999999999</v>
      </c>
      <c r="N58">
        <v>1.6276649999999999</v>
      </c>
      <c r="O58">
        <v>1.6309739999999999</v>
      </c>
      <c r="P58">
        <v>1.629221</v>
      </c>
      <c r="Q58">
        <v>1.6268180000000001</v>
      </c>
      <c r="R58">
        <v>1.622336</v>
      </c>
      <c r="S58">
        <v>1.6196390000000001</v>
      </c>
      <c r="T58">
        <v>1.613038</v>
      </c>
      <c r="U58">
        <v>1.6045199999999999</v>
      </c>
      <c r="V58">
        <v>1.5851</v>
      </c>
      <c r="W58">
        <v>1.57385</v>
      </c>
      <c r="X58">
        <v>1.56229</v>
      </c>
      <c r="Y58">
        <v>1.549139</v>
      </c>
      <c r="Z58">
        <v>1.5342830000000001</v>
      </c>
      <c r="AA58">
        <v>1.520311</v>
      </c>
      <c r="AB58">
        <v>1.501987</v>
      </c>
      <c r="AC58">
        <v>1.4879849999999999</v>
      </c>
      <c r="AD58">
        <v>1.4732160000000001</v>
      </c>
      <c r="AE58">
        <v>1.4655290000000001</v>
      </c>
      <c r="AF58">
        <v>1.450458</v>
      </c>
      <c r="AG58">
        <v>1.437376</v>
      </c>
      <c r="AH58">
        <v>1.4216249999999999</v>
      </c>
      <c r="AI58">
        <v>1.4077189999999999</v>
      </c>
      <c r="AJ58" s="31">
        <v>-2E-3</v>
      </c>
      <c r="AK58" s="31">
        <v>1.6E-2</v>
      </c>
    </row>
    <row r="59" spans="1:37">
      <c r="A59" t="s">
        <v>111</v>
      </c>
      <c r="B59" t="s">
        <v>309</v>
      </c>
      <c r="C59" t="s">
        <v>1291</v>
      </c>
      <c r="D59" t="s">
        <v>1292</v>
      </c>
      <c r="E59" t="s">
        <v>354</v>
      </c>
      <c r="G59">
        <v>0.58296300000000001</v>
      </c>
      <c r="H59">
        <v>0.63977200000000001</v>
      </c>
      <c r="I59">
        <v>0.69745900000000005</v>
      </c>
      <c r="J59">
        <v>0.74443499999999996</v>
      </c>
      <c r="K59">
        <v>0.79736899999999999</v>
      </c>
      <c r="L59">
        <v>0.85397599999999996</v>
      </c>
      <c r="M59">
        <v>0.91521699999999995</v>
      </c>
      <c r="N59">
        <v>0.97990200000000005</v>
      </c>
      <c r="O59">
        <v>1.0486899999999999</v>
      </c>
      <c r="P59">
        <v>1.1214440000000001</v>
      </c>
      <c r="Q59">
        <v>1.2004459999999999</v>
      </c>
      <c r="R59">
        <v>1.2863150000000001</v>
      </c>
      <c r="S59">
        <v>1.3831500000000001</v>
      </c>
      <c r="T59">
        <v>1.48702</v>
      </c>
      <c r="U59">
        <v>1.599227</v>
      </c>
      <c r="V59">
        <v>1.699166</v>
      </c>
      <c r="W59">
        <v>1.8360780000000001</v>
      </c>
      <c r="X59">
        <v>1.989325</v>
      </c>
      <c r="Y59">
        <v>2.1605850000000002</v>
      </c>
      <c r="Z59">
        <v>2.3529599999999999</v>
      </c>
      <c r="AA59">
        <v>2.5741770000000002</v>
      </c>
      <c r="AB59">
        <v>2.8250199999999999</v>
      </c>
      <c r="AC59">
        <v>3.1230699999999998</v>
      </c>
      <c r="AD59">
        <v>3.4774289999999999</v>
      </c>
      <c r="AE59">
        <v>3.922498</v>
      </c>
      <c r="AF59">
        <v>4.4694479999999999</v>
      </c>
      <c r="AG59">
        <v>5.2043210000000002</v>
      </c>
      <c r="AH59">
        <v>6.2864370000000003</v>
      </c>
      <c r="AI59">
        <v>7.1351089999999999</v>
      </c>
      <c r="AJ59" s="31">
        <v>9.4E-2</v>
      </c>
      <c r="AK59" s="31">
        <v>0.106</v>
      </c>
    </row>
    <row r="60" spans="1:37">
      <c r="A60" t="s">
        <v>258</v>
      </c>
      <c r="B60" t="s">
        <v>310</v>
      </c>
      <c r="C60" t="s">
        <v>1293</v>
      </c>
      <c r="D60" t="s">
        <v>1294</v>
      </c>
      <c r="E60" t="s">
        <v>354</v>
      </c>
      <c r="G60">
        <v>2.3116999999999999E-2</v>
      </c>
      <c r="H60">
        <v>2.4035000000000001E-2</v>
      </c>
      <c r="I60">
        <v>2.4938999999999999E-2</v>
      </c>
      <c r="J60">
        <v>2.5099E-2</v>
      </c>
      <c r="K60">
        <v>2.5319000000000001E-2</v>
      </c>
      <c r="L60">
        <v>2.5482000000000001E-2</v>
      </c>
      <c r="M60">
        <v>2.5596000000000001E-2</v>
      </c>
      <c r="N60">
        <v>2.5651E-2</v>
      </c>
      <c r="O60">
        <v>2.5658E-2</v>
      </c>
      <c r="P60">
        <v>2.5572999999999999E-2</v>
      </c>
      <c r="Q60">
        <v>2.5453E-2</v>
      </c>
      <c r="R60">
        <v>2.5301000000000001E-2</v>
      </c>
      <c r="S60">
        <v>2.5183000000000001E-2</v>
      </c>
      <c r="T60">
        <v>2.5003000000000001E-2</v>
      </c>
      <c r="U60">
        <v>2.4774000000000001E-2</v>
      </c>
      <c r="V60">
        <v>2.4169E-2</v>
      </c>
      <c r="W60">
        <v>2.3938999999999998E-2</v>
      </c>
      <c r="X60">
        <v>2.3702000000000001E-2</v>
      </c>
      <c r="Y60">
        <v>2.3444E-2</v>
      </c>
      <c r="Z60">
        <v>2.3163E-2</v>
      </c>
      <c r="AA60">
        <v>2.2893E-2</v>
      </c>
      <c r="AB60">
        <v>2.2575000000000001E-2</v>
      </c>
      <c r="AC60">
        <v>2.2303E-2</v>
      </c>
      <c r="AD60">
        <v>2.2027000000000001E-2</v>
      </c>
      <c r="AE60">
        <v>2.1822999999999999E-2</v>
      </c>
      <c r="AF60">
        <v>2.1545000000000002E-2</v>
      </c>
      <c r="AG60">
        <v>2.1284000000000001E-2</v>
      </c>
      <c r="AH60">
        <v>2.0996999999999998E-2</v>
      </c>
      <c r="AI60">
        <v>2.0722999999999998E-2</v>
      </c>
      <c r="AJ60" s="31">
        <v>-4.0000000000000001E-3</v>
      </c>
      <c r="AK60" s="31">
        <v>1.2E-2</v>
      </c>
    </row>
    <row r="61" spans="1:37">
      <c r="B61" t="s">
        <v>324</v>
      </c>
      <c r="C61" t="s">
        <v>1295</v>
      </c>
      <c r="D61" t="s">
        <v>1296</v>
      </c>
      <c r="E61" t="s">
        <v>354</v>
      </c>
      <c r="G61">
        <v>26.118862</v>
      </c>
      <c r="H61">
        <v>28.024412000000002</v>
      </c>
      <c r="I61">
        <v>29.477226000000002</v>
      </c>
      <c r="J61">
        <v>30.571621</v>
      </c>
      <c r="K61">
        <v>31.3964</v>
      </c>
      <c r="L61">
        <v>32.010112999999997</v>
      </c>
      <c r="M61">
        <v>32.464531000000001</v>
      </c>
      <c r="N61">
        <v>32.799759000000002</v>
      </c>
      <c r="O61">
        <v>33.046233999999998</v>
      </c>
      <c r="P61">
        <v>33.226050999999998</v>
      </c>
      <c r="Q61">
        <v>33.352477999999998</v>
      </c>
      <c r="R61">
        <v>33.43018</v>
      </c>
      <c r="S61">
        <v>33.466476</v>
      </c>
      <c r="T61">
        <v>33.469250000000002</v>
      </c>
      <c r="U61">
        <v>33.445160000000001</v>
      </c>
      <c r="V61">
        <v>33.397396000000001</v>
      </c>
      <c r="W61">
        <v>33.349758000000001</v>
      </c>
      <c r="X61">
        <v>33.294384000000001</v>
      </c>
      <c r="Y61">
        <v>33.234276000000001</v>
      </c>
      <c r="Z61">
        <v>33.167285999999997</v>
      </c>
      <c r="AA61">
        <v>33.096901000000003</v>
      </c>
      <c r="AB61">
        <v>33.025081999999998</v>
      </c>
      <c r="AC61">
        <v>32.951076999999998</v>
      </c>
      <c r="AD61">
        <v>32.875145000000003</v>
      </c>
      <c r="AE61">
        <v>32.799278000000001</v>
      </c>
      <c r="AF61">
        <v>32.723492</v>
      </c>
      <c r="AG61">
        <v>32.646706000000002</v>
      </c>
      <c r="AH61">
        <v>32.569450000000003</v>
      </c>
      <c r="AI61">
        <v>32.494362000000002</v>
      </c>
      <c r="AJ61" s="31">
        <v>8.0000000000000002E-3</v>
      </c>
      <c r="AK61" s="31">
        <v>2.1999999999999999E-2</v>
      </c>
    </row>
    <row r="62" spans="1:37">
      <c r="A62" t="s">
        <v>113</v>
      </c>
      <c r="B62" t="s">
        <v>313</v>
      </c>
      <c r="C62" t="s">
        <v>1297</v>
      </c>
      <c r="D62" t="s">
        <v>1298</v>
      </c>
      <c r="E62" t="s">
        <v>354</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117</v>
      </c>
      <c r="AK62" t="s">
        <v>117</v>
      </c>
    </row>
    <row r="63" spans="1:37">
      <c r="A63" t="s">
        <v>113</v>
      </c>
      <c r="B63" t="s">
        <v>305</v>
      </c>
      <c r="C63" t="s">
        <v>1299</v>
      </c>
      <c r="D63" t="s">
        <v>1300</v>
      </c>
      <c r="E63" t="s">
        <v>354</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117</v>
      </c>
      <c r="AK63" t="s">
        <v>117</v>
      </c>
    </row>
    <row r="64" spans="1:37">
      <c r="A64" t="s">
        <v>114</v>
      </c>
      <c r="B64" t="s">
        <v>306</v>
      </c>
      <c r="C64" t="s">
        <v>1301</v>
      </c>
      <c r="D64" t="s">
        <v>1302</v>
      </c>
      <c r="E64" t="s">
        <v>354</v>
      </c>
      <c r="G64">
        <v>26.118862</v>
      </c>
      <c r="H64">
        <v>28.024412000000002</v>
      </c>
      <c r="I64">
        <v>29.477226000000002</v>
      </c>
      <c r="J64">
        <v>30.571621</v>
      </c>
      <c r="K64">
        <v>31.3964</v>
      </c>
      <c r="L64">
        <v>32.010112999999997</v>
      </c>
      <c r="M64">
        <v>32.464531000000001</v>
      </c>
      <c r="N64">
        <v>32.799759000000002</v>
      </c>
      <c r="O64">
        <v>33.046233999999998</v>
      </c>
      <c r="P64">
        <v>33.226050999999998</v>
      </c>
      <c r="Q64">
        <v>33.352477999999998</v>
      </c>
      <c r="R64">
        <v>33.43018</v>
      </c>
      <c r="S64">
        <v>33.466476</v>
      </c>
      <c r="T64">
        <v>33.469250000000002</v>
      </c>
      <c r="U64">
        <v>33.445160000000001</v>
      </c>
      <c r="V64">
        <v>33.397396000000001</v>
      </c>
      <c r="W64">
        <v>33.349758000000001</v>
      </c>
      <c r="X64">
        <v>33.294384000000001</v>
      </c>
      <c r="Y64">
        <v>33.234276000000001</v>
      </c>
      <c r="Z64">
        <v>33.167285999999997</v>
      </c>
      <c r="AA64">
        <v>33.096901000000003</v>
      </c>
      <c r="AB64">
        <v>33.025081999999998</v>
      </c>
      <c r="AC64">
        <v>32.951076999999998</v>
      </c>
      <c r="AD64">
        <v>32.875145000000003</v>
      </c>
      <c r="AE64">
        <v>32.799278000000001</v>
      </c>
      <c r="AF64">
        <v>32.723492</v>
      </c>
      <c r="AG64">
        <v>32.646706000000002</v>
      </c>
      <c r="AH64">
        <v>32.569450000000003</v>
      </c>
      <c r="AI64">
        <v>32.494362000000002</v>
      </c>
      <c r="AJ64" s="31">
        <v>8.0000000000000002E-3</v>
      </c>
      <c r="AK64" s="31">
        <v>2.1999999999999999E-2</v>
      </c>
    </row>
    <row r="65" spans="1:37">
      <c r="A65" t="s">
        <v>112</v>
      </c>
      <c r="B65" t="s">
        <v>307</v>
      </c>
      <c r="C65" t="s">
        <v>1303</v>
      </c>
      <c r="D65" t="s">
        <v>1304</v>
      </c>
      <c r="E65" t="s">
        <v>354</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117</v>
      </c>
      <c r="AK65" t="s">
        <v>117</v>
      </c>
    </row>
    <row r="66" spans="1:37">
      <c r="A66" t="s">
        <v>257</v>
      </c>
      <c r="B66" t="s">
        <v>308</v>
      </c>
      <c r="C66" t="s">
        <v>1305</v>
      </c>
      <c r="D66" t="s">
        <v>1306</v>
      </c>
      <c r="E66" t="s">
        <v>354</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117</v>
      </c>
      <c r="AK66" t="s">
        <v>117</v>
      </c>
    </row>
    <row r="67" spans="1:37">
      <c r="A67" t="s">
        <v>111</v>
      </c>
      <c r="B67" t="s">
        <v>309</v>
      </c>
      <c r="C67" t="s">
        <v>1307</v>
      </c>
      <c r="D67" t="s">
        <v>1308</v>
      </c>
      <c r="E67" t="s">
        <v>354</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117</v>
      </c>
      <c r="AK67" t="s">
        <v>117</v>
      </c>
    </row>
    <row r="68" spans="1:37">
      <c r="A68" t="s">
        <v>258</v>
      </c>
      <c r="B68" t="s">
        <v>310</v>
      </c>
      <c r="C68" t="s">
        <v>1309</v>
      </c>
      <c r="D68" t="s">
        <v>1310</v>
      </c>
      <c r="E68" t="s">
        <v>354</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117</v>
      </c>
      <c r="AK68" t="s">
        <v>117</v>
      </c>
    </row>
    <row r="69" spans="1:37">
      <c r="B69" t="s">
        <v>325</v>
      </c>
      <c r="C69" t="s">
        <v>1311</v>
      </c>
      <c r="D69" t="s">
        <v>1312</v>
      </c>
      <c r="E69" t="s">
        <v>354</v>
      </c>
      <c r="G69">
        <v>93.831894000000005</v>
      </c>
      <c r="H69">
        <v>98.450194999999994</v>
      </c>
      <c r="I69">
        <v>99.158546000000001</v>
      </c>
      <c r="J69">
        <v>98.571014000000005</v>
      </c>
      <c r="K69">
        <v>97.556511</v>
      </c>
      <c r="L69">
        <v>96.613395999999995</v>
      </c>
      <c r="M69">
        <v>95.691032000000007</v>
      </c>
      <c r="N69">
        <v>94.739861000000005</v>
      </c>
      <c r="O69">
        <v>93.777550000000005</v>
      </c>
      <c r="P69">
        <v>92.791618</v>
      </c>
      <c r="Q69">
        <v>91.866196000000002</v>
      </c>
      <c r="R69">
        <v>91.598052999999993</v>
      </c>
      <c r="S69">
        <v>91.112289000000004</v>
      </c>
      <c r="T69">
        <v>90.708870000000005</v>
      </c>
      <c r="U69">
        <v>90.372649999999993</v>
      </c>
      <c r="V69">
        <v>90.121039999999994</v>
      </c>
      <c r="W69">
        <v>89.542336000000006</v>
      </c>
      <c r="X69">
        <v>88.885452000000001</v>
      </c>
      <c r="Y69">
        <v>88.194603000000001</v>
      </c>
      <c r="Z69">
        <v>87.485648999999995</v>
      </c>
      <c r="AA69">
        <v>86.702445999999995</v>
      </c>
      <c r="AB69">
        <v>85.868294000000006</v>
      </c>
      <c r="AC69">
        <v>84.998230000000007</v>
      </c>
      <c r="AD69">
        <v>84.089134000000001</v>
      </c>
      <c r="AE69">
        <v>83.076744000000005</v>
      </c>
      <c r="AF69">
        <v>82.045021000000006</v>
      </c>
      <c r="AG69">
        <v>80.986785999999995</v>
      </c>
      <c r="AH69">
        <v>79.893326000000002</v>
      </c>
      <c r="AI69">
        <v>78.783607000000003</v>
      </c>
      <c r="AJ69" s="31">
        <v>-6.0000000000000001E-3</v>
      </c>
      <c r="AK69" s="31">
        <v>3.3000000000000002E-2</v>
      </c>
    </row>
    <row r="70" spans="1:37">
      <c r="A70" t="s">
        <v>113</v>
      </c>
      <c r="B70" t="s">
        <v>313</v>
      </c>
      <c r="C70" t="s">
        <v>1313</v>
      </c>
      <c r="D70" t="s">
        <v>1314</v>
      </c>
      <c r="E70" t="s">
        <v>354</v>
      </c>
      <c r="G70">
        <v>9.4941010000000006</v>
      </c>
      <c r="H70">
        <v>9.9847319999999993</v>
      </c>
      <c r="I70">
        <v>10.080206</v>
      </c>
      <c r="J70">
        <v>10.044081</v>
      </c>
      <c r="K70">
        <v>9.9641859999999998</v>
      </c>
      <c r="L70">
        <v>9.8772070000000003</v>
      </c>
      <c r="M70">
        <v>9.7906929999999992</v>
      </c>
      <c r="N70">
        <v>9.7035470000000004</v>
      </c>
      <c r="O70">
        <v>9.6156869999999994</v>
      </c>
      <c r="P70">
        <v>9.5264279999999992</v>
      </c>
      <c r="Q70">
        <v>9.4439309999999992</v>
      </c>
      <c r="R70">
        <v>9.3760180000000002</v>
      </c>
      <c r="S70">
        <v>9.3193699999999993</v>
      </c>
      <c r="T70">
        <v>9.2722660000000001</v>
      </c>
      <c r="U70">
        <v>9.2344460000000002</v>
      </c>
      <c r="V70">
        <v>9.2065929999999998</v>
      </c>
      <c r="W70">
        <v>9.1597399999999993</v>
      </c>
      <c r="X70">
        <v>9.1076730000000001</v>
      </c>
      <c r="Y70">
        <v>9.0532129999999995</v>
      </c>
      <c r="Z70">
        <v>8.9974880000000006</v>
      </c>
      <c r="AA70">
        <v>8.9384180000000004</v>
      </c>
      <c r="AB70">
        <v>8.8755819999999996</v>
      </c>
      <c r="AC70">
        <v>8.8098559999999999</v>
      </c>
      <c r="AD70">
        <v>8.7419480000000007</v>
      </c>
      <c r="AE70">
        <v>8.6711120000000008</v>
      </c>
      <c r="AF70">
        <v>8.599361</v>
      </c>
      <c r="AG70">
        <v>8.5273749999999993</v>
      </c>
      <c r="AH70">
        <v>8.4545519999999996</v>
      </c>
      <c r="AI70">
        <v>8.3815580000000001</v>
      </c>
      <c r="AJ70" s="31">
        <v>-4.0000000000000001E-3</v>
      </c>
      <c r="AK70" s="31">
        <v>3.3000000000000002E-2</v>
      </c>
    </row>
    <row r="71" spans="1:37">
      <c r="A71" t="s">
        <v>113</v>
      </c>
      <c r="B71" t="s">
        <v>305</v>
      </c>
      <c r="C71" t="s">
        <v>1315</v>
      </c>
      <c r="D71" t="s">
        <v>1316</v>
      </c>
      <c r="E71" t="s">
        <v>354</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117</v>
      </c>
      <c r="AK71" t="s">
        <v>117</v>
      </c>
    </row>
    <row r="72" spans="1:37">
      <c r="A72" t="s">
        <v>114</v>
      </c>
      <c r="B72" t="s">
        <v>306</v>
      </c>
      <c r="C72" t="s">
        <v>1317</v>
      </c>
      <c r="D72" t="s">
        <v>1318</v>
      </c>
      <c r="E72" t="s">
        <v>354</v>
      </c>
      <c r="G72">
        <v>75.219893999999996</v>
      </c>
      <c r="H72">
        <v>78.605819999999994</v>
      </c>
      <c r="I72">
        <v>78.857498000000007</v>
      </c>
      <c r="J72">
        <v>78.076453999999998</v>
      </c>
      <c r="K72">
        <v>76.964111000000003</v>
      </c>
      <c r="L72">
        <v>76.079750000000004</v>
      </c>
      <c r="M72">
        <v>75.233322000000001</v>
      </c>
      <c r="N72">
        <v>74.338866999999993</v>
      </c>
      <c r="O72">
        <v>73.430572999999995</v>
      </c>
      <c r="P72">
        <v>72.491912999999997</v>
      </c>
      <c r="Q72">
        <v>71.594031999999999</v>
      </c>
      <c r="R72">
        <v>71.837708000000006</v>
      </c>
      <c r="S72">
        <v>71.512496999999996</v>
      </c>
      <c r="T72">
        <v>71.239052000000001</v>
      </c>
      <c r="U72">
        <v>70.989593999999997</v>
      </c>
      <c r="V72">
        <v>70.790924000000004</v>
      </c>
      <c r="W72">
        <v>70.163764999999998</v>
      </c>
      <c r="X72">
        <v>69.442642000000006</v>
      </c>
      <c r="Y72">
        <v>68.681884999999994</v>
      </c>
      <c r="Z72">
        <v>67.900276000000005</v>
      </c>
      <c r="AA72">
        <v>67.010056000000006</v>
      </c>
      <c r="AB72">
        <v>66.063095000000004</v>
      </c>
      <c r="AC72">
        <v>65.078491</v>
      </c>
      <c r="AD72">
        <v>64.041968999999995</v>
      </c>
      <c r="AE72">
        <v>62.83419</v>
      </c>
      <c r="AF72">
        <v>61.602939999999997</v>
      </c>
      <c r="AG72">
        <v>60.321541000000003</v>
      </c>
      <c r="AH72">
        <v>58.979691000000003</v>
      </c>
      <c r="AI72">
        <v>57.607379999999999</v>
      </c>
      <c r="AJ72" s="31">
        <v>-8.9999999999999993E-3</v>
      </c>
      <c r="AK72" s="31">
        <v>3.3000000000000002E-2</v>
      </c>
    </row>
    <row r="73" spans="1:37">
      <c r="A73" t="s">
        <v>112</v>
      </c>
      <c r="B73" t="s">
        <v>307</v>
      </c>
      <c r="C73" t="s">
        <v>1319</v>
      </c>
      <c r="D73" t="s">
        <v>1320</v>
      </c>
      <c r="E73" t="s">
        <v>354</v>
      </c>
      <c r="G73">
        <v>0.92408599999999996</v>
      </c>
      <c r="H73">
        <v>1.0108280000000001</v>
      </c>
      <c r="I73">
        <v>1.0536110000000001</v>
      </c>
      <c r="J73">
        <v>1.083197</v>
      </c>
      <c r="K73">
        <v>1.1043369999999999</v>
      </c>
      <c r="L73">
        <v>1.1235299999999999</v>
      </c>
      <c r="M73">
        <v>1.1408499999999999</v>
      </c>
      <c r="N73">
        <v>1.1560729999999999</v>
      </c>
      <c r="O73">
        <v>1.171249</v>
      </c>
      <c r="P73">
        <v>1.185954</v>
      </c>
      <c r="Q73">
        <v>1.2014899999999999</v>
      </c>
      <c r="R73">
        <v>1.2187190000000001</v>
      </c>
      <c r="S73">
        <v>1.237236</v>
      </c>
      <c r="T73">
        <v>1.256583</v>
      </c>
      <c r="U73">
        <v>1.277304</v>
      </c>
      <c r="V73">
        <v>1.299385</v>
      </c>
      <c r="W73">
        <v>1.318905</v>
      </c>
      <c r="X73">
        <v>1.3373429999999999</v>
      </c>
      <c r="Y73">
        <v>1.355548</v>
      </c>
      <c r="Z73">
        <v>1.373292</v>
      </c>
      <c r="AA73">
        <v>1.390433</v>
      </c>
      <c r="AB73">
        <v>1.4067000000000001</v>
      </c>
      <c r="AC73">
        <v>1.4226700000000001</v>
      </c>
      <c r="AD73">
        <v>1.4381809999999999</v>
      </c>
      <c r="AE73">
        <v>1.4527399999999999</v>
      </c>
      <c r="AF73">
        <v>1.4629570000000001</v>
      </c>
      <c r="AG73">
        <v>1.4730529999999999</v>
      </c>
      <c r="AH73">
        <v>1.482996</v>
      </c>
      <c r="AI73">
        <v>1.4928939999999999</v>
      </c>
      <c r="AJ73" s="31">
        <v>1.7000000000000001E-2</v>
      </c>
      <c r="AK73" s="31">
        <v>0.05</v>
      </c>
    </row>
    <row r="74" spans="1:37">
      <c r="A74" t="s">
        <v>257</v>
      </c>
      <c r="B74" t="s">
        <v>308</v>
      </c>
      <c r="C74" t="s">
        <v>1321</v>
      </c>
      <c r="D74" t="s">
        <v>1322</v>
      </c>
      <c r="E74" t="s">
        <v>354</v>
      </c>
      <c r="G74">
        <v>7.6215450000000002</v>
      </c>
      <c r="H74">
        <v>8.0154069999999997</v>
      </c>
      <c r="I74">
        <v>8.0920509999999997</v>
      </c>
      <c r="J74">
        <v>8.0630500000000005</v>
      </c>
      <c r="K74">
        <v>7.9989129999999999</v>
      </c>
      <c r="L74">
        <v>7.9290890000000003</v>
      </c>
      <c r="M74">
        <v>7.8596399999999997</v>
      </c>
      <c r="N74">
        <v>7.7896799999999997</v>
      </c>
      <c r="O74">
        <v>7.71915</v>
      </c>
      <c r="P74">
        <v>7.6474950000000002</v>
      </c>
      <c r="Q74">
        <v>7.5812689999999998</v>
      </c>
      <c r="R74">
        <v>7.5267520000000001</v>
      </c>
      <c r="S74">
        <v>7.4812770000000004</v>
      </c>
      <c r="T74">
        <v>7.4434630000000004</v>
      </c>
      <c r="U74">
        <v>7.4131020000000003</v>
      </c>
      <c r="V74">
        <v>7.3907420000000004</v>
      </c>
      <c r="W74">
        <v>7.3531319999999996</v>
      </c>
      <c r="X74">
        <v>7.3113330000000003</v>
      </c>
      <c r="Y74">
        <v>7.2676160000000003</v>
      </c>
      <c r="Z74">
        <v>7.22288</v>
      </c>
      <c r="AA74">
        <v>7.1754610000000003</v>
      </c>
      <c r="AB74">
        <v>7.125019</v>
      </c>
      <c r="AC74">
        <v>7.0722560000000003</v>
      </c>
      <c r="AD74">
        <v>7.017741</v>
      </c>
      <c r="AE74">
        <v>6.960877</v>
      </c>
      <c r="AF74">
        <v>6.9032780000000002</v>
      </c>
      <c r="AG74">
        <v>6.8454899999999999</v>
      </c>
      <c r="AH74">
        <v>6.7870299999999997</v>
      </c>
      <c r="AI74">
        <v>6.7284329999999999</v>
      </c>
      <c r="AJ74" s="31">
        <v>-4.0000000000000001E-3</v>
      </c>
      <c r="AK74" s="31">
        <v>3.3000000000000002E-2</v>
      </c>
    </row>
    <row r="75" spans="1:37">
      <c r="A75" t="s">
        <v>111</v>
      </c>
      <c r="B75" t="s">
        <v>309</v>
      </c>
      <c r="C75" t="s">
        <v>1323</v>
      </c>
      <c r="D75" t="s">
        <v>1324</v>
      </c>
      <c r="E75" t="s">
        <v>354</v>
      </c>
      <c r="G75">
        <v>0.57226500000000002</v>
      </c>
      <c r="H75">
        <v>0.83341600000000005</v>
      </c>
      <c r="I75">
        <v>1.075178</v>
      </c>
      <c r="J75">
        <v>1.30423</v>
      </c>
      <c r="K75">
        <v>1.524958</v>
      </c>
      <c r="L75">
        <v>1.603828</v>
      </c>
      <c r="M75">
        <v>1.6665300000000001</v>
      </c>
      <c r="N75">
        <v>1.7516910000000001</v>
      </c>
      <c r="O75">
        <v>1.8409</v>
      </c>
      <c r="P75">
        <v>1.9398230000000001</v>
      </c>
      <c r="Q75">
        <v>2.045474</v>
      </c>
      <c r="R75">
        <v>1.638865</v>
      </c>
      <c r="S75">
        <v>1.561909</v>
      </c>
      <c r="T75">
        <v>1.4974970000000001</v>
      </c>
      <c r="U75">
        <v>1.458207</v>
      </c>
      <c r="V75">
        <v>1.4334020000000001</v>
      </c>
      <c r="W75">
        <v>1.546791</v>
      </c>
      <c r="X75">
        <v>1.686464</v>
      </c>
      <c r="Y75">
        <v>1.8363419999999999</v>
      </c>
      <c r="Z75">
        <v>1.9917119999999999</v>
      </c>
      <c r="AA75">
        <v>2.1880760000000001</v>
      </c>
      <c r="AB75">
        <v>2.3979050000000002</v>
      </c>
      <c r="AC75">
        <v>2.6149490000000002</v>
      </c>
      <c r="AD75">
        <v>2.8492980000000001</v>
      </c>
      <c r="AE75">
        <v>3.1578240000000002</v>
      </c>
      <c r="AF75">
        <v>3.4764889999999999</v>
      </c>
      <c r="AG75">
        <v>3.8193260000000002</v>
      </c>
      <c r="AH75">
        <v>4.1890539999999996</v>
      </c>
      <c r="AI75">
        <v>4.5733420000000002</v>
      </c>
      <c r="AJ75" s="31">
        <v>7.6999999999999999E-2</v>
      </c>
      <c r="AK75" t="s">
        <v>117</v>
      </c>
    </row>
    <row r="76" spans="1:37">
      <c r="A76" t="s">
        <v>258</v>
      </c>
      <c r="B76" t="s">
        <v>310</v>
      </c>
      <c r="C76" t="s">
        <v>1325</v>
      </c>
      <c r="D76" t="s">
        <v>1326</v>
      </c>
      <c r="E76" t="s">
        <v>354</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117</v>
      </c>
      <c r="AK76" t="s">
        <v>117</v>
      </c>
    </row>
    <row r="77" spans="1:37" s="181" customFormat="1">
      <c r="B77" s="181" t="s">
        <v>280</v>
      </c>
      <c r="C77" s="181" t="s">
        <v>1327</v>
      </c>
      <c r="D77" s="181" t="s">
        <v>1328</v>
      </c>
      <c r="E77" s="181" t="s">
        <v>354</v>
      </c>
      <c r="G77" s="181">
        <v>43.913421999999997</v>
      </c>
      <c r="H77" s="181">
        <v>45.563988000000002</v>
      </c>
      <c r="I77" s="181">
        <v>46.540951</v>
      </c>
      <c r="J77" s="181">
        <v>47.205399</v>
      </c>
      <c r="K77" s="181">
        <v>47.900013000000001</v>
      </c>
      <c r="L77" s="181">
        <v>48.570526000000001</v>
      </c>
      <c r="M77" s="181">
        <v>49.132919000000001</v>
      </c>
      <c r="N77" s="181">
        <v>49.707282999999997</v>
      </c>
      <c r="O77" s="181">
        <v>50.150032000000003</v>
      </c>
      <c r="P77" s="181">
        <v>50.598678999999997</v>
      </c>
      <c r="Q77" s="181">
        <v>51.139499999999998</v>
      </c>
      <c r="R77" s="181">
        <v>51.726661999999997</v>
      </c>
      <c r="S77" s="181">
        <v>52.369225</v>
      </c>
      <c r="T77" s="181">
        <v>52.923794000000001</v>
      </c>
      <c r="U77" s="181">
        <v>53.456974000000002</v>
      </c>
      <c r="V77" s="181">
        <v>53.972693999999997</v>
      </c>
      <c r="W77" s="181">
        <v>54.509743</v>
      </c>
      <c r="X77" s="181">
        <v>55.033695000000002</v>
      </c>
      <c r="Y77" s="181">
        <v>55.626582999999997</v>
      </c>
      <c r="Z77" s="181">
        <v>56.181145000000001</v>
      </c>
      <c r="AA77" s="181">
        <v>56.753779999999999</v>
      </c>
      <c r="AB77" s="181">
        <v>57.257598999999999</v>
      </c>
      <c r="AC77" s="181">
        <v>57.815627999999997</v>
      </c>
      <c r="AD77" s="181">
        <v>58.366591999999997</v>
      </c>
      <c r="AE77" s="181">
        <v>59.116034999999997</v>
      </c>
      <c r="AF77" s="181">
        <v>59.751427</v>
      </c>
      <c r="AG77" s="181">
        <v>60.444682999999998</v>
      </c>
      <c r="AH77" s="181">
        <v>61.080703999999997</v>
      </c>
      <c r="AI77" s="181">
        <v>61.848125000000003</v>
      </c>
      <c r="AJ77" s="188">
        <v>1.2E-2</v>
      </c>
      <c r="AK77" s="188">
        <v>2.7E-2</v>
      </c>
    </row>
    <row r="78" spans="1:37" s="181" customFormat="1">
      <c r="B78" s="181" t="s">
        <v>326</v>
      </c>
      <c r="C78" s="181" t="s">
        <v>1329</v>
      </c>
      <c r="D78" s="181" t="s">
        <v>1330</v>
      </c>
      <c r="E78" s="181" t="s">
        <v>354</v>
      </c>
      <c r="G78" s="181">
        <v>7.5946369999999996</v>
      </c>
      <c r="H78" s="181">
        <v>8.2708110000000001</v>
      </c>
      <c r="I78" s="181">
        <v>8.8117520000000003</v>
      </c>
      <c r="J78" s="181">
        <v>9.2425239999999995</v>
      </c>
      <c r="K78" s="181">
        <v>9.5890699999999995</v>
      </c>
      <c r="L78" s="181">
        <v>9.8712160000000004</v>
      </c>
      <c r="M78" s="181">
        <v>10.105147000000001</v>
      </c>
      <c r="N78" s="181">
        <v>10.303372</v>
      </c>
      <c r="O78" s="181">
        <v>10.475068</v>
      </c>
      <c r="P78" s="181">
        <v>10.626023999999999</v>
      </c>
      <c r="Q78" s="181">
        <v>10.758953999999999</v>
      </c>
      <c r="R78" s="181">
        <v>10.875567999999999</v>
      </c>
      <c r="S78" s="181">
        <v>10.979032999999999</v>
      </c>
      <c r="T78" s="181">
        <v>11.071654000000001</v>
      </c>
      <c r="U78" s="181">
        <v>11.154877000000001</v>
      </c>
      <c r="V78" s="181">
        <v>11.229654999999999</v>
      </c>
      <c r="W78" s="181">
        <v>11.304667</v>
      </c>
      <c r="X78" s="181">
        <v>11.377219</v>
      </c>
      <c r="Y78" s="181">
        <v>11.447278000000001</v>
      </c>
      <c r="Z78" s="181">
        <v>11.515231999999999</v>
      </c>
      <c r="AA78" s="181">
        <v>11.582255999999999</v>
      </c>
      <c r="AB78" s="181">
        <v>11.648866999999999</v>
      </c>
      <c r="AC78" s="181">
        <v>11.715138</v>
      </c>
      <c r="AD78" s="181">
        <v>11.781057000000001</v>
      </c>
      <c r="AE78" s="181">
        <v>11.847011999999999</v>
      </c>
      <c r="AF78" s="181">
        <v>11.912785</v>
      </c>
      <c r="AG78" s="181">
        <v>11.978335</v>
      </c>
      <c r="AH78" s="181">
        <v>12.043905000000001</v>
      </c>
      <c r="AI78" s="181">
        <v>12.109465</v>
      </c>
      <c r="AJ78" s="188">
        <v>1.7000000000000001E-2</v>
      </c>
      <c r="AK78" s="188">
        <v>0.03</v>
      </c>
    </row>
    <row r="79" spans="1:37" s="181" customFormat="1">
      <c r="B79" s="181" t="s">
        <v>309</v>
      </c>
      <c r="C79" s="181" t="s">
        <v>1331</v>
      </c>
      <c r="D79" s="181" t="s">
        <v>1332</v>
      </c>
      <c r="E79" s="181" t="s">
        <v>354</v>
      </c>
      <c r="G79" s="181">
        <v>0.923149</v>
      </c>
      <c r="H79" s="181">
        <v>1.0053399999999999</v>
      </c>
      <c r="I79" s="181">
        <v>1.0710919999999999</v>
      </c>
      <c r="J79" s="181">
        <v>1.123454</v>
      </c>
      <c r="K79" s="181">
        <v>1.165578</v>
      </c>
      <c r="L79" s="181">
        <v>1.199873</v>
      </c>
      <c r="M79" s="181">
        <v>1.228308</v>
      </c>
      <c r="N79" s="181">
        <v>1.2524029999999999</v>
      </c>
      <c r="O79" s="181">
        <v>1.2732730000000001</v>
      </c>
      <c r="P79" s="181">
        <v>1.291622</v>
      </c>
      <c r="Q79" s="181">
        <v>1.3077799999999999</v>
      </c>
      <c r="R79" s="181">
        <v>1.321955</v>
      </c>
      <c r="S79" s="181">
        <v>1.3345309999999999</v>
      </c>
      <c r="T79" s="181">
        <v>1.34579</v>
      </c>
      <c r="U79" s="181">
        <v>1.3559060000000001</v>
      </c>
      <c r="V79" s="181">
        <v>1.364995</v>
      </c>
      <c r="W79" s="181">
        <v>1.3741129999999999</v>
      </c>
      <c r="X79" s="181">
        <v>1.3829320000000001</v>
      </c>
      <c r="Y79" s="181">
        <v>1.391448</v>
      </c>
      <c r="Z79" s="181">
        <v>1.399708</v>
      </c>
      <c r="AA79" s="181">
        <v>1.4078550000000001</v>
      </c>
      <c r="AB79" s="181">
        <v>1.4159520000000001</v>
      </c>
      <c r="AC79" s="181">
        <v>1.4240060000000001</v>
      </c>
      <c r="AD79" s="181">
        <v>1.4320189999999999</v>
      </c>
      <c r="AE79" s="181">
        <v>1.440037</v>
      </c>
      <c r="AF79" s="181">
        <v>1.4480310000000001</v>
      </c>
      <c r="AG79" s="181">
        <v>1.455999</v>
      </c>
      <c r="AH79" s="181">
        <v>1.4639690000000001</v>
      </c>
      <c r="AI79" s="181">
        <v>1.471938</v>
      </c>
      <c r="AJ79" s="188">
        <v>1.7000000000000001E-2</v>
      </c>
      <c r="AK79" s="188">
        <v>0.03</v>
      </c>
    </row>
    <row r="80" spans="1:37" s="181" customFormat="1">
      <c r="B80" s="181" t="s">
        <v>327</v>
      </c>
      <c r="C80" s="181" t="s">
        <v>1333</v>
      </c>
      <c r="D80" s="181" t="s">
        <v>1334</v>
      </c>
      <c r="E80" s="181" t="s">
        <v>354</v>
      </c>
      <c r="G80" s="181">
        <v>6.6714880000000001</v>
      </c>
      <c r="H80" s="181">
        <v>7.2654709999999998</v>
      </c>
      <c r="I80" s="181">
        <v>7.7406600000000001</v>
      </c>
      <c r="J80" s="181">
        <v>8.1190700000000007</v>
      </c>
      <c r="K80" s="181">
        <v>8.4234919999999995</v>
      </c>
      <c r="L80" s="181">
        <v>8.6713430000000002</v>
      </c>
      <c r="M80" s="181">
        <v>8.8768399999999996</v>
      </c>
      <c r="N80" s="181">
        <v>9.0509690000000003</v>
      </c>
      <c r="O80" s="181">
        <v>9.2017959999999999</v>
      </c>
      <c r="P80" s="181">
        <v>9.3344020000000008</v>
      </c>
      <c r="Q80" s="181">
        <v>9.451174</v>
      </c>
      <c r="R80" s="181">
        <v>9.5536139999999996</v>
      </c>
      <c r="S80" s="181">
        <v>9.6445030000000003</v>
      </c>
      <c r="T80" s="181">
        <v>9.7258639999999996</v>
      </c>
      <c r="U80" s="181">
        <v>9.7989709999999999</v>
      </c>
      <c r="V80" s="181">
        <v>9.8646600000000007</v>
      </c>
      <c r="W80" s="181">
        <v>9.9305540000000008</v>
      </c>
      <c r="X80" s="181">
        <v>9.9942869999999999</v>
      </c>
      <c r="Y80" s="181">
        <v>10.05583</v>
      </c>
      <c r="Z80" s="181">
        <v>10.115524000000001</v>
      </c>
      <c r="AA80" s="181">
        <v>10.174401</v>
      </c>
      <c r="AB80" s="181">
        <v>10.232915</v>
      </c>
      <c r="AC80" s="181">
        <v>10.291131999999999</v>
      </c>
      <c r="AD80" s="181">
        <v>10.349038</v>
      </c>
      <c r="AE80" s="181">
        <v>10.406974999999999</v>
      </c>
      <c r="AF80" s="181">
        <v>10.464753</v>
      </c>
      <c r="AG80" s="181">
        <v>10.522335999999999</v>
      </c>
      <c r="AH80" s="181">
        <v>10.579936</v>
      </c>
      <c r="AI80" s="181">
        <v>10.637527</v>
      </c>
      <c r="AJ80" s="188">
        <v>1.7000000000000001E-2</v>
      </c>
      <c r="AK80" s="188">
        <v>0.03</v>
      </c>
    </row>
    <row r="81" spans="1:37" s="181" customFormat="1">
      <c r="B81" s="181" t="s">
        <v>316</v>
      </c>
      <c r="C81" s="181" t="s">
        <v>1335</v>
      </c>
      <c r="D81" s="181" t="s">
        <v>1336</v>
      </c>
      <c r="E81" s="181" t="s">
        <v>354</v>
      </c>
      <c r="G81" s="181">
        <v>0</v>
      </c>
      <c r="H81" s="181">
        <v>0</v>
      </c>
      <c r="I81" s="181">
        <v>0</v>
      </c>
      <c r="J81" s="181">
        <v>0</v>
      </c>
      <c r="K81" s="181">
        <v>0</v>
      </c>
      <c r="L81" s="181">
        <v>0</v>
      </c>
      <c r="M81" s="181">
        <v>0</v>
      </c>
      <c r="N81" s="181">
        <v>0</v>
      </c>
      <c r="O81" s="181">
        <v>0</v>
      </c>
      <c r="P81" s="181">
        <v>0</v>
      </c>
      <c r="Q81" s="181">
        <v>0</v>
      </c>
      <c r="R81" s="181">
        <v>0</v>
      </c>
      <c r="S81" s="181">
        <v>0</v>
      </c>
      <c r="T81" s="181">
        <v>0</v>
      </c>
      <c r="U81" s="181">
        <v>0</v>
      </c>
      <c r="V81" s="181">
        <v>0</v>
      </c>
      <c r="W81" s="181">
        <v>0</v>
      </c>
      <c r="X81" s="181">
        <v>0</v>
      </c>
      <c r="Y81" s="181">
        <v>0</v>
      </c>
      <c r="Z81" s="181">
        <v>0</v>
      </c>
      <c r="AA81" s="181">
        <v>0</v>
      </c>
      <c r="AB81" s="181">
        <v>0</v>
      </c>
      <c r="AC81" s="181">
        <v>0</v>
      </c>
      <c r="AD81" s="181">
        <v>0</v>
      </c>
      <c r="AE81" s="181">
        <v>0</v>
      </c>
      <c r="AF81" s="181">
        <v>0</v>
      </c>
      <c r="AG81" s="181">
        <v>0</v>
      </c>
      <c r="AH81" s="181">
        <v>0</v>
      </c>
      <c r="AI81" s="181">
        <v>0</v>
      </c>
      <c r="AJ81" s="181" t="s">
        <v>117</v>
      </c>
      <c r="AK81" s="181" t="s">
        <v>117</v>
      </c>
    </row>
    <row r="82" spans="1:37" s="181" customFormat="1">
      <c r="B82" s="181" t="s">
        <v>317</v>
      </c>
      <c r="C82" s="181" t="s">
        <v>1337</v>
      </c>
      <c r="D82" s="181" t="s">
        <v>1338</v>
      </c>
      <c r="E82" s="181" t="s">
        <v>354</v>
      </c>
      <c r="G82" s="181">
        <v>0</v>
      </c>
      <c r="H82" s="181">
        <v>0</v>
      </c>
      <c r="I82" s="181">
        <v>0</v>
      </c>
      <c r="J82" s="181">
        <v>0</v>
      </c>
      <c r="K82" s="181">
        <v>0</v>
      </c>
      <c r="L82" s="181">
        <v>0</v>
      </c>
      <c r="M82" s="181">
        <v>0</v>
      </c>
      <c r="N82" s="181">
        <v>0</v>
      </c>
      <c r="O82" s="181">
        <v>0</v>
      </c>
      <c r="P82" s="181">
        <v>0</v>
      </c>
      <c r="Q82" s="181">
        <v>0</v>
      </c>
      <c r="R82" s="181">
        <v>0</v>
      </c>
      <c r="S82" s="181">
        <v>0</v>
      </c>
      <c r="T82" s="181">
        <v>0</v>
      </c>
      <c r="U82" s="181">
        <v>0</v>
      </c>
      <c r="V82" s="181">
        <v>0</v>
      </c>
      <c r="W82" s="181">
        <v>0</v>
      </c>
      <c r="X82" s="181">
        <v>0</v>
      </c>
      <c r="Y82" s="181">
        <v>0</v>
      </c>
      <c r="Z82" s="181">
        <v>0</v>
      </c>
      <c r="AA82" s="181">
        <v>0</v>
      </c>
      <c r="AB82" s="181">
        <v>0</v>
      </c>
      <c r="AC82" s="181">
        <v>0</v>
      </c>
      <c r="AD82" s="181">
        <v>0</v>
      </c>
      <c r="AE82" s="181">
        <v>0</v>
      </c>
      <c r="AF82" s="181">
        <v>0</v>
      </c>
      <c r="AG82" s="181">
        <v>0</v>
      </c>
      <c r="AH82" s="181">
        <v>0</v>
      </c>
      <c r="AI82" s="181">
        <v>0</v>
      </c>
      <c r="AJ82" s="181" t="s">
        <v>117</v>
      </c>
      <c r="AK82" s="181" t="s">
        <v>117</v>
      </c>
    </row>
    <row r="83" spans="1:37" s="181" customFormat="1">
      <c r="B83" s="181" t="s">
        <v>328</v>
      </c>
      <c r="C83" s="181" t="s">
        <v>1339</v>
      </c>
      <c r="D83" s="181" t="s">
        <v>1340</v>
      </c>
      <c r="E83" s="181" t="s">
        <v>354</v>
      </c>
      <c r="G83" s="181">
        <v>17.032639</v>
      </c>
      <c r="H83" s="181">
        <v>17.333525000000002</v>
      </c>
      <c r="I83" s="181">
        <v>17.471111000000001</v>
      </c>
      <c r="J83" s="181">
        <v>17.514868</v>
      </c>
      <c r="K83" s="181">
        <v>17.667708999999999</v>
      </c>
      <c r="L83" s="181">
        <v>17.921016999999999</v>
      </c>
      <c r="M83" s="181">
        <v>18.139037999999999</v>
      </c>
      <c r="N83" s="181">
        <v>18.293453</v>
      </c>
      <c r="O83" s="181">
        <v>18.389309000000001</v>
      </c>
      <c r="P83" s="181">
        <v>18.446940999999999</v>
      </c>
      <c r="Q83" s="181">
        <v>18.571213</v>
      </c>
      <c r="R83" s="181">
        <v>18.730657999999998</v>
      </c>
      <c r="S83" s="181">
        <v>18.930088000000001</v>
      </c>
      <c r="T83" s="181">
        <v>19.092124999999999</v>
      </c>
      <c r="U83" s="181">
        <v>19.259436000000001</v>
      </c>
      <c r="V83" s="181">
        <v>19.415512</v>
      </c>
      <c r="W83" s="181">
        <v>19.584526</v>
      </c>
      <c r="X83" s="181">
        <v>19.751868999999999</v>
      </c>
      <c r="Y83" s="181">
        <v>19.950641999999998</v>
      </c>
      <c r="Z83" s="181">
        <v>20.133372999999999</v>
      </c>
      <c r="AA83" s="181">
        <v>20.325230000000001</v>
      </c>
      <c r="AB83" s="181">
        <v>20.481424000000001</v>
      </c>
      <c r="AC83" s="181">
        <v>20.667052999999999</v>
      </c>
      <c r="AD83" s="181">
        <v>20.844881000000001</v>
      </c>
      <c r="AE83" s="181">
        <v>21.123301999999999</v>
      </c>
      <c r="AF83" s="181">
        <v>21.333514999999998</v>
      </c>
      <c r="AG83" s="181">
        <v>21.575635999999999</v>
      </c>
      <c r="AH83" s="181">
        <v>21.790666999999999</v>
      </c>
      <c r="AI83" s="181">
        <v>22.070596999999999</v>
      </c>
      <c r="AJ83" s="188">
        <v>8.9999999999999993E-3</v>
      </c>
      <c r="AK83" s="188">
        <v>2.5999999999999999E-2</v>
      </c>
    </row>
    <row r="84" spans="1:37" s="181" customFormat="1">
      <c r="B84" s="181" t="s">
        <v>309</v>
      </c>
      <c r="C84" s="181" t="s">
        <v>1341</v>
      </c>
      <c r="D84" s="181" t="s">
        <v>1342</v>
      </c>
      <c r="E84" s="181" t="s">
        <v>354</v>
      </c>
      <c r="G84" s="181">
        <v>17.032639</v>
      </c>
      <c r="H84" s="181">
        <v>17.333525000000002</v>
      </c>
      <c r="I84" s="181">
        <v>17.471111000000001</v>
      </c>
      <c r="J84" s="181">
        <v>17.514868</v>
      </c>
      <c r="K84" s="181">
        <v>17.667708999999999</v>
      </c>
      <c r="L84" s="181">
        <v>17.921016999999999</v>
      </c>
      <c r="M84" s="181">
        <v>18.139037999999999</v>
      </c>
      <c r="N84" s="181">
        <v>18.293453</v>
      </c>
      <c r="O84" s="181">
        <v>18.389309000000001</v>
      </c>
      <c r="P84" s="181">
        <v>18.446940999999999</v>
      </c>
      <c r="Q84" s="181">
        <v>18.571213</v>
      </c>
      <c r="R84" s="181">
        <v>18.730657999999998</v>
      </c>
      <c r="S84" s="181">
        <v>18.930088000000001</v>
      </c>
      <c r="T84" s="181">
        <v>19.092124999999999</v>
      </c>
      <c r="U84" s="181">
        <v>19.259436000000001</v>
      </c>
      <c r="V84" s="181">
        <v>19.415512</v>
      </c>
      <c r="W84" s="181">
        <v>19.584526</v>
      </c>
      <c r="X84" s="181">
        <v>19.751868999999999</v>
      </c>
      <c r="Y84" s="181">
        <v>19.950641999999998</v>
      </c>
      <c r="Z84" s="181">
        <v>20.133372999999999</v>
      </c>
      <c r="AA84" s="181">
        <v>20.325230000000001</v>
      </c>
      <c r="AB84" s="181">
        <v>20.481424000000001</v>
      </c>
      <c r="AC84" s="181">
        <v>20.667052999999999</v>
      </c>
      <c r="AD84" s="181">
        <v>20.844881000000001</v>
      </c>
      <c r="AE84" s="181">
        <v>21.123301999999999</v>
      </c>
      <c r="AF84" s="181">
        <v>21.333514999999998</v>
      </c>
      <c r="AG84" s="181">
        <v>21.575635999999999</v>
      </c>
      <c r="AH84" s="181">
        <v>21.790666999999999</v>
      </c>
      <c r="AI84" s="181">
        <v>22.070596999999999</v>
      </c>
      <c r="AJ84" s="188">
        <v>8.9999999999999993E-3</v>
      </c>
      <c r="AK84" s="188">
        <v>2.5999999999999999E-2</v>
      </c>
    </row>
    <row r="85" spans="1:37" s="181" customFormat="1">
      <c r="B85" s="181" t="s">
        <v>329</v>
      </c>
      <c r="C85" s="181" t="s">
        <v>1343</v>
      </c>
      <c r="D85" s="181" t="s">
        <v>1344</v>
      </c>
      <c r="E85" s="181" t="s">
        <v>354</v>
      </c>
      <c r="G85" s="181">
        <v>19.286148000000001</v>
      </c>
      <c r="H85" s="181">
        <v>19.959654</v>
      </c>
      <c r="I85" s="181">
        <v>20.258087</v>
      </c>
      <c r="J85" s="181">
        <v>20.448008000000002</v>
      </c>
      <c r="K85" s="181">
        <v>20.643234</v>
      </c>
      <c r="L85" s="181">
        <v>20.778293999999999</v>
      </c>
      <c r="M85" s="181">
        <v>20.888736999999999</v>
      </c>
      <c r="N85" s="181">
        <v>21.11046</v>
      </c>
      <c r="O85" s="181">
        <v>21.285655999999999</v>
      </c>
      <c r="P85" s="181">
        <v>21.525711000000001</v>
      </c>
      <c r="Q85" s="181">
        <v>21.809334</v>
      </c>
      <c r="R85" s="181">
        <v>22.120438</v>
      </c>
      <c r="S85" s="181">
        <v>22.460100000000001</v>
      </c>
      <c r="T85" s="181">
        <v>22.760014000000002</v>
      </c>
      <c r="U85" s="181">
        <v>23.042663999999998</v>
      </c>
      <c r="V85" s="181">
        <v>23.327525999999999</v>
      </c>
      <c r="W85" s="181">
        <v>23.620547999999999</v>
      </c>
      <c r="X85" s="181">
        <v>23.904606000000001</v>
      </c>
      <c r="Y85" s="181">
        <v>24.228663999999998</v>
      </c>
      <c r="Z85" s="181">
        <v>24.532539</v>
      </c>
      <c r="AA85" s="181">
        <v>24.846294</v>
      </c>
      <c r="AB85" s="181">
        <v>25.127307999999999</v>
      </c>
      <c r="AC85" s="181">
        <v>25.433437000000001</v>
      </c>
      <c r="AD85" s="181">
        <v>25.740656000000001</v>
      </c>
      <c r="AE85" s="181">
        <v>26.145723</v>
      </c>
      <c r="AF85" s="181">
        <v>26.505127000000002</v>
      </c>
      <c r="AG85" s="181">
        <v>26.890711</v>
      </c>
      <c r="AH85" s="181">
        <v>27.246131999999999</v>
      </c>
      <c r="AI85" s="181">
        <v>27.668061999999999</v>
      </c>
      <c r="AJ85" s="188">
        <v>1.2999999999999999E-2</v>
      </c>
      <c r="AK85" s="188">
        <v>2.5000000000000001E-2</v>
      </c>
    </row>
    <row r="86" spans="1:37" s="181" customFormat="1">
      <c r="B86" s="181" t="s">
        <v>309</v>
      </c>
      <c r="C86" s="181" t="s">
        <v>1345</v>
      </c>
      <c r="D86" s="181" t="s">
        <v>1346</v>
      </c>
      <c r="E86" s="181" t="s">
        <v>354</v>
      </c>
      <c r="G86" s="181">
        <v>6.9668039999999998</v>
      </c>
      <c r="H86" s="181">
        <v>7.2055709999999999</v>
      </c>
      <c r="I86" s="181">
        <v>7.3069870000000003</v>
      </c>
      <c r="J86" s="181">
        <v>7.3605080000000003</v>
      </c>
      <c r="K86" s="181">
        <v>7.3962209999999997</v>
      </c>
      <c r="L86" s="181">
        <v>7.4034529999999998</v>
      </c>
      <c r="M86" s="181">
        <v>7.4034849999999999</v>
      </c>
      <c r="N86" s="181">
        <v>7.4601230000000003</v>
      </c>
      <c r="O86" s="181">
        <v>7.5075329999999996</v>
      </c>
      <c r="P86" s="181">
        <v>7.6063049999999999</v>
      </c>
      <c r="Q86" s="181">
        <v>7.7227600000000001</v>
      </c>
      <c r="R86" s="181">
        <v>7.8505010000000004</v>
      </c>
      <c r="S86" s="181">
        <v>7.987139</v>
      </c>
      <c r="T86" s="181">
        <v>8.1068239999999996</v>
      </c>
      <c r="U86" s="181">
        <v>8.2209280000000007</v>
      </c>
      <c r="V86" s="181">
        <v>8.3371739999999992</v>
      </c>
      <c r="W86" s="181">
        <v>8.4559110000000004</v>
      </c>
      <c r="X86" s="181">
        <v>8.5701509999999992</v>
      </c>
      <c r="Y86" s="181">
        <v>8.700564</v>
      </c>
      <c r="Z86" s="181">
        <v>8.8238339999999997</v>
      </c>
      <c r="AA86" s="181">
        <v>8.9493679999999998</v>
      </c>
      <c r="AB86" s="181">
        <v>9.0625599999999995</v>
      </c>
      <c r="AC86" s="181">
        <v>9.1843959999999996</v>
      </c>
      <c r="AD86" s="181">
        <v>9.3055529999999997</v>
      </c>
      <c r="AE86" s="181">
        <v>9.4632129999999997</v>
      </c>
      <c r="AF86" s="181">
        <v>9.6034579999999998</v>
      </c>
      <c r="AG86" s="181">
        <v>9.7528290000000002</v>
      </c>
      <c r="AH86" s="181">
        <v>9.890326</v>
      </c>
      <c r="AI86" s="181">
        <v>10.053587</v>
      </c>
      <c r="AJ86" s="188">
        <v>1.2999999999999999E-2</v>
      </c>
      <c r="AK86" s="188">
        <v>2.5000000000000001E-2</v>
      </c>
    </row>
    <row r="87" spans="1:37" s="181" customFormat="1">
      <c r="B87" s="181" t="s">
        <v>327</v>
      </c>
      <c r="C87" s="181" t="s">
        <v>1347</v>
      </c>
      <c r="D87" s="181" t="s">
        <v>1348</v>
      </c>
      <c r="E87" s="181" t="s">
        <v>354</v>
      </c>
      <c r="G87" s="181">
        <v>12.319345</v>
      </c>
      <c r="H87" s="181">
        <v>12.754084000000001</v>
      </c>
      <c r="I87" s="181">
        <v>12.951098999999999</v>
      </c>
      <c r="J87" s="181">
        <v>13.0875</v>
      </c>
      <c r="K87" s="181">
        <v>13.247013000000001</v>
      </c>
      <c r="L87" s="181">
        <v>13.374840000000001</v>
      </c>
      <c r="M87" s="181">
        <v>13.485250000000001</v>
      </c>
      <c r="N87" s="181">
        <v>13.650337</v>
      </c>
      <c r="O87" s="181">
        <v>13.778123000000001</v>
      </c>
      <c r="P87" s="181">
        <v>13.919407</v>
      </c>
      <c r="Q87" s="181">
        <v>14.086574000000001</v>
      </c>
      <c r="R87" s="181">
        <v>14.269936</v>
      </c>
      <c r="S87" s="181">
        <v>14.47296</v>
      </c>
      <c r="T87" s="181">
        <v>14.65319</v>
      </c>
      <c r="U87" s="181">
        <v>14.821736</v>
      </c>
      <c r="V87" s="181">
        <v>14.990353000000001</v>
      </c>
      <c r="W87" s="181">
        <v>15.164637000000001</v>
      </c>
      <c r="X87" s="181">
        <v>15.334455</v>
      </c>
      <c r="Y87" s="181">
        <v>15.528098999999999</v>
      </c>
      <c r="Z87" s="181">
        <v>15.708705999999999</v>
      </c>
      <c r="AA87" s="181">
        <v>15.896927</v>
      </c>
      <c r="AB87" s="181">
        <v>16.064747000000001</v>
      </c>
      <c r="AC87" s="181">
        <v>16.249043</v>
      </c>
      <c r="AD87" s="181">
        <v>16.435102000000001</v>
      </c>
      <c r="AE87" s="181">
        <v>16.682510000000001</v>
      </c>
      <c r="AF87" s="181">
        <v>16.901668999999998</v>
      </c>
      <c r="AG87" s="181">
        <v>17.137882000000001</v>
      </c>
      <c r="AH87" s="181">
        <v>17.355803999999999</v>
      </c>
      <c r="AI87" s="181">
        <v>17.614474999999999</v>
      </c>
      <c r="AJ87" s="188">
        <v>1.2999999999999999E-2</v>
      </c>
      <c r="AK87" s="188">
        <v>2.5999999999999999E-2</v>
      </c>
    </row>
    <row r="88" spans="1:37" s="181" customFormat="1">
      <c r="B88" s="181" t="s">
        <v>316</v>
      </c>
      <c r="C88" s="181" t="s">
        <v>1349</v>
      </c>
      <c r="D88" s="181" t="s">
        <v>1350</v>
      </c>
      <c r="E88" s="181" t="s">
        <v>354</v>
      </c>
      <c r="G88" s="181">
        <v>0</v>
      </c>
      <c r="H88" s="181">
        <v>0</v>
      </c>
      <c r="I88" s="181">
        <v>0</v>
      </c>
      <c r="J88" s="181">
        <v>0</v>
      </c>
      <c r="K88" s="181">
        <v>0</v>
      </c>
      <c r="L88" s="181">
        <v>0</v>
      </c>
      <c r="M88" s="181">
        <v>0</v>
      </c>
      <c r="N88" s="181">
        <v>0</v>
      </c>
      <c r="O88" s="181">
        <v>0</v>
      </c>
      <c r="P88" s="181">
        <v>0</v>
      </c>
      <c r="Q88" s="181">
        <v>0</v>
      </c>
      <c r="R88" s="181">
        <v>0</v>
      </c>
      <c r="S88" s="181">
        <v>0</v>
      </c>
      <c r="T88" s="181">
        <v>0</v>
      </c>
      <c r="U88" s="181">
        <v>0</v>
      </c>
      <c r="V88" s="181">
        <v>0</v>
      </c>
      <c r="W88" s="181">
        <v>0</v>
      </c>
      <c r="X88" s="181">
        <v>0</v>
      </c>
      <c r="Y88" s="181">
        <v>0</v>
      </c>
      <c r="Z88" s="181">
        <v>0</v>
      </c>
      <c r="AA88" s="181">
        <v>0</v>
      </c>
      <c r="AB88" s="181">
        <v>0</v>
      </c>
      <c r="AC88" s="181">
        <v>0</v>
      </c>
      <c r="AD88" s="181">
        <v>0</v>
      </c>
      <c r="AE88" s="181">
        <v>0</v>
      </c>
      <c r="AF88" s="181">
        <v>0</v>
      </c>
      <c r="AG88" s="181">
        <v>0</v>
      </c>
      <c r="AH88" s="181">
        <v>0</v>
      </c>
      <c r="AI88" s="181">
        <v>0</v>
      </c>
      <c r="AJ88" s="181" t="s">
        <v>117</v>
      </c>
      <c r="AK88" s="181" t="s">
        <v>117</v>
      </c>
    </row>
    <row r="89" spans="1:37" s="181" customFormat="1">
      <c r="B89" s="181" t="s">
        <v>317</v>
      </c>
      <c r="C89" s="181" t="s">
        <v>1351</v>
      </c>
      <c r="D89" s="181" t="s">
        <v>1352</v>
      </c>
      <c r="E89" s="181" t="s">
        <v>354</v>
      </c>
      <c r="G89" s="181">
        <v>0</v>
      </c>
      <c r="H89" s="181">
        <v>0</v>
      </c>
      <c r="I89" s="181">
        <v>0</v>
      </c>
      <c r="J89" s="181">
        <v>0</v>
      </c>
      <c r="K89" s="181">
        <v>0</v>
      </c>
      <c r="L89" s="181">
        <v>0</v>
      </c>
      <c r="M89" s="181">
        <v>0</v>
      </c>
      <c r="N89" s="181">
        <v>0</v>
      </c>
      <c r="O89" s="181">
        <v>0</v>
      </c>
      <c r="P89" s="181">
        <v>0</v>
      </c>
      <c r="Q89" s="181">
        <v>0</v>
      </c>
      <c r="R89" s="181">
        <v>0</v>
      </c>
      <c r="S89" s="181">
        <v>0</v>
      </c>
      <c r="T89" s="181">
        <v>0</v>
      </c>
      <c r="U89" s="181">
        <v>0</v>
      </c>
      <c r="V89" s="181">
        <v>0</v>
      </c>
      <c r="W89" s="181">
        <v>0</v>
      </c>
      <c r="X89" s="181">
        <v>0</v>
      </c>
      <c r="Y89" s="181">
        <v>0</v>
      </c>
      <c r="Z89" s="181">
        <v>0</v>
      </c>
      <c r="AA89" s="181">
        <v>0</v>
      </c>
      <c r="AB89" s="181">
        <v>0</v>
      </c>
      <c r="AC89" s="181">
        <v>0</v>
      </c>
      <c r="AD89" s="181">
        <v>0</v>
      </c>
      <c r="AE89" s="181">
        <v>0</v>
      </c>
      <c r="AF89" s="181">
        <v>0</v>
      </c>
      <c r="AG89" s="181">
        <v>0</v>
      </c>
      <c r="AH89" s="181">
        <v>0</v>
      </c>
      <c r="AI89" s="181">
        <v>0</v>
      </c>
      <c r="AJ89" s="181" t="s">
        <v>117</v>
      </c>
      <c r="AK89" s="181" t="s">
        <v>117</v>
      </c>
    </row>
    <row r="90" spans="1:37">
      <c r="B90" t="s">
        <v>281</v>
      </c>
      <c r="C90" t="s">
        <v>1353</v>
      </c>
      <c r="D90" t="s">
        <v>1354</v>
      </c>
      <c r="E90" t="s">
        <v>354</v>
      </c>
      <c r="G90">
        <v>202.83663899999999</v>
      </c>
      <c r="H90">
        <v>199.16296399999999</v>
      </c>
      <c r="I90">
        <v>195.80548099999999</v>
      </c>
      <c r="J90">
        <v>193.737213</v>
      </c>
      <c r="K90">
        <v>192.813141</v>
      </c>
      <c r="L90">
        <v>191.8974</v>
      </c>
      <c r="M90">
        <v>190.73350500000001</v>
      </c>
      <c r="N90">
        <v>189.210464</v>
      </c>
      <c r="O90">
        <v>187.40353400000001</v>
      </c>
      <c r="P90">
        <v>185.676941</v>
      </c>
      <c r="Q90">
        <v>184.46688800000001</v>
      </c>
      <c r="R90">
        <v>183.61003099999999</v>
      </c>
      <c r="S90">
        <v>182.77757299999999</v>
      </c>
      <c r="T90">
        <v>181.99818400000001</v>
      </c>
      <c r="U90">
        <v>181.450287</v>
      </c>
      <c r="V90">
        <v>181.105515</v>
      </c>
      <c r="W90">
        <v>180.74588</v>
      </c>
      <c r="X90">
        <v>180.38298</v>
      </c>
      <c r="Y90">
        <v>180.29542499999999</v>
      </c>
      <c r="Z90">
        <v>180.16119399999999</v>
      </c>
      <c r="AA90">
        <v>179.988022</v>
      </c>
      <c r="AB90">
        <v>179.81350699999999</v>
      </c>
      <c r="AC90">
        <v>179.55651900000001</v>
      </c>
      <c r="AD90">
        <v>179.24385100000001</v>
      </c>
      <c r="AE90">
        <v>178.94970699999999</v>
      </c>
      <c r="AF90">
        <v>178.72766100000001</v>
      </c>
      <c r="AG90">
        <v>178.49087499999999</v>
      </c>
      <c r="AH90">
        <v>178.228363</v>
      </c>
      <c r="AI90">
        <v>178.15554800000001</v>
      </c>
      <c r="AJ90" s="31">
        <v>-5.0000000000000001E-3</v>
      </c>
      <c r="AK90" s="31">
        <v>-3.0000000000000001E-3</v>
      </c>
    </row>
    <row r="91" spans="1:37">
      <c r="A91" t="s">
        <v>113</v>
      </c>
      <c r="B91" t="s">
        <v>330</v>
      </c>
      <c r="C91" t="s">
        <v>1355</v>
      </c>
      <c r="D91" t="s">
        <v>1356</v>
      </c>
      <c r="E91" t="s">
        <v>354</v>
      </c>
      <c r="G91">
        <v>163.608734</v>
      </c>
      <c r="H91">
        <v>160.38700900000001</v>
      </c>
      <c r="I91">
        <v>157.42775</v>
      </c>
      <c r="J91">
        <v>155.51083399999999</v>
      </c>
      <c r="K91">
        <v>154.51499899999999</v>
      </c>
      <c r="L91">
        <v>153.52697800000001</v>
      </c>
      <c r="M91">
        <v>152.34193400000001</v>
      </c>
      <c r="N91">
        <v>150.872345</v>
      </c>
      <c r="O91">
        <v>149.17961099999999</v>
      </c>
      <c r="P91">
        <v>147.55435199999999</v>
      </c>
      <c r="Q91">
        <v>146.34231600000001</v>
      </c>
      <c r="R91">
        <v>145.41207900000001</v>
      </c>
      <c r="S91">
        <v>144.50224299999999</v>
      </c>
      <c r="T91">
        <v>143.63537600000001</v>
      </c>
      <c r="U91">
        <v>142.95182800000001</v>
      </c>
      <c r="V91">
        <v>142.42834500000001</v>
      </c>
      <c r="W91">
        <v>141.89295999999999</v>
      </c>
      <c r="X91">
        <v>141.35481300000001</v>
      </c>
      <c r="Y91">
        <v>141.03187600000001</v>
      </c>
      <c r="Z91">
        <v>140.67157</v>
      </c>
      <c r="AA91">
        <v>140.28007500000001</v>
      </c>
      <c r="AB91">
        <v>139.886841</v>
      </c>
      <c r="AC91">
        <v>139.42889400000001</v>
      </c>
      <c r="AD91">
        <v>138.927322</v>
      </c>
      <c r="AE91">
        <v>138.439819</v>
      </c>
      <c r="AF91">
        <v>138.00765999999999</v>
      </c>
      <c r="AG91">
        <v>137.56359900000001</v>
      </c>
      <c r="AH91">
        <v>137.09927400000001</v>
      </c>
      <c r="AI91">
        <v>136.780182</v>
      </c>
      <c r="AJ91" s="31">
        <v>-6.0000000000000001E-3</v>
      </c>
      <c r="AK91" s="31">
        <v>-5.0000000000000001E-3</v>
      </c>
    </row>
    <row r="92" spans="1:37">
      <c r="A92" t="s">
        <v>114</v>
      </c>
      <c r="B92" t="s">
        <v>306</v>
      </c>
      <c r="C92" t="s">
        <v>1357</v>
      </c>
      <c r="D92" t="s">
        <v>1358</v>
      </c>
      <c r="E92" t="s">
        <v>354</v>
      </c>
      <c r="G92">
        <v>39.227898000000003</v>
      </c>
      <c r="H92">
        <v>38.775948</v>
      </c>
      <c r="I92">
        <v>38.377730999999997</v>
      </c>
      <c r="J92">
        <v>38.226379000000001</v>
      </c>
      <c r="K92">
        <v>38.298149000000002</v>
      </c>
      <c r="L92">
        <v>38.370418999999998</v>
      </c>
      <c r="M92">
        <v>38.391570999999999</v>
      </c>
      <c r="N92">
        <v>38.338120000000004</v>
      </c>
      <c r="O92">
        <v>38.223914999999998</v>
      </c>
      <c r="P92">
        <v>38.122588999999998</v>
      </c>
      <c r="Q92">
        <v>38.124577000000002</v>
      </c>
      <c r="R92">
        <v>38.197955999999998</v>
      </c>
      <c r="S92">
        <v>38.275326</v>
      </c>
      <c r="T92">
        <v>38.362803999999997</v>
      </c>
      <c r="U92">
        <v>38.498458999999997</v>
      </c>
      <c r="V92">
        <v>38.677174000000001</v>
      </c>
      <c r="W92">
        <v>38.852927999999999</v>
      </c>
      <c r="X92">
        <v>39.028163999999997</v>
      </c>
      <c r="Y92">
        <v>39.263545999999998</v>
      </c>
      <c r="Z92">
        <v>39.489632</v>
      </c>
      <c r="AA92">
        <v>39.707951000000001</v>
      </c>
      <c r="AB92">
        <v>39.926662</v>
      </c>
      <c r="AC92">
        <v>40.127631999999998</v>
      </c>
      <c r="AD92">
        <v>40.316527999999998</v>
      </c>
      <c r="AE92">
        <v>40.509892000000001</v>
      </c>
      <c r="AF92">
        <v>40.720008999999997</v>
      </c>
      <c r="AG92">
        <v>40.927284</v>
      </c>
      <c r="AH92">
        <v>41.129097000000002</v>
      </c>
      <c r="AI92">
        <v>41.375362000000003</v>
      </c>
      <c r="AJ92" s="31">
        <v>2E-3</v>
      </c>
      <c r="AK92" s="31">
        <v>3.0000000000000001E-3</v>
      </c>
    </row>
    <row r="93" spans="1:37">
      <c r="B93" t="s">
        <v>282</v>
      </c>
      <c r="C93" t="s">
        <v>1359</v>
      </c>
      <c r="D93" t="s">
        <v>1140</v>
      </c>
      <c r="E93" t="s">
        <v>354</v>
      </c>
      <c r="G93">
        <v>125.945221</v>
      </c>
      <c r="H93">
        <v>125.92506400000001</v>
      </c>
      <c r="I93">
        <v>126.01237500000001</v>
      </c>
      <c r="J93">
        <v>126.049858</v>
      </c>
      <c r="K93">
        <v>126.11367</v>
      </c>
      <c r="L93">
        <v>125.98440600000001</v>
      </c>
      <c r="M93">
        <v>125.852997</v>
      </c>
      <c r="N93">
        <v>125.755234</v>
      </c>
      <c r="O93">
        <v>125.652069</v>
      </c>
      <c r="P93">
        <v>125.54579200000001</v>
      </c>
      <c r="Q93">
        <v>125.439178</v>
      </c>
      <c r="R93">
        <v>125.330147</v>
      </c>
      <c r="S93">
        <v>125.250381</v>
      </c>
      <c r="T93">
        <v>125.225021</v>
      </c>
      <c r="U93">
        <v>125.255257</v>
      </c>
      <c r="V93">
        <v>125.318207</v>
      </c>
      <c r="W93">
        <v>125.411896</v>
      </c>
      <c r="X93">
        <v>125.52668799999999</v>
      </c>
      <c r="Y93">
        <v>125.666534</v>
      </c>
      <c r="Z93">
        <v>125.797371</v>
      </c>
      <c r="AA93">
        <v>125.925034</v>
      </c>
      <c r="AB93">
        <v>126.04557</v>
      </c>
      <c r="AC93">
        <v>126.16628300000001</v>
      </c>
      <c r="AD93">
        <v>126.32028200000001</v>
      </c>
      <c r="AE93">
        <v>126.49239300000001</v>
      </c>
      <c r="AF93">
        <v>126.66081200000001</v>
      </c>
      <c r="AG93">
        <v>126.811455</v>
      </c>
      <c r="AH93">
        <v>126.974289</v>
      </c>
      <c r="AI93">
        <v>127.158676</v>
      </c>
      <c r="AJ93" s="31">
        <v>0</v>
      </c>
      <c r="AK93" s="31">
        <v>1E-3</v>
      </c>
    </row>
    <row r="94" spans="1:37">
      <c r="B94" t="s">
        <v>283</v>
      </c>
      <c r="C94" t="s">
        <v>1180</v>
      </c>
      <c r="D94" t="s">
        <v>1142</v>
      </c>
      <c r="E94" t="s">
        <v>354</v>
      </c>
      <c r="G94">
        <v>905.73223900000005</v>
      </c>
      <c r="H94">
        <v>820.54260299999999</v>
      </c>
      <c r="I94">
        <v>760.982483</v>
      </c>
      <c r="J94">
        <v>726.75244099999998</v>
      </c>
      <c r="K94">
        <v>695.850098</v>
      </c>
      <c r="L94">
        <v>653.98541299999999</v>
      </c>
      <c r="M94">
        <v>613.92791699999998</v>
      </c>
      <c r="N94">
        <v>612.03295900000001</v>
      </c>
      <c r="O94">
        <v>610.31640600000003</v>
      </c>
      <c r="P94">
        <v>611.89654499999995</v>
      </c>
      <c r="Q94">
        <v>617.76355000000001</v>
      </c>
      <c r="R94">
        <v>626.28515600000003</v>
      </c>
      <c r="S94">
        <v>630.76672399999995</v>
      </c>
      <c r="T94">
        <v>633.47729500000003</v>
      </c>
      <c r="U94">
        <v>634.00311299999998</v>
      </c>
      <c r="V94">
        <v>632.96820100000002</v>
      </c>
      <c r="W94">
        <v>637.83142099999998</v>
      </c>
      <c r="X94">
        <v>636.66796899999997</v>
      </c>
      <c r="Y94">
        <v>645.807007</v>
      </c>
      <c r="Z94">
        <v>652.42675799999995</v>
      </c>
      <c r="AA94">
        <v>658.166382</v>
      </c>
      <c r="AB94">
        <v>660.99408000000005</v>
      </c>
      <c r="AC94">
        <v>665.09454300000004</v>
      </c>
      <c r="AD94">
        <v>669.20263699999998</v>
      </c>
      <c r="AE94">
        <v>674.53369099999998</v>
      </c>
      <c r="AF94">
        <v>682.13464399999998</v>
      </c>
      <c r="AG94">
        <v>689.49054000000001</v>
      </c>
      <c r="AH94">
        <v>691.88214100000005</v>
      </c>
      <c r="AI94">
        <v>696.77728300000001</v>
      </c>
      <c r="AJ94" s="31">
        <v>-8.9999999999999993E-3</v>
      </c>
      <c r="AK94" s="31">
        <v>4.0000000000000001E-3</v>
      </c>
    </row>
    <row r="95" spans="1:37">
      <c r="B95" t="s">
        <v>1143</v>
      </c>
      <c r="C95" t="s">
        <v>1181</v>
      </c>
      <c r="D95" t="s">
        <v>1145</v>
      </c>
      <c r="E95" t="s">
        <v>354</v>
      </c>
      <c r="G95">
        <v>332.52310199999999</v>
      </c>
      <c r="H95">
        <v>377.97052000000002</v>
      </c>
      <c r="I95">
        <v>384.00460800000002</v>
      </c>
      <c r="J95">
        <v>408.78292800000003</v>
      </c>
      <c r="K95">
        <v>446.260651</v>
      </c>
      <c r="L95">
        <v>477.17263800000001</v>
      </c>
      <c r="M95">
        <v>503.61007699999999</v>
      </c>
      <c r="N95">
        <v>527.57086200000003</v>
      </c>
      <c r="O95">
        <v>577.96905500000003</v>
      </c>
      <c r="P95">
        <v>628.36724900000002</v>
      </c>
      <c r="Q95">
        <v>680.00372300000004</v>
      </c>
      <c r="R95">
        <v>729.163635</v>
      </c>
      <c r="S95">
        <v>771.16210899999999</v>
      </c>
      <c r="T95">
        <v>796.36120600000004</v>
      </c>
      <c r="U95">
        <v>814.39892599999996</v>
      </c>
      <c r="V95">
        <v>829.96002199999998</v>
      </c>
      <c r="W95">
        <v>838.35974099999999</v>
      </c>
      <c r="X95">
        <v>838.35974099999999</v>
      </c>
      <c r="Y95">
        <v>839.59802200000001</v>
      </c>
      <c r="Z95">
        <v>838.35974099999999</v>
      </c>
      <c r="AA95">
        <v>838.35974099999999</v>
      </c>
      <c r="AB95">
        <v>838.35974099999999</v>
      </c>
      <c r="AC95">
        <v>839.59802200000001</v>
      </c>
      <c r="AD95">
        <v>838.35974099999999</v>
      </c>
      <c r="AE95">
        <v>838.35974099999999</v>
      </c>
      <c r="AF95">
        <v>838.35974099999999</v>
      </c>
      <c r="AG95">
        <v>839.59802200000001</v>
      </c>
      <c r="AH95">
        <v>838.35974099999999</v>
      </c>
      <c r="AI95">
        <v>838.35974099999999</v>
      </c>
      <c r="AJ95" s="31">
        <v>3.4000000000000002E-2</v>
      </c>
      <c r="AK95" s="31">
        <v>5.0000000000000001E-3</v>
      </c>
    </row>
    <row r="96" spans="1:37">
      <c r="B96" t="s">
        <v>195</v>
      </c>
      <c r="C96" t="s">
        <v>1360</v>
      </c>
      <c r="D96" t="s">
        <v>1183</v>
      </c>
      <c r="E96" t="s">
        <v>354</v>
      </c>
      <c r="G96">
        <v>27986.478515999999</v>
      </c>
      <c r="H96">
        <v>28032.220702999999</v>
      </c>
      <c r="I96">
        <v>27776.765625</v>
      </c>
      <c r="J96">
        <v>27465.828125</v>
      </c>
      <c r="K96">
        <v>27255.169922000001</v>
      </c>
      <c r="L96">
        <v>27052.175781000002</v>
      </c>
      <c r="M96">
        <v>26819.683593999998</v>
      </c>
      <c r="N96">
        <v>26592.78125</v>
      </c>
      <c r="O96">
        <v>26361.335938</v>
      </c>
      <c r="P96">
        <v>26163.675781000002</v>
      </c>
      <c r="Q96">
        <v>26008.943359000001</v>
      </c>
      <c r="R96">
        <v>25899.167968999998</v>
      </c>
      <c r="S96">
        <v>25803.771484000001</v>
      </c>
      <c r="T96">
        <v>25706.130859000001</v>
      </c>
      <c r="U96">
        <v>25600.619140999999</v>
      </c>
      <c r="V96">
        <v>25535.832031000002</v>
      </c>
      <c r="W96">
        <v>25495.666015999999</v>
      </c>
      <c r="X96">
        <v>25451.617188</v>
      </c>
      <c r="Y96">
        <v>25462.876952999999</v>
      </c>
      <c r="Z96">
        <v>25488.181640999999</v>
      </c>
      <c r="AA96">
        <v>25533.677734000001</v>
      </c>
      <c r="AB96">
        <v>25586.275390999999</v>
      </c>
      <c r="AC96">
        <v>25660.166015999999</v>
      </c>
      <c r="AD96">
        <v>25746.871093999998</v>
      </c>
      <c r="AE96">
        <v>25871.171875</v>
      </c>
      <c r="AF96">
        <v>26021.988281000002</v>
      </c>
      <c r="AG96">
        <v>26178.046875</v>
      </c>
      <c r="AH96">
        <v>26334.755859000001</v>
      </c>
      <c r="AI96">
        <v>26541.847656000002</v>
      </c>
      <c r="AJ96" s="31">
        <v>-2E-3</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FC785-FE30-4ADA-9D2A-1AB6C7542BDF}">
  <dimension ref="A1:AJ35"/>
  <sheetViews>
    <sheetView workbookViewId="0"/>
  </sheetViews>
  <sheetFormatPr defaultRowHeight="15"/>
  <cols>
    <col min="1" max="1" width="21.7109375" bestFit="1" customWidth="1"/>
    <col min="2" max="2" width="17.5703125" customWidth="1"/>
    <col min="4" max="4" width="63.5703125" bestFit="1" customWidth="1"/>
  </cols>
  <sheetData>
    <row r="1" spans="1:36">
      <c r="B1" t="s">
        <v>544</v>
      </c>
    </row>
    <row r="2" spans="1:36">
      <c r="B2" t="s">
        <v>1416</v>
      </c>
    </row>
    <row r="3" spans="1:36">
      <c r="B3" t="s">
        <v>1415</v>
      </c>
    </row>
    <row r="4" spans="1:36">
      <c r="B4" t="s">
        <v>302</v>
      </c>
    </row>
    <row r="5" spans="1:36">
      <c r="C5" t="s">
        <v>303</v>
      </c>
      <c r="D5" t="s">
        <v>351</v>
      </c>
      <c r="E5" t="s">
        <v>352</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1079</v>
      </c>
    </row>
    <row r="6" spans="1:36">
      <c r="B6" t="s">
        <v>1414</v>
      </c>
    </row>
    <row r="7" spans="1:36">
      <c r="A7" s="23"/>
      <c r="B7" t="s">
        <v>1413</v>
      </c>
    </row>
    <row r="8" spans="1:36">
      <c r="A8" s="150" t="s">
        <v>113</v>
      </c>
      <c r="B8" t="s">
        <v>358</v>
      </c>
      <c r="C8" t="s">
        <v>1412</v>
      </c>
      <c r="D8" t="s">
        <v>1411</v>
      </c>
      <c r="E8" t="s">
        <v>354</v>
      </c>
      <c r="G8">
        <v>12881.066406</v>
      </c>
      <c r="H8">
        <v>12908.202148</v>
      </c>
      <c r="I8">
        <v>12756.777344</v>
      </c>
      <c r="J8">
        <v>12537.510742</v>
      </c>
      <c r="K8">
        <v>12357.115234000001</v>
      </c>
      <c r="L8">
        <v>12199.979492</v>
      </c>
      <c r="M8">
        <v>12016.358398</v>
      </c>
      <c r="N8">
        <v>11807.209961</v>
      </c>
      <c r="O8">
        <v>11580.357421999999</v>
      </c>
      <c r="P8">
        <v>11365.739258</v>
      </c>
      <c r="Q8">
        <v>11149.033203000001</v>
      </c>
      <c r="R8">
        <v>10969.979492</v>
      </c>
      <c r="S8">
        <v>10808.191406</v>
      </c>
      <c r="T8">
        <v>10642.521484000001</v>
      </c>
      <c r="U8">
        <v>10471.983398</v>
      </c>
      <c r="V8">
        <v>10320.190430000001</v>
      </c>
      <c r="W8">
        <v>10182.744140999999</v>
      </c>
      <c r="X8">
        <v>10049.587890999999</v>
      </c>
      <c r="Y8">
        <v>9935.6455079999996</v>
      </c>
      <c r="Z8">
        <v>9837.9648440000001</v>
      </c>
      <c r="AA8">
        <v>9757.4873050000006</v>
      </c>
      <c r="AB8">
        <v>9689.8076170000004</v>
      </c>
      <c r="AC8">
        <v>9646</v>
      </c>
      <c r="AD8">
        <v>9624.1328119999998</v>
      </c>
      <c r="AE8">
        <v>9624.3623050000006</v>
      </c>
      <c r="AF8">
        <v>9643.3730469999991</v>
      </c>
      <c r="AG8">
        <v>9674.4150389999995</v>
      </c>
      <c r="AH8">
        <v>9714.2890619999998</v>
      </c>
      <c r="AI8">
        <v>9771.2861329999996</v>
      </c>
      <c r="AJ8" s="31">
        <v>-0.01</v>
      </c>
    </row>
    <row r="9" spans="1:36">
      <c r="A9" s="150" t="s">
        <v>114</v>
      </c>
      <c r="B9" t="s">
        <v>359</v>
      </c>
      <c r="C9" t="s">
        <v>1410</v>
      </c>
      <c r="D9" t="s">
        <v>1409</v>
      </c>
      <c r="E9" t="s">
        <v>354</v>
      </c>
      <c r="G9">
        <v>61.460406999999996</v>
      </c>
      <c r="H9">
        <v>64.699020000000004</v>
      </c>
      <c r="I9">
        <v>67.503647000000001</v>
      </c>
      <c r="J9">
        <v>70.684082000000004</v>
      </c>
      <c r="K9">
        <v>74.503547999999995</v>
      </c>
      <c r="L9">
        <v>77.632530000000003</v>
      </c>
      <c r="M9">
        <v>81.324989000000002</v>
      </c>
      <c r="N9">
        <v>84.520767000000006</v>
      </c>
      <c r="O9">
        <v>86.959723999999994</v>
      </c>
      <c r="P9">
        <v>89.758049</v>
      </c>
      <c r="Q9">
        <v>91.490172999999999</v>
      </c>
      <c r="R9">
        <v>93.247542999999993</v>
      </c>
      <c r="S9">
        <v>95.159003999999996</v>
      </c>
      <c r="T9">
        <v>96.641716000000002</v>
      </c>
      <c r="U9">
        <v>98.053252999999998</v>
      </c>
      <c r="V9">
        <v>99.864699999999999</v>
      </c>
      <c r="W9">
        <v>101.36190000000001</v>
      </c>
      <c r="X9">
        <v>102.785614</v>
      </c>
      <c r="Y9">
        <v>104.47520400000001</v>
      </c>
      <c r="Z9">
        <v>105.749611</v>
      </c>
      <c r="AA9">
        <v>107.32461499999999</v>
      </c>
      <c r="AB9">
        <v>109.779274</v>
      </c>
      <c r="AC9">
        <v>110.92002100000001</v>
      </c>
      <c r="AD9">
        <v>111.97982</v>
      </c>
      <c r="AE9">
        <v>113.44126900000001</v>
      </c>
      <c r="AF9">
        <v>115.037071</v>
      </c>
      <c r="AG9">
        <v>116.751053</v>
      </c>
      <c r="AH9">
        <v>118.593475</v>
      </c>
      <c r="AI9">
        <v>120.695747</v>
      </c>
      <c r="AJ9" s="31">
        <v>2.4E-2</v>
      </c>
    </row>
    <row r="10" spans="1:36">
      <c r="A10" s="150"/>
      <c r="B10" t="s">
        <v>1408</v>
      </c>
      <c r="C10" t="s">
        <v>1407</v>
      </c>
      <c r="D10" t="s">
        <v>1406</v>
      </c>
      <c r="E10" t="s">
        <v>354</v>
      </c>
      <c r="G10">
        <v>12942.526367</v>
      </c>
      <c r="H10">
        <v>12972.901367</v>
      </c>
      <c r="I10">
        <v>12824.28125</v>
      </c>
      <c r="J10">
        <v>12608.195312</v>
      </c>
      <c r="K10">
        <v>12431.619140999999</v>
      </c>
      <c r="L10">
        <v>12277.612305000001</v>
      </c>
      <c r="M10">
        <v>12097.683594</v>
      </c>
      <c r="N10">
        <v>11891.730469</v>
      </c>
      <c r="O10">
        <v>11667.317383</v>
      </c>
      <c r="P10">
        <v>11455.497069999999</v>
      </c>
      <c r="Q10">
        <v>11240.523438</v>
      </c>
      <c r="R10">
        <v>11063.226562</v>
      </c>
      <c r="S10">
        <v>10903.350586</v>
      </c>
      <c r="T10">
        <v>10739.163086</v>
      </c>
      <c r="U10">
        <v>10570.037109000001</v>
      </c>
      <c r="V10">
        <v>10420.054688</v>
      </c>
      <c r="W10">
        <v>10284.106444999999</v>
      </c>
      <c r="X10">
        <v>10152.373046999999</v>
      </c>
      <c r="Y10">
        <v>10040.121094</v>
      </c>
      <c r="Z10">
        <v>9943.7148440000001</v>
      </c>
      <c r="AA10">
        <v>9864.8115230000003</v>
      </c>
      <c r="AB10">
        <v>9799.5869139999995</v>
      </c>
      <c r="AC10">
        <v>9756.9199219999991</v>
      </c>
      <c r="AD10">
        <v>9736.1123050000006</v>
      </c>
      <c r="AE10">
        <v>9737.8037110000005</v>
      </c>
      <c r="AF10">
        <v>9758.4101559999999</v>
      </c>
      <c r="AG10">
        <v>9791.1660159999992</v>
      </c>
      <c r="AH10">
        <v>9832.8828119999998</v>
      </c>
      <c r="AI10">
        <v>9891.9814449999994</v>
      </c>
      <c r="AJ10" s="31">
        <v>-0.01</v>
      </c>
    </row>
    <row r="11" spans="1:36">
      <c r="A11" s="23"/>
      <c r="B11" t="s">
        <v>1405</v>
      </c>
    </row>
    <row r="12" spans="1:36">
      <c r="A12" s="150" t="s">
        <v>113</v>
      </c>
      <c r="B12" t="s">
        <v>362</v>
      </c>
      <c r="C12" t="s">
        <v>1404</v>
      </c>
      <c r="D12" t="s">
        <v>1403</v>
      </c>
      <c r="E12" t="s">
        <v>354</v>
      </c>
      <c r="G12">
        <v>1339.132568</v>
      </c>
      <c r="H12">
        <v>1319.3763429999999</v>
      </c>
      <c r="I12">
        <v>1275.7670900000001</v>
      </c>
      <c r="J12">
        <v>1221.3973390000001</v>
      </c>
      <c r="K12">
        <v>1167.0457759999999</v>
      </c>
      <c r="L12">
        <v>1113.8266599999999</v>
      </c>
      <c r="M12">
        <v>1058.1517329999999</v>
      </c>
      <c r="N12">
        <v>1000.617371</v>
      </c>
      <c r="O12">
        <v>942.97351100000003</v>
      </c>
      <c r="P12">
        <v>886.95709199999999</v>
      </c>
      <c r="Q12">
        <v>834.95324700000003</v>
      </c>
      <c r="R12">
        <v>788.073486</v>
      </c>
      <c r="S12">
        <v>746.06121800000005</v>
      </c>
      <c r="T12">
        <v>707.77227800000003</v>
      </c>
      <c r="U12">
        <v>673.77526899999998</v>
      </c>
      <c r="V12">
        <v>645.22839399999998</v>
      </c>
      <c r="W12">
        <v>622.27368200000001</v>
      </c>
      <c r="X12">
        <v>604.38629200000003</v>
      </c>
      <c r="Y12">
        <v>590.49340800000004</v>
      </c>
      <c r="Z12">
        <v>578.73364300000003</v>
      </c>
      <c r="AA12">
        <v>569.68554700000004</v>
      </c>
      <c r="AB12">
        <v>562.43762200000003</v>
      </c>
      <c r="AC12">
        <v>557.20812999999998</v>
      </c>
      <c r="AD12">
        <v>552.74523899999997</v>
      </c>
      <c r="AE12">
        <v>549.35913100000005</v>
      </c>
      <c r="AF12">
        <v>547.08941700000003</v>
      </c>
      <c r="AG12">
        <v>545.57074</v>
      </c>
      <c r="AH12">
        <v>544.52099599999997</v>
      </c>
      <c r="AI12">
        <v>544.487122</v>
      </c>
      <c r="AJ12" s="31">
        <v>-3.2000000000000001E-2</v>
      </c>
    </row>
    <row r="13" spans="1:36">
      <c r="A13" s="150" t="s">
        <v>111</v>
      </c>
      <c r="B13" t="s">
        <v>1402</v>
      </c>
      <c r="C13" t="s">
        <v>1401</v>
      </c>
      <c r="D13" t="s">
        <v>1106</v>
      </c>
      <c r="E13" t="s">
        <v>354</v>
      </c>
      <c r="G13">
        <v>2.559272</v>
      </c>
      <c r="H13">
        <v>2.801123</v>
      </c>
      <c r="I13">
        <v>2.9383870000000001</v>
      </c>
      <c r="J13">
        <v>3.1984330000000001</v>
      </c>
      <c r="K13">
        <v>3.4694400000000001</v>
      </c>
      <c r="L13">
        <v>3.8248709999999999</v>
      </c>
      <c r="M13">
        <v>4.214181</v>
      </c>
      <c r="N13">
        <v>4.6419699999999997</v>
      </c>
      <c r="O13">
        <v>5.0808260000000001</v>
      </c>
      <c r="P13">
        <v>5.4098009999999999</v>
      </c>
      <c r="Q13">
        <v>5.7576450000000001</v>
      </c>
      <c r="R13">
        <v>6.1296590000000002</v>
      </c>
      <c r="S13">
        <v>6.536924</v>
      </c>
      <c r="T13">
        <v>6.985487</v>
      </c>
      <c r="U13">
        <v>7.4815529999999999</v>
      </c>
      <c r="V13">
        <v>8.0048290000000009</v>
      </c>
      <c r="W13">
        <v>8.5923440000000006</v>
      </c>
      <c r="X13">
        <v>9.1991119999999995</v>
      </c>
      <c r="Y13">
        <v>9.855124</v>
      </c>
      <c r="Z13">
        <v>10.554819999999999</v>
      </c>
      <c r="AA13">
        <v>11.261348</v>
      </c>
      <c r="AB13">
        <v>12.093517</v>
      </c>
      <c r="AC13">
        <v>13.104404000000001</v>
      </c>
      <c r="AD13">
        <v>13.828258999999999</v>
      </c>
      <c r="AE13">
        <v>14.575327</v>
      </c>
      <c r="AF13">
        <v>15.333432999999999</v>
      </c>
      <c r="AG13">
        <v>16.094806999999999</v>
      </c>
      <c r="AH13">
        <v>16.875494</v>
      </c>
      <c r="AI13">
        <v>17.68449</v>
      </c>
      <c r="AJ13" s="31">
        <v>7.0999999999999994E-2</v>
      </c>
    </row>
    <row r="14" spans="1:36">
      <c r="A14" s="150" t="s">
        <v>111</v>
      </c>
      <c r="B14" t="s">
        <v>1400</v>
      </c>
      <c r="C14" t="s">
        <v>1399</v>
      </c>
      <c r="D14" t="s">
        <v>1106</v>
      </c>
      <c r="E14" t="s">
        <v>354</v>
      </c>
      <c r="G14">
        <v>4.23001</v>
      </c>
      <c r="H14">
        <v>5.3385740000000004</v>
      </c>
      <c r="I14">
        <v>7.5816030000000003</v>
      </c>
      <c r="J14">
        <v>9.7876320000000003</v>
      </c>
      <c r="K14">
        <v>12.592563999999999</v>
      </c>
      <c r="L14">
        <v>16.132769</v>
      </c>
      <c r="M14">
        <v>20.282378999999999</v>
      </c>
      <c r="N14">
        <v>25.358329999999999</v>
      </c>
      <c r="O14">
        <v>31.289042999999999</v>
      </c>
      <c r="P14">
        <v>36.80603</v>
      </c>
      <c r="Q14">
        <v>42.541870000000003</v>
      </c>
      <c r="R14">
        <v>48.338242000000001</v>
      </c>
      <c r="S14">
        <v>54.209609999999998</v>
      </c>
      <c r="T14">
        <v>59.939297000000003</v>
      </c>
      <c r="U14">
        <v>65.392516999999998</v>
      </c>
      <c r="V14">
        <v>70.586815000000001</v>
      </c>
      <c r="W14">
        <v>75.455901999999995</v>
      </c>
      <c r="X14">
        <v>79.913757000000004</v>
      </c>
      <c r="Y14">
        <v>83.872467</v>
      </c>
      <c r="Z14">
        <v>87.392548000000005</v>
      </c>
      <c r="AA14">
        <v>90.522141000000005</v>
      </c>
      <c r="AB14">
        <v>92.990645999999998</v>
      </c>
      <c r="AC14">
        <v>95.301460000000006</v>
      </c>
      <c r="AD14">
        <v>96.839080999999993</v>
      </c>
      <c r="AE14">
        <v>98.250748000000002</v>
      </c>
      <c r="AF14">
        <v>99.208252000000002</v>
      </c>
      <c r="AG14">
        <v>99.851821999999999</v>
      </c>
      <c r="AH14">
        <v>100.11125199999999</v>
      </c>
      <c r="AI14">
        <v>100.09345999999999</v>
      </c>
      <c r="AJ14" s="31">
        <v>0.12</v>
      </c>
    </row>
    <row r="15" spans="1:36">
      <c r="A15" s="150" t="s">
        <v>111</v>
      </c>
      <c r="B15" t="s">
        <v>1398</v>
      </c>
      <c r="C15" t="s">
        <v>1397</v>
      </c>
      <c r="D15" t="s">
        <v>1106</v>
      </c>
      <c r="E15" t="s">
        <v>354</v>
      </c>
      <c r="G15">
        <v>15.9704</v>
      </c>
      <c r="H15">
        <v>24.204090000000001</v>
      </c>
      <c r="I15">
        <v>33.748885999999999</v>
      </c>
      <c r="J15">
        <v>45.167313</v>
      </c>
      <c r="K15">
        <v>58.883274</v>
      </c>
      <c r="L15">
        <v>75.400420999999994</v>
      </c>
      <c r="M15">
        <v>94.456153999999998</v>
      </c>
      <c r="N15">
        <v>116.52211</v>
      </c>
      <c r="O15">
        <v>141.06321700000001</v>
      </c>
      <c r="P15">
        <v>163.171738</v>
      </c>
      <c r="Q15">
        <v>185.984467</v>
      </c>
      <c r="R15">
        <v>209.30422999999999</v>
      </c>
      <c r="S15">
        <v>233.284897</v>
      </c>
      <c r="T15">
        <v>257.06118800000002</v>
      </c>
      <c r="U15">
        <v>280.195221</v>
      </c>
      <c r="V15">
        <v>302.78024299999998</v>
      </c>
      <c r="W15">
        <v>324.57373000000001</v>
      </c>
      <c r="X15">
        <v>345.21057100000002</v>
      </c>
      <c r="Y15">
        <v>364.40649400000001</v>
      </c>
      <c r="Z15">
        <v>382.57037400000002</v>
      </c>
      <c r="AA15">
        <v>399.603882</v>
      </c>
      <c r="AB15">
        <v>415.15625</v>
      </c>
      <c r="AC15">
        <v>429.39672899999999</v>
      </c>
      <c r="AD15">
        <v>442.783997</v>
      </c>
      <c r="AE15">
        <v>456.384613</v>
      </c>
      <c r="AF15">
        <v>469.40271000000001</v>
      </c>
      <c r="AG15">
        <v>482.032104</v>
      </c>
      <c r="AH15">
        <v>494.17199699999998</v>
      </c>
      <c r="AI15">
        <v>506.31152300000002</v>
      </c>
      <c r="AJ15" s="31">
        <v>0.13100000000000001</v>
      </c>
    </row>
    <row r="16" spans="1:36">
      <c r="A16" s="150" t="s">
        <v>115</v>
      </c>
      <c r="B16" t="s">
        <v>1396</v>
      </c>
      <c r="C16" t="s">
        <v>1395</v>
      </c>
      <c r="D16" t="s">
        <v>1394</v>
      </c>
      <c r="E16" t="s">
        <v>354</v>
      </c>
      <c r="G16">
        <v>18.560482</v>
      </c>
      <c r="H16">
        <v>22.740394999999999</v>
      </c>
      <c r="I16">
        <v>27.495118999999999</v>
      </c>
      <c r="J16">
        <v>32.623176999999998</v>
      </c>
      <c r="K16">
        <v>38.521144999999997</v>
      </c>
      <c r="L16">
        <v>44.721347999999999</v>
      </c>
      <c r="M16">
        <v>50.693835999999997</v>
      </c>
      <c r="N16">
        <v>56.983058999999997</v>
      </c>
      <c r="O16">
        <v>62.858302999999999</v>
      </c>
      <c r="P16">
        <v>68.780349999999999</v>
      </c>
      <c r="Q16">
        <v>74.375129999999999</v>
      </c>
      <c r="R16">
        <v>79.731765999999993</v>
      </c>
      <c r="S16">
        <v>85.037170000000003</v>
      </c>
      <c r="T16">
        <v>90.026291000000001</v>
      </c>
      <c r="U16">
        <v>94.311278999999999</v>
      </c>
      <c r="V16">
        <v>98.472031000000001</v>
      </c>
      <c r="W16">
        <v>102.10908499999999</v>
      </c>
      <c r="X16">
        <v>105.425186</v>
      </c>
      <c r="Y16">
        <v>108.993996</v>
      </c>
      <c r="Z16">
        <v>111.982231</v>
      </c>
      <c r="AA16">
        <v>114.749718</v>
      </c>
      <c r="AB16">
        <v>117.440079</v>
      </c>
      <c r="AC16">
        <v>119.754341</v>
      </c>
      <c r="AD16">
        <v>121.839439</v>
      </c>
      <c r="AE16">
        <v>123.956154</v>
      </c>
      <c r="AF16">
        <v>125.98112500000001</v>
      </c>
      <c r="AG16">
        <v>127.99290499999999</v>
      </c>
      <c r="AH16">
        <v>129.93435700000001</v>
      </c>
      <c r="AI16">
        <v>132.030396</v>
      </c>
      <c r="AJ16" s="31">
        <v>7.2999999999999995E-2</v>
      </c>
    </row>
    <row r="17" spans="1:36">
      <c r="A17" s="150" t="s">
        <v>115</v>
      </c>
      <c r="B17" t="s">
        <v>1393</v>
      </c>
      <c r="C17" t="s">
        <v>1392</v>
      </c>
      <c r="D17" t="s">
        <v>1391</v>
      </c>
      <c r="E17" t="s">
        <v>354</v>
      </c>
      <c r="G17">
        <v>6.0730680000000001</v>
      </c>
      <c r="H17">
        <v>7.2245799999999996</v>
      </c>
      <c r="I17">
        <v>9.104139</v>
      </c>
      <c r="J17">
        <v>11.706738</v>
      </c>
      <c r="K17">
        <v>15.01347</v>
      </c>
      <c r="L17">
        <v>18.922571000000001</v>
      </c>
      <c r="M17">
        <v>23.104175999999999</v>
      </c>
      <c r="N17">
        <v>27.733246000000001</v>
      </c>
      <c r="O17">
        <v>32.733550999999999</v>
      </c>
      <c r="P17">
        <v>37.850918</v>
      </c>
      <c r="Q17">
        <v>43.050800000000002</v>
      </c>
      <c r="R17">
        <v>48.288136000000002</v>
      </c>
      <c r="S17">
        <v>53.537936999999999</v>
      </c>
      <c r="T17">
        <v>58.725226999999997</v>
      </c>
      <c r="U17">
        <v>63.640675000000002</v>
      </c>
      <c r="V17">
        <v>68.471671999999998</v>
      </c>
      <c r="W17">
        <v>73.244918999999996</v>
      </c>
      <c r="X17">
        <v>77.821265999999994</v>
      </c>
      <c r="Y17">
        <v>82.422424000000007</v>
      </c>
      <c r="Z17">
        <v>87.153137000000001</v>
      </c>
      <c r="AA17">
        <v>91.386086000000006</v>
      </c>
      <c r="AB17">
        <v>95.450896999999998</v>
      </c>
      <c r="AC17">
        <v>99.383910999999998</v>
      </c>
      <c r="AD17">
        <v>102.97137499999999</v>
      </c>
      <c r="AE17">
        <v>106.467735</v>
      </c>
      <c r="AF17">
        <v>109.896156</v>
      </c>
      <c r="AG17">
        <v>113.098938</v>
      </c>
      <c r="AH17">
        <v>116.143822</v>
      </c>
      <c r="AI17">
        <v>119.041374</v>
      </c>
      <c r="AJ17" s="31">
        <v>0.112</v>
      </c>
    </row>
    <row r="18" spans="1:36">
      <c r="A18" s="150" t="s">
        <v>114</v>
      </c>
      <c r="B18" t="s">
        <v>363</v>
      </c>
      <c r="C18" t="s">
        <v>1390</v>
      </c>
      <c r="D18" t="s">
        <v>1389</v>
      </c>
      <c r="E18" t="s">
        <v>354</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117</v>
      </c>
    </row>
    <row r="19" spans="1:36">
      <c r="A19" s="150" t="s">
        <v>113</v>
      </c>
      <c r="B19" t="s">
        <v>364</v>
      </c>
      <c r="C19" t="s">
        <v>1388</v>
      </c>
      <c r="D19" t="s">
        <v>1387</v>
      </c>
      <c r="E19" t="s">
        <v>354</v>
      </c>
      <c r="G19">
        <v>209.833496</v>
      </c>
      <c r="H19">
        <v>228.338776</v>
      </c>
      <c r="I19">
        <v>245.965225</v>
      </c>
      <c r="J19">
        <v>266.85601800000001</v>
      </c>
      <c r="K19">
        <v>286.55102499999998</v>
      </c>
      <c r="L19">
        <v>306.89453099999997</v>
      </c>
      <c r="M19">
        <v>327.11193800000001</v>
      </c>
      <c r="N19">
        <v>346.66967799999998</v>
      </c>
      <c r="O19">
        <v>365.936646</v>
      </c>
      <c r="P19">
        <v>385.50097699999998</v>
      </c>
      <c r="Q19">
        <v>405.40731799999998</v>
      </c>
      <c r="R19">
        <v>426.28775000000002</v>
      </c>
      <c r="S19">
        <v>447.70266700000002</v>
      </c>
      <c r="T19">
        <v>469.77459700000003</v>
      </c>
      <c r="U19">
        <v>491.21402</v>
      </c>
      <c r="V19">
        <v>511.44317599999999</v>
      </c>
      <c r="W19">
        <v>531.99804700000004</v>
      </c>
      <c r="X19">
        <v>553.30676300000005</v>
      </c>
      <c r="Y19">
        <v>577.32836899999995</v>
      </c>
      <c r="Z19">
        <v>596.527649</v>
      </c>
      <c r="AA19">
        <v>613.70355199999995</v>
      </c>
      <c r="AB19">
        <v>631.23663299999998</v>
      </c>
      <c r="AC19">
        <v>646.83551</v>
      </c>
      <c r="AD19">
        <v>660.94189500000005</v>
      </c>
      <c r="AE19">
        <v>675.99029499999995</v>
      </c>
      <c r="AF19">
        <v>690.79431199999999</v>
      </c>
      <c r="AG19">
        <v>705.40673800000002</v>
      </c>
      <c r="AH19">
        <v>719.49920699999996</v>
      </c>
      <c r="AI19">
        <v>733.77801499999998</v>
      </c>
      <c r="AJ19" s="31">
        <v>4.5999999999999999E-2</v>
      </c>
    </row>
    <row r="20" spans="1:36">
      <c r="A20" s="150" t="s">
        <v>112</v>
      </c>
      <c r="B20" t="s">
        <v>365</v>
      </c>
      <c r="C20" t="s">
        <v>1386</v>
      </c>
      <c r="D20" t="s">
        <v>1385</v>
      </c>
      <c r="E20" t="s">
        <v>354</v>
      </c>
      <c r="G20">
        <v>0.58125800000000005</v>
      </c>
      <c r="H20">
        <v>0.55293000000000003</v>
      </c>
      <c r="I20">
        <v>0.522262</v>
      </c>
      <c r="J20">
        <v>0.50306200000000001</v>
      </c>
      <c r="K20">
        <v>0.49136999999999997</v>
      </c>
      <c r="L20">
        <v>0.47296300000000002</v>
      </c>
      <c r="M20">
        <v>0.458756</v>
      </c>
      <c r="N20">
        <v>0.44370399999999999</v>
      </c>
      <c r="O20">
        <v>0.41602299999999998</v>
      </c>
      <c r="P20">
        <v>0.41054499999999999</v>
      </c>
      <c r="Q20">
        <v>0.40226200000000001</v>
      </c>
      <c r="R20">
        <v>0.39532400000000001</v>
      </c>
      <c r="S20">
        <v>0.39130100000000001</v>
      </c>
      <c r="T20">
        <v>0.387988</v>
      </c>
      <c r="U20">
        <v>0.38274900000000001</v>
      </c>
      <c r="V20">
        <v>0.37865199999999999</v>
      </c>
      <c r="W20">
        <v>0.37882300000000002</v>
      </c>
      <c r="X20">
        <v>0.329403</v>
      </c>
      <c r="Y20">
        <v>0.28563499999999997</v>
      </c>
      <c r="Z20">
        <v>0.28941899999999998</v>
      </c>
      <c r="AA20">
        <v>0.29228799999999999</v>
      </c>
      <c r="AB20">
        <v>0.29439799999999999</v>
      </c>
      <c r="AC20">
        <v>0.296296</v>
      </c>
      <c r="AD20">
        <v>0.29805100000000001</v>
      </c>
      <c r="AE20">
        <v>0.30154199999999998</v>
      </c>
      <c r="AF20">
        <v>0.30554599999999998</v>
      </c>
      <c r="AG20">
        <v>0.31022100000000002</v>
      </c>
      <c r="AH20">
        <v>0.31501099999999999</v>
      </c>
      <c r="AI20">
        <v>0.32041199999999997</v>
      </c>
      <c r="AJ20" s="31">
        <v>-2.1000000000000001E-2</v>
      </c>
    </row>
    <row r="21" spans="1:36">
      <c r="A21" s="150" t="s">
        <v>112</v>
      </c>
      <c r="B21" t="s">
        <v>366</v>
      </c>
      <c r="C21" t="s">
        <v>1384</v>
      </c>
      <c r="D21" t="s">
        <v>1383</v>
      </c>
      <c r="E21" t="s">
        <v>354</v>
      </c>
      <c r="G21">
        <v>0.191884</v>
      </c>
      <c r="H21">
        <v>0.18212700000000001</v>
      </c>
      <c r="I21">
        <v>2.4032000000000001E-2</v>
      </c>
      <c r="J21">
        <v>1.9266999999999999E-2</v>
      </c>
      <c r="K21">
        <v>2.4889000000000001E-2</v>
      </c>
      <c r="L21">
        <v>3.0671E-2</v>
      </c>
      <c r="M21">
        <v>3.6105999999999999E-2</v>
      </c>
      <c r="N21">
        <v>4.1263000000000001E-2</v>
      </c>
      <c r="O21">
        <v>4.5994E-2</v>
      </c>
      <c r="P21">
        <v>5.0478000000000002E-2</v>
      </c>
      <c r="Q21">
        <v>5.4581999999999999E-2</v>
      </c>
      <c r="R21">
        <v>5.8342999999999999E-2</v>
      </c>
      <c r="S21">
        <v>6.1862E-2</v>
      </c>
      <c r="T21">
        <v>6.5024999999999999E-2</v>
      </c>
      <c r="U21">
        <v>6.7827999999999999E-2</v>
      </c>
      <c r="V21">
        <v>7.0328000000000002E-2</v>
      </c>
      <c r="W21">
        <v>7.2520000000000001E-2</v>
      </c>
      <c r="X21">
        <v>7.4398000000000006E-2</v>
      </c>
      <c r="Y21">
        <v>7.6047000000000003E-2</v>
      </c>
      <c r="Z21">
        <v>7.7497999999999997E-2</v>
      </c>
      <c r="AA21">
        <v>7.8826999999999994E-2</v>
      </c>
      <c r="AB21">
        <v>7.9999000000000001E-2</v>
      </c>
      <c r="AC21">
        <v>8.1156000000000006E-2</v>
      </c>
      <c r="AD21">
        <v>8.2352999999999996E-2</v>
      </c>
      <c r="AE21">
        <v>8.3990999999999996E-2</v>
      </c>
      <c r="AF21">
        <v>8.5869000000000001E-2</v>
      </c>
      <c r="AG21">
        <v>8.795E-2</v>
      </c>
      <c r="AH21">
        <v>9.0121999999999994E-2</v>
      </c>
      <c r="AI21">
        <v>9.2545000000000002E-2</v>
      </c>
      <c r="AJ21" s="31">
        <v>-2.5999999999999999E-2</v>
      </c>
    </row>
    <row r="22" spans="1:36">
      <c r="A22" s="150" t="s">
        <v>257</v>
      </c>
      <c r="B22" t="s">
        <v>367</v>
      </c>
      <c r="C22" t="s">
        <v>1382</v>
      </c>
      <c r="D22" t="s">
        <v>1381</v>
      </c>
      <c r="E22" t="s">
        <v>354</v>
      </c>
      <c r="G22">
        <v>0.53345399999999998</v>
      </c>
      <c r="H22">
        <v>0.50546199999999997</v>
      </c>
      <c r="I22">
        <v>0.489564</v>
      </c>
      <c r="J22">
        <v>0.49110399999999998</v>
      </c>
      <c r="K22">
        <v>0.49860599999999999</v>
      </c>
      <c r="L22">
        <v>0.518397</v>
      </c>
      <c r="M22">
        <v>0.27096700000000001</v>
      </c>
      <c r="N22">
        <v>0.32500499999999999</v>
      </c>
      <c r="O22">
        <v>0.378384</v>
      </c>
      <c r="P22">
        <v>0.43147200000000002</v>
      </c>
      <c r="Q22">
        <v>0.48315799999999998</v>
      </c>
      <c r="R22">
        <v>0.53337800000000002</v>
      </c>
      <c r="S22">
        <v>0.58300099999999999</v>
      </c>
      <c r="T22">
        <v>0.63061999999999996</v>
      </c>
      <c r="U22">
        <v>0.67632899999999996</v>
      </c>
      <c r="V22">
        <v>0.72071700000000005</v>
      </c>
      <c r="W22">
        <v>0.76343099999999997</v>
      </c>
      <c r="X22">
        <v>0.80459199999999997</v>
      </c>
      <c r="Y22">
        <v>0.844414</v>
      </c>
      <c r="Z22">
        <v>0.88336099999999995</v>
      </c>
      <c r="AA22">
        <v>0.92217800000000005</v>
      </c>
      <c r="AB22">
        <v>0.96006999999999998</v>
      </c>
      <c r="AC22">
        <v>0.99882400000000005</v>
      </c>
      <c r="AD22">
        <v>1.039229</v>
      </c>
      <c r="AE22">
        <v>1.0872189999999999</v>
      </c>
      <c r="AF22">
        <v>1.1407830000000001</v>
      </c>
      <c r="AG22">
        <v>1.199417</v>
      </c>
      <c r="AH22">
        <v>1.261919</v>
      </c>
      <c r="AI22">
        <v>1.3307739999999999</v>
      </c>
      <c r="AJ22" s="31">
        <v>3.3000000000000002E-2</v>
      </c>
    </row>
    <row r="23" spans="1:36">
      <c r="A23" s="150" t="s">
        <v>257</v>
      </c>
      <c r="B23" t="s">
        <v>368</v>
      </c>
      <c r="C23" t="s">
        <v>1380</v>
      </c>
      <c r="D23" t="s">
        <v>1379</v>
      </c>
      <c r="E23" t="s">
        <v>354</v>
      </c>
      <c r="G23">
        <v>0.57876700000000003</v>
      </c>
      <c r="H23">
        <v>0.52654500000000004</v>
      </c>
      <c r="I23">
        <v>0.12574299999999999</v>
      </c>
      <c r="J23">
        <v>0.110143</v>
      </c>
      <c r="K23">
        <v>9.8672999999999997E-2</v>
      </c>
      <c r="L23">
        <v>9.1381000000000004E-2</v>
      </c>
      <c r="M23">
        <v>8.7221999999999994E-2</v>
      </c>
      <c r="N23">
        <v>1.0904E-2</v>
      </c>
      <c r="O23">
        <v>1.2193000000000001E-2</v>
      </c>
      <c r="P23">
        <v>1.3408E-2</v>
      </c>
      <c r="Q23">
        <v>1.4499E-2</v>
      </c>
      <c r="R23">
        <v>1.5486E-2</v>
      </c>
      <c r="S23">
        <v>1.6386999999999999E-2</v>
      </c>
      <c r="T23">
        <v>1.7177000000000001E-2</v>
      </c>
      <c r="U23">
        <v>1.7850000000000001E-2</v>
      </c>
      <c r="V23">
        <v>1.8429999999999998E-2</v>
      </c>
      <c r="W23">
        <v>1.8912000000000002E-2</v>
      </c>
      <c r="X23">
        <v>1.9300999999999999E-2</v>
      </c>
      <c r="Y23">
        <v>1.9611E-2</v>
      </c>
      <c r="Z23">
        <v>1.9855999999999999E-2</v>
      </c>
      <c r="AA23">
        <v>2.0057999999999999E-2</v>
      </c>
      <c r="AB23">
        <v>2.0209999999999999E-2</v>
      </c>
      <c r="AC23">
        <v>2.0346E-2</v>
      </c>
      <c r="AD23">
        <v>2.0489E-2</v>
      </c>
      <c r="AE23">
        <v>2.078E-2</v>
      </c>
      <c r="AF23">
        <v>2.1122999999999999E-2</v>
      </c>
      <c r="AG23">
        <v>2.1517999999999999E-2</v>
      </c>
      <c r="AH23">
        <v>2.1944000000000002E-2</v>
      </c>
      <c r="AI23">
        <v>2.2431E-2</v>
      </c>
      <c r="AJ23" s="31">
        <v>-0.11</v>
      </c>
    </row>
    <row r="24" spans="1:36">
      <c r="A24" s="150" t="s">
        <v>258</v>
      </c>
      <c r="B24" t="s">
        <v>369</v>
      </c>
      <c r="C24" t="s">
        <v>1378</v>
      </c>
      <c r="D24" t="s">
        <v>1377</v>
      </c>
      <c r="E24" t="s">
        <v>354</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117</v>
      </c>
    </row>
    <row r="25" spans="1:36">
      <c r="A25" s="150" t="s">
        <v>258</v>
      </c>
      <c r="B25" t="s">
        <v>370</v>
      </c>
      <c r="C25" t="s">
        <v>1376</v>
      </c>
      <c r="D25" t="s">
        <v>1375</v>
      </c>
      <c r="E25" t="s">
        <v>354</v>
      </c>
      <c r="G25">
        <v>0.42613899999999999</v>
      </c>
      <c r="H25">
        <v>0.51818299999999995</v>
      </c>
      <c r="I25">
        <v>0.59576700000000005</v>
      </c>
      <c r="J25">
        <v>0.66511799999999999</v>
      </c>
      <c r="K25">
        <v>0.73787199999999997</v>
      </c>
      <c r="L25">
        <v>0.80678000000000005</v>
      </c>
      <c r="M25">
        <v>0.87969699999999995</v>
      </c>
      <c r="N25">
        <v>0.94835800000000003</v>
      </c>
      <c r="O25">
        <v>1.020553</v>
      </c>
      <c r="P25">
        <v>1.0934459999999999</v>
      </c>
      <c r="Q25">
        <v>1.1656569999999999</v>
      </c>
      <c r="R25">
        <v>1.2371049999999999</v>
      </c>
      <c r="S25">
        <v>1.3096950000000001</v>
      </c>
      <c r="T25">
        <v>1.3809180000000001</v>
      </c>
      <c r="U25">
        <v>1.4474880000000001</v>
      </c>
      <c r="V25">
        <v>1.512507</v>
      </c>
      <c r="W25">
        <v>1.570883</v>
      </c>
      <c r="X25">
        <v>1.623062</v>
      </c>
      <c r="Y25">
        <v>1.665691</v>
      </c>
      <c r="Z25">
        <v>1.699897</v>
      </c>
      <c r="AA25">
        <v>1.7316929999999999</v>
      </c>
      <c r="AB25">
        <v>1.7536229999999999</v>
      </c>
      <c r="AC25">
        <v>1.769871</v>
      </c>
      <c r="AD25">
        <v>1.7791170000000001</v>
      </c>
      <c r="AE25">
        <v>1.7894969999999999</v>
      </c>
      <c r="AF25">
        <v>1.8001499999999999</v>
      </c>
      <c r="AG25">
        <v>1.8077129999999999</v>
      </c>
      <c r="AH25">
        <v>1.8132870000000001</v>
      </c>
      <c r="AI25">
        <v>1.8167770000000001</v>
      </c>
      <c r="AJ25" s="31">
        <v>5.2999999999999999E-2</v>
      </c>
    </row>
    <row r="26" spans="1:36">
      <c r="A26" s="23"/>
      <c r="B26" t="s">
        <v>1374</v>
      </c>
      <c r="C26" t="s">
        <v>1373</v>
      </c>
      <c r="D26" t="s">
        <v>1372</v>
      </c>
      <c r="E26" t="s">
        <v>354</v>
      </c>
      <c r="G26">
        <v>1598.6708980000001</v>
      </c>
      <c r="H26">
        <v>1612.3092039999999</v>
      </c>
      <c r="I26">
        <v>1604.357788</v>
      </c>
      <c r="J26">
        <v>1592.5253909999999</v>
      </c>
      <c r="K26">
        <v>1583.928101</v>
      </c>
      <c r="L26">
        <v>1581.643433</v>
      </c>
      <c r="M26">
        <v>1579.747192</v>
      </c>
      <c r="N26">
        <v>1580.2947999999999</v>
      </c>
      <c r="O26">
        <v>1583.8082280000001</v>
      </c>
      <c r="P26">
        <v>1586.476318</v>
      </c>
      <c r="Q26">
        <v>1594.1906739999999</v>
      </c>
      <c r="R26">
        <v>1608.392822</v>
      </c>
      <c r="S26">
        <v>1628.7326660000001</v>
      </c>
      <c r="T26">
        <v>1652.765991</v>
      </c>
      <c r="U26">
        <v>1678.602783</v>
      </c>
      <c r="V26">
        <v>1707.6877440000001</v>
      </c>
      <c r="W26">
        <v>1741.0523679999999</v>
      </c>
      <c r="X26">
        <v>1778.1136469999999</v>
      </c>
      <c r="Y26">
        <v>1820.263672</v>
      </c>
      <c r="Z26">
        <v>1857.8845209999999</v>
      </c>
      <c r="AA26">
        <v>1893.9573969999999</v>
      </c>
      <c r="AB26">
        <v>1929.9140620000001</v>
      </c>
      <c r="AC26">
        <v>1964.151001</v>
      </c>
      <c r="AD26">
        <v>1995.1685789999999</v>
      </c>
      <c r="AE26">
        <v>2028.2669679999999</v>
      </c>
      <c r="AF26">
        <v>2061.0588379999999</v>
      </c>
      <c r="AG26">
        <v>2093.4746089999999</v>
      </c>
      <c r="AH26">
        <v>2124.7595209999999</v>
      </c>
      <c r="AI26">
        <v>2157.0095209999999</v>
      </c>
      <c r="AJ26" s="31">
        <v>1.0999999999999999E-2</v>
      </c>
    </row>
    <row r="27" spans="1:36">
      <c r="A27" s="23"/>
      <c r="B27" t="s">
        <v>193</v>
      </c>
      <c r="C27" t="s">
        <v>1371</v>
      </c>
      <c r="D27" t="s">
        <v>1370</v>
      </c>
      <c r="E27" t="s">
        <v>354</v>
      </c>
      <c r="G27">
        <v>14541.197265999999</v>
      </c>
      <c r="H27">
        <v>14585.210938</v>
      </c>
      <c r="I27">
        <v>14428.638671999999</v>
      </c>
      <c r="J27">
        <v>14200.720703000001</v>
      </c>
      <c r="K27">
        <v>14015.546875</v>
      </c>
      <c r="L27">
        <v>13859.255859000001</v>
      </c>
      <c r="M27">
        <v>13677.430664</v>
      </c>
      <c r="N27">
        <v>13472.025390999999</v>
      </c>
      <c r="O27">
        <v>13251.125977</v>
      </c>
      <c r="P27">
        <v>13041.973633</v>
      </c>
      <c r="Q27">
        <v>12834.713867</v>
      </c>
      <c r="R27">
        <v>12671.619140999999</v>
      </c>
      <c r="S27">
        <v>12532.083008</v>
      </c>
      <c r="T27">
        <v>12391.928711</v>
      </c>
      <c r="U27">
        <v>12248.639648</v>
      </c>
      <c r="V27">
        <v>12127.742188</v>
      </c>
      <c r="W27">
        <v>12025.159180000001</v>
      </c>
      <c r="X27">
        <v>11930.486328000001</v>
      </c>
      <c r="Y27">
        <v>11860.384765999999</v>
      </c>
      <c r="Z27">
        <v>11801.599609000001</v>
      </c>
      <c r="AA27">
        <v>11758.768555000001</v>
      </c>
      <c r="AB27">
        <v>11729.500977</v>
      </c>
      <c r="AC27">
        <v>11721.071289</v>
      </c>
      <c r="AD27">
        <v>11731.28125</v>
      </c>
      <c r="AE27">
        <v>11766.070312</v>
      </c>
      <c r="AF27">
        <v>11819.46875</v>
      </c>
      <c r="AG27">
        <v>11884.640625</v>
      </c>
      <c r="AH27">
        <v>11957.642578000001</v>
      </c>
      <c r="AI27">
        <v>12048.991211</v>
      </c>
      <c r="AJ27" s="31">
        <v>-7.0000000000000001E-3</v>
      </c>
    </row>
    <row r="28" spans="1:36">
      <c r="A28" s="23"/>
      <c r="B28" t="s">
        <v>1369</v>
      </c>
    </row>
    <row r="29" spans="1:36">
      <c r="A29" s="23"/>
      <c r="B29" t="s">
        <v>313</v>
      </c>
      <c r="C29" t="s">
        <v>1188</v>
      </c>
      <c r="D29" t="s">
        <v>1368</v>
      </c>
      <c r="E29" t="s">
        <v>354</v>
      </c>
      <c r="G29">
        <v>14415.272461</v>
      </c>
      <c r="H29">
        <v>14443.935546999999</v>
      </c>
      <c r="I29">
        <v>14272.423828000001</v>
      </c>
      <c r="J29">
        <v>14024.321289</v>
      </c>
      <c r="K29">
        <v>13815.495117</v>
      </c>
      <c r="L29">
        <v>13632.25</v>
      </c>
      <c r="M29">
        <v>13419.692383</v>
      </c>
      <c r="N29">
        <v>13179.959961</v>
      </c>
      <c r="O29">
        <v>12922.150390999999</v>
      </c>
      <c r="P29">
        <v>12678.574219</v>
      </c>
      <c r="Q29">
        <v>12437.037109000001</v>
      </c>
      <c r="R29">
        <v>12238.958984000001</v>
      </c>
      <c r="S29">
        <v>12063.409180000001</v>
      </c>
      <c r="T29">
        <v>11887.983398</v>
      </c>
      <c r="U29">
        <v>11710.702148</v>
      </c>
      <c r="V29">
        <v>11556.080078000001</v>
      </c>
      <c r="W29">
        <v>11421.212890999999</v>
      </c>
      <c r="X29">
        <v>11295.928711</v>
      </c>
      <c r="Y29">
        <v>11196.765625</v>
      </c>
      <c r="Z29">
        <v>11110.766602</v>
      </c>
      <c r="AA29">
        <v>11042.224609000001</v>
      </c>
      <c r="AB29">
        <v>10988.434569999999</v>
      </c>
      <c r="AC29">
        <v>10958.347656</v>
      </c>
      <c r="AD29">
        <v>10949.109375</v>
      </c>
      <c r="AE29">
        <v>10963.973633</v>
      </c>
      <c r="AF29">
        <v>10998.306640999999</v>
      </c>
      <c r="AG29">
        <v>11045.133789</v>
      </c>
      <c r="AH29">
        <v>11100.259765999999</v>
      </c>
      <c r="AI29">
        <v>11174.059569999999</v>
      </c>
      <c r="AJ29" s="31">
        <v>-8.9999999999999993E-3</v>
      </c>
    </row>
    <row r="30" spans="1:36">
      <c r="A30" s="23"/>
      <c r="B30" t="s">
        <v>306</v>
      </c>
      <c r="C30" t="s">
        <v>1192</v>
      </c>
      <c r="D30" t="s">
        <v>1367</v>
      </c>
      <c r="E30" t="s">
        <v>354</v>
      </c>
      <c r="G30">
        <v>61.460402999999999</v>
      </c>
      <c r="H30">
        <v>64.699020000000004</v>
      </c>
      <c r="I30">
        <v>67.503647000000001</v>
      </c>
      <c r="J30">
        <v>70.684073999999995</v>
      </c>
      <c r="K30">
        <v>74.503555000000006</v>
      </c>
      <c r="L30">
        <v>77.632530000000003</v>
      </c>
      <c r="M30">
        <v>81.324982000000006</v>
      </c>
      <c r="N30">
        <v>84.520767000000006</v>
      </c>
      <c r="O30">
        <v>86.959732000000002</v>
      </c>
      <c r="P30">
        <v>89.758049</v>
      </c>
      <c r="Q30">
        <v>91.490157999999994</v>
      </c>
      <c r="R30">
        <v>93.247542999999993</v>
      </c>
      <c r="S30">
        <v>95.158996999999999</v>
      </c>
      <c r="T30">
        <v>96.641707999999994</v>
      </c>
      <c r="U30">
        <v>98.053237999999993</v>
      </c>
      <c r="V30">
        <v>99.864699999999999</v>
      </c>
      <c r="W30">
        <v>101.36190000000001</v>
      </c>
      <c r="X30">
        <v>102.785622</v>
      </c>
      <c r="Y30">
        <v>104.47521999999999</v>
      </c>
      <c r="Z30">
        <v>105.749611</v>
      </c>
      <c r="AA30">
        <v>107.324608</v>
      </c>
      <c r="AB30">
        <v>109.779274</v>
      </c>
      <c r="AC30">
        <v>110.920013</v>
      </c>
      <c r="AD30">
        <v>111.97983600000001</v>
      </c>
      <c r="AE30">
        <v>113.441277</v>
      </c>
      <c r="AF30">
        <v>115.037064</v>
      </c>
      <c r="AG30">
        <v>116.75106</v>
      </c>
      <c r="AH30">
        <v>118.593468</v>
      </c>
      <c r="AI30">
        <v>120.69574</v>
      </c>
      <c r="AJ30" s="31">
        <v>2.4E-2</v>
      </c>
    </row>
    <row r="31" spans="1:36">
      <c r="A31" s="23"/>
      <c r="B31" t="s">
        <v>305</v>
      </c>
      <c r="C31" t="s">
        <v>1190</v>
      </c>
      <c r="D31" t="s">
        <v>1366</v>
      </c>
      <c r="E31" t="s">
        <v>354</v>
      </c>
      <c r="G31">
        <v>31.110834000000001</v>
      </c>
      <c r="H31">
        <v>31.640059999999998</v>
      </c>
      <c r="I31">
        <v>29.552766999999999</v>
      </c>
      <c r="J31">
        <v>29.441513</v>
      </c>
      <c r="K31">
        <v>28.728484999999999</v>
      </c>
      <c r="L31">
        <v>27.952176999999999</v>
      </c>
      <c r="M31">
        <v>27.018059000000001</v>
      </c>
      <c r="N31">
        <v>25.972712999999999</v>
      </c>
      <c r="O31">
        <v>24.873795000000001</v>
      </c>
      <c r="P31">
        <v>23.800640000000001</v>
      </c>
      <c r="Q31">
        <v>22.75461</v>
      </c>
      <c r="R31">
        <v>21.823027</v>
      </c>
      <c r="S31">
        <v>20.987984000000001</v>
      </c>
      <c r="T31">
        <v>20.244168999999999</v>
      </c>
      <c r="U31">
        <v>19.537762000000001</v>
      </c>
      <c r="V31">
        <v>19.024712000000001</v>
      </c>
      <c r="W31">
        <v>18.648620999999999</v>
      </c>
      <c r="X31">
        <v>18.398510000000002</v>
      </c>
      <c r="Y31">
        <v>18.275644</v>
      </c>
      <c r="Z31">
        <v>18.222812999999999</v>
      </c>
      <c r="AA31">
        <v>18.236134</v>
      </c>
      <c r="AB31">
        <v>18.340064999999999</v>
      </c>
      <c r="AC31">
        <v>18.452594999999999</v>
      </c>
      <c r="AD31">
        <v>18.609615000000002</v>
      </c>
      <c r="AE31">
        <v>18.756809000000001</v>
      </c>
      <c r="AF31">
        <v>19.004078</v>
      </c>
      <c r="AG31">
        <v>19.229309000000001</v>
      </c>
      <c r="AH31">
        <v>19.515996999999999</v>
      </c>
      <c r="AI31">
        <v>19.788425</v>
      </c>
      <c r="AJ31" s="31">
        <v>-1.6E-2</v>
      </c>
    </row>
    <row r="32" spans="1:36">
      <c r="A32" s="23"/>
      <c r="B32" t="s">
        <v>1365</v>
      </c>
      <c r="C32" t="s">
        <v>1194</v>
      </c>
      <c r="D32" t="s">
        <v>1364</v>
      </c>
      <c r="E32" t="s">
        <v>354</v>
      </c>
      <c r="G32">
        <v>0.71288799999999997</v>
      </c>
      <c r="H32">
        <v>0.67766800000000005</v>
      </c>
      <c r="I32">
        <v>0.53775200000000001</v>
      </c>
      <c r="J32">
        <v>0.51500500000000005</v>
      </c>
      <c r="K32">
        <v>0.507019</v>
      </c>
      <c r="L32">
        <v>0.49244300000000002</v>
      </c>
      <c r="M32">
        <v>0.48183900000000002</v>
      </c>
      <c r="N32">
        <v>0.470472</v>
      </c>
      <c r="O32">
        <v>0.44594200000000001</v>
      </c>
      <c r="P32">
        <v>0.44344499999999998</v>
      </c>
      <c r="Q32">
        <v>0.43788300000000002</v>
      </c>
      <c r="R32">
        <v>0.43343399999999999</v>
      </c>
      <c r="S32">
        <v>0.43173299999999998</v>
      </c>
      <c r="T32">
        <v>0.43049900000000002</v>
      </c>
      <c r="U32">
        <v>0.42709599999999998</v>
      </c>
      <c r="V32">
        <v>0.42463099999999998</v>
      </c>
      <c r="W32">
        <v>0.42622700000000002</v>
      </c>
      <c r="X32">
        <v>0.37802400000000003</v>
      </c>
      <c r="Y32">
        <v>0.33532600000000001</v>
      </c>
      <c r="Z32">
        <v>0.34005299999999999</v>
      </c>
      <c r="AA32">
        <v>0.343781</v>
      </c>
      <c r="AB32">
        <v>0.34665600000000002</v>
      </c>
      <c r="AC32">
        <v>0.34931299999999998</v>
      </c>
      <c r="AD32">
        <v>0.35186400000000001</v>
      </c>
      <c r="AE32">
        <v>0.35644799999999999</v>
      </c>
      <c r="AF32">
        <v>0.36170999999999998</v>
      </c>
      <c r="AG32">
        <v>0.367786</v>
      </c>
      <c r="AH32">
        <v>0.37404300000000001</v>
      </c>
      <c r="AI32">
        <v>0.38108199999999998</v>
      </c>
      <c r="AJ32" s="31">
        <v>-2.1999999999999999E-2</v>
      </c>
    </row>
    <row r="33" spans="1:36">
      <c r="A33" s="23"/>
      <c r="B33" t="s">
        <v>308</v>
      </c>
      <c r="C33" t="s">
        <v>1196</v>
      </c>
      <c r="D33" t="s">
        <v>1363</v>
      </c>
      <c r="E33" t="s">
        <v>354</v>
      </c>
      <c r="G33">
        <v>0.79738799999999999</v>
      </c>
      <c r="H33">
        <v>0.735487</v>
      </c>
      <c r="I33">
        <v>0.54745600000000005</v>
      </c>
      <c r="J33">
        <v>0.54066800000000004</v>
      </c>
      <c r="K33">
        <v>0.54419300000000004</v>
      </c>
      <c r="L33">
        <v>0.56128199999999995</v>
      </c>
      <c r="M33">
        <v>0.31209199999999998</v>
      </c>
      <c r="N33">
        <v>0.33013999999999999</v>
      </c>
      <c r="O33">
        <v>0.384077</v>
      </c>
      <c r="P33">
        <v>0.43762600000000001</v>
      </c>
      <c r="Q33">
        <v>0.48971900000000002</v>
      </c>
      <c r="R33">
        <v>0.54025400000000001</v>
      </c>
      <c r="S33">
        <v>0.59017699999999995</v>
      </c>
      <c r="T33">
        <v>0.63807599999999998</v>
      </c>
      <c r="U33">
        <v>0.68416399999999999</v>
      </c>
      <c r="V33">
        <v>0.72875999999999996</v>
      </c>
      <c r="W33">
        <v>0.77158599999999999</v>
      </c>
      <c r="X33">
        <v>0.81298700000000002</v>
      </c>
      <c r="Y33">
        <v>0.85285</v>
      </c>
      <c r="Z33">
        <v>0.89180899999999996</v>
      </c>
      <c r="AA33">
        <v>0.93071300000000001</v>
      </c>
      <c r="AB33">
        <v>0.96862199999999998</v>
      </c>
      <c r="AC33">
        <v>1.007558</v>
      </c>
      <c r="AD33">
        <v>1.0480309999999999</v>
      </c>
      <c r="AE33">
        <v>1.0965309999999999</v>
      </c>
      <c r="AF33">
        <v>1.1502429999999999</v>
      </c>
      <c r="AG33">
        <v>1.2091620000000001</v>
      </c>
      <c r="AH33">
        <v>1.2718959999999999</v>
      </c>
      <c r="AI33">
        <v>1.341161</v>
      </c>
      <c r="AJ33" s="31">
        <v>1.9E-2</v>
      </c>
    </row>
    <row r="34" spans="1:36">
      <c r="A34" s="23"/>
      <c r="B34" t="s">
        <v>309</v>
      </c>
      <c r="C34" t="s">
        <v>1198</v>
      </c>
      <c r="D34" t="s">
        <v>1362</v>
      </c>
      <c r="E34" t="s">
        <v>354</v>
      </c>
      <c r="G34">
        <v>32.193668000000002</v>
      </c>
      <c r="H34">
        <v>43.907116000000002</v>
      </c>
      <c r="I34">
        <v>58.529483999999997</v>
      </c>
      <c r="J34">
        <v>75.757942</v>
      </c>
      <c r="K34">
        <v>96.391159000000002</v>
      </c>
      <c r="L34">
        <v>121.066132</v>
      </c>
      <c r="M34">
        <v>149.37681599999999</v>
      </c>
      <c r="N34">
        <v>181.62849399999999</v>
      </c>
      <c r="O34">
        <v>217.248322</v>
      </c>
      <c r="P34">
        <v>249.97737100000001</v>
      </c>
      <c r="Q34">
        <v>283.60272200000003</v>
      </c>
      <c r="R34">
        <v>317.79742399999998</v>
      </c>
      <c r="S34">
        <v>352.768036</v>
      </c>
      <c r="T34">
        <v>387.34478799999999</v>
      </c>
      <c r="U34">
        <v>420.69439699999998</v>
      </c>
      <c r="V34">
        <v>453.186218</v>
      </c>
      <c r="W34">
        <v>484.42330900000002</v>
      </c>
      <c r="X34">
        <v>513.99560499999995</v>
      </c>
      <c r="Y34">
        <v>541.63085899999999</v>
      </c>
      <c r="Z34">
        <v>567.72460899999999</v>
      </c>
      <c r="AA34">
        <v>591.95019500000001</v>
      </c>
      <c r="AB34">
        <v>614.02081299999998</v>
      </c>
      <c r="AC34">
        <v>634.53887899999995</v>
      </c>
      <c r="AD34">
        <v>652.89733899999999</v>
      </c>
      <c r="AE34">
        <v>671.348206</v>
      </c>
      <c r="AF34">
        <v>688.68969700000002</v>
      </c>
      <c r="AG34">
        <v>705.21575900000005</v>
      </c>
      <c r="AH34">
        <v>721.08111599999995</v>
      </c>
      <c r="AI34">
        <v>736.37286400000005</v>
      </c>
      <c r="AJ34" s="31">
        <v>0.11799999999999999</v>
      </c>
    </row>
    <row r="35" spans="1:36">
      <c r="A35" s="23"/>
      <c r="B35" t="s">
        <v>310</v>
      </c>
      <c r="C35" t="s">
        <v>1200</v>
      </c>
      <c r="D35" t="s">
        <v>1361</v>
      </c>
      <c r="E35" t="s">
        <v>354</v>
      </c>
      <c r="G35">
        <v>0.42613899999999999</v>
      </c>
      <c r="H35">
        <v>0.51818299999999995</v>
      </c>
      <c r="I35">
        <v>0.59576700000000005</v>
      </c>
      <c r="J35">
        <v>0.66511799999999999</v>
      </c>
      <c r="K35">
        <v>0.73787199999999997</v>
      </c>
      <c r="L35">
        <v>0.80678000000000005</v>
      </c>
      <c r="M35">
        <v>0.87969799999999998</v>
      </c>
      <c r="N35">
        <v>0.94835800000000003</v>
      </c>
      <c r="O35">
        <v>1.0205519999999999</v>
      </c>
      <c r="P35">
        <v>1.0934459999999999</v>
      </c>
      <c r="Q35">
        <v>1.1656569999999999</v>
      </c>
      <c r="R35">
        <v>1.2371049999999999</v>
      </c>
      <c r="S35">
        <v>1.3096950000000001</v>
      </c>
      <c r="T35">
        <v>1.3809180000000001</v>
      </c>
      <c r="U35">
        <v>1.4474880000000001</v>
      </c>
      <c r="V35">
        <v>1.512508</v>
      </c>
      <c r="W35">
        <v>1.570883</v>
      </c>
      <c r="X35">
        <v>1.623062</v>
      </c>
      <c r="Y35">
        <v>1.665691</v>
      </c>
      <c r="Z35">
        <v>1.699897</v>
      </c>
      <c r="AA35">
        <v>1.7316929999999999</v>
      </c>
      <c r="AB35">
        <v>1.7536229999999999</v>
      </c>
      <c r="AC35">
        <v>1.769871</v>
      </c>
      <c r="AD35">
        <v>1.7791170000000001</v>
      </c>
      <c r="AE35">
        <v>1.7894969999999999</v>
      </c>
      <c r="AF35">
        <v>1.800149</v>
      </c>
      <c r="AG35">
        <v>1.8077129999999999</v>
      </c>
      <c r="AH35">
        <v>1.8132870000000001</v>
      </c>
      <c r="AI35">
        <v>1.8167770000000001</v>
      </c>
      <c r="AJ35" s="31">
        <v>5.2999999999999999E-2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D3DF0-F6D4-4A4F-9DE0-8A9B6047465E}">
  <dimension ref="A1:AI4402"/>
  <sheetViews>
    <sheetView workbookViewId="0"/>
  </sheetViews>
  <sheetFormatPr defaultRowHeight="15"/>
  <cols>
    <col min="1" max="1" width="16.85546875" customWidth="1"/>
    <col min="2" max="2" width="23.7109375" bestFit="1" customWidth="1"/>
    <col min="3" max="3" width="45.7109375" customWidth="1"/>
  </cols>
  <sheetData>
    <row r="1" spans="1:35" ht="15.75" thickBot="1">
      <c r="A1" s="152"/>
      <c r="B1" s="152"/>
      <c r="C1" s="61" t="s">
        <v>1059</v>
      </c>
      <c r="D1" s="62">
        <v>2022</v>
      </c>
      <c r="E1" s="62">
        <v>2023</v>
      </c>
      <c r="F1" s="62">
        <v>2024</v>
      </c>
      <c r="G1" s="62">
        <v>2025</v>
      </c>
      <c r="H1" s="62">
        <v>2026</v>
      </c>
      <c r="I1" s="62">
        <v>2027</v>
      </c>
      <c r="J1" s="62">
        <v>2028</v>
      </c>
      <c r="K1" s="62">
        <v>2029</v>
      </c>
      <c r="L1" s="62">
        <v>2030</v>
      </c>
      <c r="M1" s="62">
        <v>2031</v>
      </c>
      <c r="N1" s="62">
        <v>2032</v>
      </c>
      <c r="O1" s="62">
        <v>2033</v>
      </c>
      <c r="P1" s="62">
        <v>2034</v>
      </c>
      <c r="Q1" s="62">
        <v>2035</v>
      </c>
      <c r="R1" s="62">
        <v>2036</v>
      </c>
      <c r="S1" s="62">
        <v>2037</v>
      </c>
      <c r="T1" s="62">
        <v>2038</v>
      </c>
      <c r="U1" s="62">
        <v>2039</v>
      </c>
      <c r="V1" s="62">
        <v>2040</v>
      </c>
      <c r="W1" s="62">
        <v>2041</v>
      </c>
      <c r="X1" s="62">
        <v>2042</v>
      </c>
      <c r="Y1" s="62">
        <v>2043</v>
      </c>
      <c r="Z1" s="62">
        <v>2044</v>
      </c>
      <c r="AA1" s="62">
        <v>2045</v>
      </c>
      <c r="AB1" s="62">
        <v>2046</v>
      </c>
      <c r="AC1" s="62">
        <v>2047</v>
      </c>
      <c r="AD1" s="62">
        <v>2048</v>
      </c>
      <c r="AE1" s="62">
        <v>2049</v>
      </c>
      <c r="AF1" s="62">
        <v>2050</v>
      </c>
      <c r="AH1" s="153">
        <v>2050</v>
      </c>
      <c r="AI1" s="152"/>
    </row>
    <row r="2" spans="1:35" ht="15.75" thickTop="1">
      <c r="A2" s="152"/>
      <c r="B2" s="152"/>
      <c r="AH2" s="152"/>
      <c r="AI2" s="152"/>
    </row>
    <row r="3" spans="1:35">
      <c r="A3" s="152"/>
      <c r="B3" s="152"/>
      <c r="D3" s="63" t="s">
        <v>109</v>
      </c>
      <c r="E3" s="63" t="s">
        <v>1060</v>
      </c>
      <c r="F3" s="133"/>
      <c r="G3" s="133"/>
      <c r="H3" s="133"/>
      <c r="AH3" s="152"/>
      <c r="AI3" s="152"/>
    </row>
    <row r="4" spans="1:35">
      <c r="A4" s="152"/>
      <c r="B4" s="152"/>
      <c r="D4" s="63" t="s">
        <v>108</v>
      </c>
      <c r="E4" s="63" t="s">
        <v>1061</v>
      </c>
      <c r="F4" s="133"/>
      <c r="G4" s="133"/>
      <c r="H4" s="63" t="s">
        <v>1062</v>
      </c>
      <c r="AH4" s="152"/>
      <c r="AI4" s="152"/>
    </row>
    <row r="5" spans="1:35">
      <c r="A5" s="152"/>
      <c r="B5" s="152"/>
      <c r="D5" s="63" t="s">
        <v>107</v>
      </c>
      <c r="E5" s="63" t="s">
        <v>1063</v>
      </c>
      <c r="F5" s="133"/>
      <c r="G5" s="133"/>
      <c r="H5" s="133"/>
      <c r="AH5" s="152"/>
      <c r="AI5" s="152"/>
    </row>
    <row r="6" spans="1:35">
      <c r="A6" s="152"/>
      <c r="B6" s="152"/>
      <c r="D6" s="63" t="s">
        <v>106</v>
      </c>
      <c r="E6" s="133"/>
      <c r="F6" s="63" t="s">
        <v>1064</v>
      </c>
      <c r="G6" s="133"/>
      <c r="H6" s="133"/>
      <c r="AH6" s="152"/>
      <c r="AI6" s="152"/>
    </row>
    <row r="7" spans="1:35">
      <c r="A7" s="152"/>
      <c r="B7" s="152"/>
      <c r="AH7" s="152"/>
      <c r="AI7" s="152"/>
    </row>
    <row r="8" spans="1:35">
      <c r="A8" s="152"/>
      <c r="B8" s="152"/>
      <c r="AH8" s="152"/>
      <c r="AI8" s="152"/>
    </row>
    <row r="9" spans="1:35">
      <c r="A9" s="152"/>
      <c r="B9" s="152"/>
      <c r="AH9" s="152"/>
      <c r="AI9" s="152"/>
    </row>
    <row r="10" spans="1:35" ht="15.75">
      <c r="A10" s="154" t="s">
        <v>545</v>
      </c>
      <c r="B10" s="154"/>
      <c r="C10" s="135" t="s">
        <v>546</v>
      </c>
      <c r="D10" s="134"/>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6" t="s">
        <v>1066</v>
      </c>
      <c r="AH10" s="152"/>
      <c r="AI10" s="60" t="s">
        <v>529</v>
      </c>
    </row>
    <row r="11" spans="1:35">
      <c r="A11" s="152"/>
      <c r="B11" s="152"/>
      <c r="C11" s="137" t="s">
        <v>547</v>
      </c>
      <c r="D11" s="134"/>
      <c r="E11" s="134"/>
      <c r="F11" s="134"/>
      <c r="G11" s="134"/>
      <c r="H11" s="134"/>
      <c r="I11" s="134"/>
      <c r="J11" s="134"/>
      <c r="K11" s="134"/>
      <c r="L11" s="134"/>
      <c r="M11" s="134"/>
      <c r="N11" s="134"/>
      <c r="O11" s="134"/>
      <c r="P11" s="134"/>
      <c r="Q11" s="134"/>
      <c r="R11" s="134"/>
      <c r="S11" s="134"/>
      <c r="T11" s="134"/>
      <c r="U11" s="134"/>
      <c r="V11" s="134"/>
      <c r="W11" s="134"/>
      <c r="X11" s="134"/>
      <c r="Y11" s="134"/>
      <c r="Z11" s="134"/>
      <c r="AA11" s="134"/>
      <c r="AB11" s="134"/>
      <c r="AC11" s="134"/>
      <c r="AD11" s="134"/>
      <c r="AE11" s="134"/>
      <c r="AF11" s="134"/>
      <c r="AG11" s="136" t="s">
        <v>1067</v>
      </c>
      <c r="AH11" s="152"/>
      <c r="AI11" s="60" t="s">
        <v>530</v>
      </c>
    </row>
    <row r="12" spans="1:35">
      <c r="A12" s="152"/>
      <c r="B12" s="152"/>
      <c r="C12" s="137"/>
      <c r="D12" s="138"/>
      <c r="E12" s="138"/>
      <c r="F12" s="138"/>
      <c r="G12" s="138"/>
      <c r="H12" s="138"/>
      <c r="I12" s="138"/>
      <c r="J12" s="138"/>
      <c r="K12" s="138"/>
      <c r="L12" s="138"/>
      <c r="M12" s="138"/>
      <c r="N12" s="138"/>
      <c r="O12" s="138"/>
      <c r="P12" s="138"/>
      <c r="Q12" s="138"/>
      <c r="R12" s="138"/>
      <c r="S12" s="138"/>
      <c r="T12" s="138"/>
      <c r="U12" s="138"/>
      <c r="V12" s="138"/>
      <c r="W12" s="138"/>
      <c r="X12" s="138"/>
      <c r="Y12" s="138"/>
      <c r="Z12" s="138"/>
      <c r="AA12" s="138"/>
      <c r="AB12" s="138"/>
      <c r="AC12" s="138"/>
      <c r="AD12" s="138"/>
      <c r="AE12" s="138"/>
      <c r="AF12" s="138"/>
      <c r="AG12" s="136" t="s">
        <v>1068</v>
      </c>
      <c r="AH12" s="59"/>
      <c r="AI12" s="60" t="s">
        <v>531</v>
      </c>
    </row>
    <row r="13" spans="1:35" ht="15.75" thickBot="1">
      <c r="A13" s="152"/>
      <c r="B13" s="152"/>
      <c r="C13" s="139" t="s">
        <v>548</v>
      </c>
      <c r="D13" s="139">
        <v>2022</v>
      </c>
      <c r="E13" s="139">
        <v>2023</v>
      </c>
      <c r="F13" s="139">
        <v>2024</v>
      </c>
      <c r="G13" s="139">
        <v>2025</v>
      </c>
      <c r="H13" s="139">
        <v>2026</v>
      </c>
      <c r="I13" s="139">
        <v>2027</v>
      </c>
      <c r="J13" s="139">
        <v>2028</v>
      </c>
      <c r="K13" s="139">
        <v>2029</v>
      </c>
      <c r="L13" s="139">
        <v>2030</v>
      </c>
      <c r="M13" s="139">
        <v>2031</v>
      </c>
      <c r="N13" s="139">
        <v>2032</v>
      </c>
      <c r="O13" s="139">
        <v>2033</v>
      </c>
      <c r="P13" s="139">
        <v>2034</v>
      </c>
      <c r="Q13" s="139">
        <v>2035</v>
      </c>
      <c r="R13" s="139">
        <v>2036</v>
      </c>
      <c r="S13" s="139">
        <v>2037</v>
      </c>
      <c r="T13" s="139">
        <v>2038</v>
      </c>
      <c r="U13" s="139">
        <v>2039</v>
      </c>
      <c r="V13" s="139">
        <v>2040</v>
      </c>
      <c r="W13" s="139">
        <v>2041</v>
      </c>
      <c r="X13" s="139">
        <v>2042</v>
      </c>
      <c r="Y13" s="139">
        <v>2043</v>
      </c>
      <c r="Z13" s="139">
        <v>2044</v>
      </c>
      <c r="AA13" s="139">
        <v>2045</v>
      </c>
      <c r="AB13" s="139">
        <v>2046</v>
      </c>
      <c r="AC13" s="139">
        <v>2047</v>
      </c>
      <c r="AD13" s="139">
        <v>2048</v>
      </c>
      <c r="AE13" s="139">
        <v>2049</v>
      </c>
      <c r="AF13" s="139">
        <v>2050</v>
      </c>
      <c r="AG13" s="140">
        <v>2050</v>
      </c>
      <c r="AH13" s="153">
        <v>2050</v>
      </c>
      <c r="AI13" s="155" t="s">
        <v>532</v>
      </c>
    </row>
    <row r="14" spans="1:35" ht="15.75" thickTop="1">
      <c r="A14" s="152"/>
      <c r="B14" s="152"/>
      <c r="C14" s="141" t="s">
        <v>549</v>
      </c>
      <c r="D14" s="134"/>
      <c r="E14" s="134"/>
      <c r="F14" s="134"/>
      <c r="G14" s="134"/>
      <c r="H14" s="134"/>
      <c r="I14" s="134"/>
      <c r="J14" s="134"/>
      <c r="K14" s="134"/>
      <c r="L14" s="134"/>
      <c r="M14" s="134"/>
      <c r="N14" s="134"/>
      <c r="O14" s="134"/>
      <c r="P14" s="134"/>
      <c r="Q14" s="134"/>
      <c r="R14" s="134"/>
      <c r="S14" s="134"/>
      <c r="T14" s="134"/>
      <c r="U14" s="134"/>
      <c r="V14" s="134"/>
      <c r="W14" s="134"/>
      <c r="X14" s="134"/>
      <c r="Y14" s="134"/>
      <c r="Z14" s="134"/>
      <c r="AA14" s="134"/>
      <c r="AB14" s="134"/>
      <c r="AC14" s="134"/>
      <c r="AD14" s="134"/>
      <c r="AE14" s="134"/>
      <c r="AF14" s="134"/>
      <c r="AG14" s="134"/>
      <c r="AH14" s="152"/>
      <c r="AI14" s="152"/>
    </row>
    <row r="15" spans="1:35">
      <c r="A15" s="154" t="s">
        <v>550</v>
      </c>
      <c r="B15" s="12" t="s">
        <v>113</v>
      </c>
      <c r="C15" s="142" t="s">
        <v>551</v>
      </c>
      <c r="D15" s="145">
        <v>2496.203857</v>
      </c>
      <c r="E15" s="145">
        <v>2540.0024410000001</v>
      </c>
      <c r="F15" s="145">
        <v>2549.398193</v>
      </c>
      <c r="G15" s="145">
        <v>2547.3508299999999</v>
      </c>
      <c r="H15" s="145">
        <v>2552.2783199999999</v>
      </c>
      <c r="I15" s="145">
        <v>2560.6906739999999</v>
      </c>
      <c r="J15" s="145">
        <v>2564.7272950000001</v>
      </c>
      <c r="K15" s="145">
        <v>2560.8388669999999</v>
      </c>
      <c r="L15" s="145">
        <v>2550.1601559999999</v>
      </c>
      <c r="M15" s="145">
        <v>2538.8881839999999</v>
      </c>
      <c r="N15" s="145">
        <v>2524.3862300000001</v>
      </c>
      <c r="O15" s="145">
        <v>2513.1665039999998</v>
      </c>
      <c r="P15" s="145">
        <v>2504.7221679999998</v>
      </c>
      <c r="Q15" s="145">
        <v>2494.232422</v>
      </c>
      <c r="R15" s="145">
        <v>2480.8706050000001</v>
      </c>
      <c r="S15" s="145">
        <v>2469.888672</v>
      </c>
      <c r="T15" s="145">
        <v>2461.147461</v>
      </c>
      <c r="U15" s="145">
        <v>2452.8847660000001</v>
      </c>
      <c r="V15" s="145">
        <v>2447.28125</v>
      </c>
      <c r="W15" s="145">
        <v>2444.3615719999998</v>
      </c>
      <c r="X15" s="145">
        <v>2443.9963379999999</v>
      </c>
      <c r="Y15" s="145">
        <v>2444.4379880000001</v>
      </c>
      <c r="Z15" s="145">
        <v>2447.4311520000001</v>
      </c>
      <c r="AA15" s="145">
        <v>2453.5153810000002</v>
      </c>
      <c r="AB15" s="145">
        <v>2463.1755370000001</v>
      </c>
      <c r="AC15" s="145">
        <v>2475.7631839999999</v>
      </c>
      <c r="AD15" s="145">
        <v>2489.9929200000001</v>
      </c>
      <c r="AE15" s="145">
        <v>2505.494385</v>
      </c>
      <c r="AF15" s="145">
        <v>2524.0014649999998</v>
      </c>
      <c r="AG15" s="144">
        <v>3.9599999999999998E-4</v>
      </c>
      <c r="AH15" s="156">
        <v>2718.499268</v>
      </c>
      <c r="AI15" s="157">
        <v>5.274E-3</v>
      </c>
    </row>
    <row r="16" spans="1:35">
      <c r="A16" s="154" t="s">
        <v>552</v>
      </c>
      <c r="B16" s="12" t="s">
        <v>114</v>
      </c>
      <c r="C16" s="142" t="s">
        <v>553</v>
      </c>
      <c r="D16" s="145">
        <v>14.317780000000001</v>
      </c>
      <c r="E16" s="145">
        <v>15.188454999999999</v>
      </c>
      <c r="F16" s="145">
        <v>15.940958</v>
      </c>
      <c r="G16" s="145">
        <v>16.851959000000001</v>
      </c>
      <c r="H16" s="145">
        <v>17.929171</v>
      </c>
      <c r="I16" s="145">
        <v>18.841543000000001</v>
      </c>
      <c r="J16" s="145">
        <v>19.926758</v>
      </c>
      <c r="K16" s="145">
        <v>20.916461999999999</v>
      </c>
      <c r="L16" s="145">
        <v>21.721556</v>
      </c>
      <c r="M16" s="145">
        <v>22.431366000000001</v>
      </c>
      <c r="N16" s="145">
        <v>23.062346999999999</v>
      </c>
      <c r="O16" s="145">
        <v>23.693542000000001</v>
      </c>
      <c r="P16" s="145">
        <v>24.359486</v>
      </c>
      <c r="Q16" s="145">
        <v>24.930275000000002</v>
      </c>
      <c r="R16" s="145">
        <v>25.474934000000001</v>
      </c>
      <c r="S16" s="145">
        <v>26.098763999999999</v>
      </c>
      <c r="T16" s="145">
        <v>26.663236999999999</v>
      </c>
      <c r="U16" s="145">
        <v>27.217226</v>
      </c>
      <c r="V16" s="145">
        <v>27.704470000000001</v>
      </c>
      <c r="W16" s="145">
        <v>28.202287999999999</v>
      </c>
      <c r="X16" s="145">
        <v>28.754857999999999</v>
      </c>
      <c r="Y16" s="145">
        <v>29.295786</v>
      </c>
      <c r="Z16" s="145">
        <v>29.747328</v>
      </c>
      <c r="AA16" s="145">
        <v>30.164621</v>
      </c>
      <c r="AB16" s="145">
        <v>30.686481000000001</v>
      </c>
      <c r="AC16" s="145">
        <v>31.215885</v>
      </c>
      <c r="AD16" s="145">
        <v>31.766838</v>
      </c>
      <c r="AE16" s="145">
        <v>32.350456000000001</v>
      </c>
      <c r="AF16" s="145">
        <v>32.997714999999999</v>
      </c>
      <c r="AG16" s="144">
        <v>3.0268E-2</v>
      </c>
      <c r="AH16" s="156">
        <v>27.447765</v>
      </c>
      <c r="AI16" s="157">
        <v>2.8967E-2</v>
      </c>
    </row>
    <row r="17" spans="1:35">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c r="AA17" s="134"/>
      <c r="AB17" s="134"/>
      <c r="AC17" s="134"/>
      <c r="AD17" s="134"/>
      <c r="AE17" s="134"/>
      <c r="AF17" s="134"/>
      <c r="AG17" s="134"/>
    </row>
    <row r="18" spans="1:35">
      <c r="A18" s="152"/>
      <c r="C18" s="141" t="s">
        <v>554</v>
      </c>
      <c r="D18" s="134"/>
      <c r="E18" s="134"/>
      <c r="F18" s="134"/>
      <c r="G18" s="134"/>
      <c r="H18" s="134"/>
      <c r="I18" s="134"/>
      <c r="J18" s="134"/>
      <c r="K18" s="134"/>
      <c r="L18" s="134"/>
      <c r="M18" s="134"/>
      <c r="N18" s="134"/>
      <c r="O18" s="134"/>
      <c r="P18" s="134"/>
      <c r="Q18" s="134"/>
      <c r="R18" s="134"/>
      <c r="S18" s="134"/>
      <c r="T18" s="134"/>
      <c r="U18" s="134"/>
      <c r="V18" s="134"/>
      <c r="W18" s="134"/>
      <c r="X18" s="134"/>
      <c r="Y18" s="134"/>
      <c r="Z18" s="134"/>
      <c r="AA18" s="134"/>
      <c r="AB18" s="134"/>
      <c r="AC18" s="134"/>
      <c r="AD18" s="134"/>
      <c r="AE18" s="134"/>
      <c r="AF18" s="134"/>
      <c r="AG18" s="134"/>
      <c r="AH18" s="152"/>
      <c r="AI18" s="152"/>
    </row>
    <row r="19" spans="1:35">
      <c r="A19" s="154" t="s">
        <v>555</v>
      </c>
      <c r="B19" s="12" t="s">
        <v>113</v>
      </c>
      <c r="C19" s="142" t="s">
        <v>556</v>
      </c>
      <c r="D19" s="145">
        <v>240.36889600000001</v>
      </c>
      <c r="E19" s="145">
        <v>238.55046100000001</v>
      </c>
      <c r="F19" s="145">
        <v>232.37468000000001</v>
      </c>
      <c r="G19" s="145">
        <v>224.28367600000001</v>
      </c>
      <c r="H19" s="145">
        <v>216.228104</v>
      </c>
      <c r="I19" s="145">
        <v>208.32843</v>
      </c>
      <c r="J19" s="145">
        <v>199.95787000000001</v>
      </c>
      <c r="K19" s="145">
        <v>191.11637899999999</v>
      </c>
      <c r="L19" s="145">
        <v>182.138733</v>
      </c>
      <c r="M19" s="145">
        <v>173.400497</v>
      </c>
      <c r="N19" s="145">
        <v>165.27101099999999</v>
      </c>
      <c r="O19" s="145">
        <v>158.03083799999999</v>
      </c>
      <c r="P19" s="145">
        <v>151.60453799999999</v>
      </c>
      <c r="Q19" s="145">
        <v>145.82150300000001</v>
      </c>
      <c r="R19" s="145">
        <v>140.745071</v>
      </c>
      <c r="S19" s="145">
        <v>136.60682700000001</v>
      </c>
      <c r="T19" s="145">
        <v>133.40528900000001</v>
      </c>
      <c r="U19" s="145">
        <v>131.082123</v>
      </c>
      <c r="V19" s="145">
        <v>129.44026199999999</v>
      </c>
      <c r="W19" s="145">
        <v>128.15411399999999</v>
      </c>
      <c r="X19" s="145">
        <v>127.338638</v>
      </c>
      <c r="Y19" s="145">
        <v>126.745239</v>
      </c>
      <c r="Z19" s="145">
        <v>126.453835</v>
      </c>
      <c r="AA19" s="145">
        <v>126.34757999999999</v>
      </c>
      <c r="AB19" s="145">
        <v>126.40851600000001</v>
      </c>
      <c r="AC19" s="145">
        <v>126.646507</v>
      </c>
      <c r="AD19" s="145">
        <v>126.98558800000001</v>
      </c>
      <c r="AE19" s="145">
        <v>127.42005899999999</v>
      </c>
      <c r="AF19" s="145">
        <v>128.02671799999999</v>
      </c>
      <c r="AG19" s="144">
        <v>-2.2246999999999999E-2</v>
      </c>
      <c r="AH19" s="156">
        <v>180.10964999999999</v>
      </c>
      <c r="AI19" s="157">
        <v>-6.7879999999999998E-3</v>
      </c>
    </row>
    <row r="20" spans="1:35">
      <c r="A20" s="154" t="s">
        <v>557</v>
      </c>
      <c r="B20" s="12" t="s">
        <v>111</v>
      </c>
      <c r="C20" s="142" t="s">
        <v>1417</v>
      </c>
      <c r="D20" s="145">
        <v>1.2931680000000001</v>
      </c>
      <c r="E20" s="145">
        <v>1.329799</v>
      </c>
      <c r="F20" s="145">
        <v>1.261706</v>
      </c>
      <c r="G20" s="145">
        <v>1.2254229999999999</v>
      </c>
      <c r="H20" s="145">
        <v>1.1666430000000001</v>
      </c>
      <c r="I20" s="145">
        <v>1.1339269999999999</v>
      </c>
      <c r="J20" s="145">
        <v>1.106725</v>
      </c>
      <c r="K20" s="145">
        <v>1.0816399999999999</v>
      </c>
      <c r="L20" s="145">
        <v>1.050006</v>
      </c>
      <c r="M20" s="145">
        <v>0.94705799999999996</v>
      </c>
      <c r="N20" s="145">
        <v>0.84452099999999997</v>
      </c>
      <c r="O20" s="145">
        <v>0.748753</v>
      </c>
      <c r="P20" s="145">
        <v>0.66095300000000001</v>
      </c>
      <c r="Q20" s="145">
        <v>0.58042199999999999</v>
      </c>
      <c r="R20" s="145">
        <v>0.51128499999999999</v>
      </c>
      <c r="S20" s="145">
        <v>0.44846599999999998</v>
      </c>
      <c r="T20" s="145">
        <v>0.40380300000000002</v>
      </c>
      <c r="U20" s="145">
        <v>0.36545899999999998</v>
      </c>
      <c r="V20" s="145">
        <v>0.33930900000000003</v>
      </c>
      <c r="W20" s="145">
        <v>0.32189099999999998</v>
      </c>
      <c r="X20" s="145">
        <v>0.31121399999999999</v>
      </c>
      <c r="Y20" s="145">
        <v>0.30600899999999998</v>
      </c>
      <c r="Z20" s="145">
        <v>0.30440299999999998</v>
      </c>
      <c r="AA20" s="145">
        <v>0.30368000000000001</v>
      </c>
      <c r="AB20" s="145">
        <v>0.30497099999999999</v>
      </c>
      <c r="AC20" s="145">
        <v>0.30648399999999998</v>
      </c>
      <c r="AD20" s="145">
        <v>0.30828299999999997</v>
      </c>
      <c r="AE20" s="145">
        <v>0.31048799999999999</v>
      </c>
      <c r="AF20" s="145">
        <v>0.31343799999999999</v>
      </c>
      <c r="AG20" s="144">
        <v>-4.9355999999999997E-2</v>
      </c>
      <c r="AH20" s="156">
        <v>0.89244599999999996</v>
      </c>
      <c r="AI20" s="157">
        <v>-3.2225999999999998E-2</v>
      </c>
    </row>
    <row r="21" spans="1:35">
      <c r="A21" s="154" t="s">
        <v>558</v>
      </c>
      <c r="B21" s="12" t="s">
        <v>111</v>
      </c>
      <c r="C21" s="142" t="s">
        <v>1418</v>
      </c>
      <c r="D21" s="145">
        <v>2.8031670000000002</v>
      </c>
      <c r="E21" s="145">
        <v>3.5964489999999998</v>
      </c>
      <c r="F21" s="145">
        <v>5.1807860000000003</v>
      </c>
      <c r="G21" s="145">
        <v>6.7861700000000003</v>
      </c>
      <c r="H21" s="145">
        <v>8.8228240000000007</v>
      </c>
      <c r="I21" s="145">
        <v>11.374497</v>
      </c>
      <c r="J21" s="145">
        <v>14.374306000000001</v>
      </c>
      <c r="K21" s="145">
        <v>18.027864000000001</v>
      </c>
      <c r="L21" s="145">
        <v>22.297363000000001</v>
      </c>
      <c r="M21" s="145">
        <v>26.342044999999999</v>
      </c>
      <c r="N21" s="145">
        <v>30.566568</v>
      </c>
      <c r="O21" s="145">
        <v>34.859005000000003</v>
      </c>
      <c r="P21" s="145">
        <v>39.232258000000002</v>
      </c>
      <c r="Q21" s="145">
        <v>43.545600999999998</v>
      </c>
      <c r="R21" s="145">
        <v>47.706927999999998</v>
      </c>
      <c r="S21" s="145">
        <v>51.714142000000002</v>
      </c>
      <c r="T21" s="145">
        <v>55.526184000000001</v>
      </c>
      <c r="U21" s="145">
        <v>59.077872999999997</v>
      </c>
      <c r="V21" s="145">
        <v>62.303283999999998</v>
      </c>
      <c r="W21" s="145">
        <v>65.235252000000003</v>
      </c>
      <c r="X21" s="145">
        <v>67.875572000000005</v>
      </c>
      <c r="Y21" s="145">
        <v>70.092788999999996</v>
      </c>
      <c r="Z21" s="145">
        <v>72.005652999999995</v>
      </c>
      <c r="AA21" s="145">
        <v>73.606460999999996</v>
      </c>
      <c r="AB21" s="145">
        <v>75.12603</v>
      </c>
      <c r="AC21" s="145">
        <v>76.323386999999997</v>
      </c>
      <c r="AD21" s="145">
        <v>77.293853999999996</v>
      </c>
      <c r="AE21" s="145">
        <v>77.998962000000006</v>
      </c>
      <c r="AF21" s="145">
        <v>78.512603999999996</v>
      </c>
      <c r="AG21" s="144">
        <v>0.12639</v>
      </c>
      <c r="AH21" s="156">
        <v>57.014373999999997</v>
      </c>
      <c r="AI21" s="157">
        <v>0.10713200000000001</v>
      </c>
    </row>
    <row r="22" spans="1:35">
      <c r="A22" s="154" t="s">
        <v>559</v>
      </c>
      <c r="B22" s="12" t="s">
        <v>111</v>
      </c>
      <c r="C22" s="142" t="s">
        <v>1419</v>
      </c>
      <c r="D22" s="145">
        <v>11.963635</v>
      </c>
      <c r="E22" s="145">
        <v>18.062939</v>
      </c>
      <c r="F22" s="145">
        <v>25.114439000000001</v>
      </c>
      <c r="G22" s="145">
        <v>33.539726000000002</v>
      </c>
      <c r="H22" s="145">
        <v>43.633288999999998</v>
      </c>
      <c r="I22" s="145">
        <v>55.704681000000001</v>
      </c>
      <c r="J22" s="145">
        <v>69.562293999999994</v>
      </c>
      <c r="K22" s="145">
        <v>85.483986000000002</v>
      </c>
      <c r="L22" s="145">
        <v>103.08805099999999</v>
      </c>
      <c r="M22" s="145">
        <v>118.890038</v>
      </c>
      <c r="N22" s="145">
        <v>135.13140899999999</v>
      </c>
      <c r="O22" s="145">
        <v>151.68396000000001</v>
      </c>
      <c r="P22" s="145">
        <v>168.662308</v>
      </c>
      <c r="Q22" s="145">
        <v>185.45223999999999</v>
      </c>
      <c r="R22" s="145">
        <v>201.750809</v>
      </c>
      <c r="S22" s="145">
        <v>217.62799100000001</v>
      </c>
      <c r="T22" s="145">
        <v>232.92596399999999</v>
      </c>
      <c r="U22" s="145">
        <v>247.38500999999999</v>
      </c>
      <c r="V22" s="145">
        <v>260.81402600000001</v>
      </c>
      <c r="W22" s="145">
        <v>273.48638899999997</v>
      </c>
      <c r="X22" s="145">
        <v>285.352509</v>
      </c>
      <c r="Y22" s="145">
        <v>296.138733</v>
      </c>
      <c r="Z22" s="145">
        <v>306.021545</v>
      </c>
      <c r="AA22" s="145">
        <v>315.24386600000003</v>
      </c>
      <c r="AB22" s="145">
        <v>324.74050899999997</v>
      </c>
      <c r="AC22" s="145">
        <v>333.827698</v>
      </c>
      <c r="AD22" s="145">
        <v>342.65927099999999</v>
      </c>
      <c r="AE22" s="145">
        <v>351.16561899999999</v>
      </c>
      <c r="AF22" s="145">
        <v>359.69476300000002</v>
      </c>
      <c r="AG22" s="144">
        <v>0.129245</v>
      </c>
      <c r="AH22" s="156">
        <v>171.20547500000001</v>
      </c>
      <c r="AI22" s="157">
        <v>0.120617</v>
      </c>
    </row>
    <row r="23" spans="1:35">
      <c r="A23" s="154" t="s">
        <v>560</v>
      </c>
      <c r="B23" s="12" t="s">
        <v>115</v>
      </c>
      <c r="C23" s="142" t="s">
        <v>1420</v>
      </c>
      <c r="D23" s="145">
        <v>5.9970030000000003</v>
      </c>
      <c r="E23" s="145">
        <v>7.318346</v>
      </c>
      <c r="F23" s="145">
        <v>8.8350589999999993</v>
      </c>
      <c r="G23" s="145">
        <v>10.528111000000001</v>
      </c>
      <c r="H23" s="145">
        <v>12.49413</v>
      </c>
      <c r="I23" s="145">
        <v>14.599579</v>
      </c>
      <c r="J23" s="145">
        <v>16.698039999999999</v>
      </c>
      <c r="K23" s="145">
        <v>18.926459999999999</v>
      </c>
      <c r="L23" s="145">
        <v>21.055800999999999</v>
      </c>
      <c r="M23" s="145">
        <v>23.226790999999999</v>
      </c>
      <c r="N23" s="145">
        <v>25.299160000000001</v>
      </c>
      <c r="O23" s="145">
        <v>27.298203000000001</v>
      </c>
      <c r="P23" s="145">
        <v>29.278224999999999</v>
      </c>
      <c r="Q23" s="145">
        <v>31.138155000000001</v>
      </c>
      <c r="R23" s="145">
        <v>32.752979000000003</v>
      </c>
      <c r="S23" s="145">
        <v>34.304794000000001</v>
      </c>
      <c r="T23" s="145">
        <v>35.688198</v>
      </c>
      <c r="U23" s="145">
        <v>36.946682000000003</v>
      </c>
      <c r="V23" s="145">
        <v>38.257739999999998</v>
      </c>
      <c r="W23" s="145">
        <v>39.401420999999999</v>
      </c>
      <c r="X23" s="145">
        <v>40.467292999999998</v>
      </c>
      <c r="Y23" s="145">
        <v>41.489871999999998</v>
      </c>
      <c r="Z23" s="145">
        <v>42.389426999999998</v>
      </c>
      <c r="AA23" s="145">
        <v>43.212707999999999</v>
      </c>
      <c r="AB23" s="145">
        <v>44.039898000000001</v>
      </c>
      <c r="AC23" s="145">
        <v>44.838875000000002</v>
      </c>
      <c r="AD23" s="145">
        <v>45.620209000000003</v>
      </c>
      <c r="AE23" s="145">
        <v>46.373375000000003</v>
      </c>
      <c r="AF23" s="145">
        <v>47.175956999999997</v>
      </c>
      <c r="AG23" s="144">
        <v>7.6446E-2</v>
      </c>
      <c r="AH23" s="156">
        <v>23.364333999999999</v>
      </c>
      <c r="AI23" s="157">
        <v>5.5695000000000001E-2</v>
      </c>
    </row>
    <row r="24" spans="1:35">
      <c r="A24" s="154" t="s">
        <v>561</v>
      </c>
      <c r="B24" s="12" t="s">
        <v>115</v>
      </c>
      <c r="C24" s="142" t="s">
        <v>1421</v>
      </c>
      <c r="D24" s="145">
        <v>2.9500479999999998</v>
      </c>
      <c r="E24" s="145">
        <v>3.4683999999999999</v>
      </c>
      <c r="F24" s="145">
        <v>4.3089690000000003</v>
      </c>
      <c r="G24" s="145">
        <v>5.503342</v>
      </c>
      <c r="H24" s="145">
        <v>7.0348379999999997</v>
      </c>
      <c r="I24" s="145">
        <v>8.8535129999999995</v>
      </c>
      <c r="J24" s="145">
        <v>10.827475</v>
      </c>
      <c r="K24" s="145">
        <v>13.016227000000001</v>
      </c>
      <c r="L24" s="145">
        <v>15.405021</v>
      </c>
      <c r="M24" s="145">
        <v>17.866121</v>
      </c>
      <c r="N24" s="145">
        <v>20.373514</v>
      </c>
      <c r="O24" s="145">
        <v>22.905313</v>
      </c>
      <c r="P24" s="145">
        <v>25.445018999999998</v>
      </c>
      <c r="Q24" s="145">
        <v>27.955698000000002</v>
      </c>
      <c r="R24" s="145">
        <v>30.342929999999999</v>
      </c>
      <c r="S24" s="145">
        <v>32.690795999999999</v>
      </c>
      <c r="T24" s="145">
        <v>35.018062999999998</v>
      </c>
      <c r="U24" s="145">
        <v>37.256523000000001</v>
      </c>
      <c r="V24" s="145">
        <v>39.501953</v>
      </c>
      <c r="W24" s="145">
        <v>41.814838000000002</v>
      </c>
      <c r="X24" s="145">
        <v>43.902096</v>
      </c>
      <c r="Y24" s="145">
        <v>45.872871000000004</v>
      </c>
      <c r="Z24" s="145">
        <v>47.792819999999999</v>
      </c>
      <c r="AA24" s="145">
        <v>49.569958</v>
      </c>
      <c r="AB24" s="145">
        <v>51.297362999999997</v>
      </c>
      <c r="AC24" s="145">
        <v>52.964492999999997</v>
      </c>
      <c r="AD24" s="145">
        <v>54.547184000000001</v>
      </c>
      <c r="AE24" s="145">
        <v>56.045302999999997</v>
      </c>
      <c r="AF24" s="145">
        <v>57.467574999999997</v>
      </c>
      <c r="AG24" s="144">
        <v>0.111877</v>
      </c>
      <c r="AH24" s="156">
        <v>36.401176</v>
      </c>
      <c r="AI24" s="157">
        <v>9.1355000000000006E-2</v>
      </c>
    </row>
    <row r="25" spans="1:35">
      <c r="A25" s="154" t="s">
        <v>562</v>
      </c>
      <c r="B25" s="12" t="s">
        <v>114</v>
      </c>
      <c r="C25" s="142" t="s">
        <v>563</v>
      </c>
      <c r="D25" s="145">
        <v>0</v>
      </c>
      <c r="E25" s="145">
        <v>0</v>
      </c>
      <c r="F25" s="145">
        <v>0</v>
      </c>
      <c r="G25" s="145">
        <v>0</v>
      </c>
      <c r="H25" s="145">
        <v>0</v>
      </c>
      <c r="I25" s="145">
        <v>0</v>
      </c>
      <c r="J25" s="145">
        <v>0</v>
      </c>
      <c r="K25" s="145">
        <v>0</v>
      </c>
      <c r="L25" s="145">
        <v>0</v>
      </c>
      <c r="M25" s="145">
        <v>0</v>
      </c>
      <c r="N25" s="145">
        <v>0</v>
      </c>
      <c r="O25" s="145">
        <v>0</v>
      </c>
      <c r="P25" s="145">
        <v>0</v>
      </c>
      <c r="Q25" s="145">
        <v>0</v>
      </c>
      <c r="R25" s="145">
        <v>0</v>
      </c>
      <c r="S25" s="145">
        <v>0</v>
      </c>
      <c r="T25" s="145">
        <v>0</v>
      </c>
      <c r="U25" s="145">
        <v>0</v>
      </c>
      <c r="V25" s="145">
        <v>0</v>
      </c>
      <c r="W25" s="145">
        <v>0</v>
      </c>
      <c r="X25" s="145">
        <v>0</v>
      </c>
      <c r="Y25" s="145">
        <v>0</v>
      </c>
      <c r="Z25" s="145">
        <v>0</v>
      </c>
      <c r="AA25" s="145">
        <v>0</v>
      </c>
      <c r="AB25" s="145">
        <v>0</v>
      </c>
      <c r="AC25" s="145">
        <v>0</v>
      </c>
      <c r="AD25" s="145">
        <v>0</v>
      </c>
      <c r="AE25" s="145">
        <v>0</v>
      </c>
      <c r="AF25" s="145">
        <v>0</v>
      </c>
      <c r="AG25" s="144" t="s">
        <v>564</v>
      </c>
      <c r="AH25" s="156">
        <v>0</v>
      </c>
      <c r="AI25" s="157" t="s">
        <v>564</v>
      </c>
    </row>
    <row r="26" spans="1:35">
      <c r="A26" s="154" t="s">
        <v>565</v>
      </c>
      <c r="B26" s="12" t="s">
        <v>113</v>
      </c>
      <c r="C26" s="142" t="s">
        <v>566</v>
      </c>
      <c r="D26" s="145">
        <v>66.959084000000004</v>
      </c>
      <c r="E26" s="145">
        <v>73.383094999999997</v>
      </c>
      <c r="F26" s="145">
        <v>79.613281000000001</v>
      </c>
      <c r="G26" s="145">
        <v>86.791556999999997</v>
      </c>
      <c r="H26" s="145">
        <v>94.124679999999998</v>
      </c>
      <c r="I26" s="145">
        <v>101.85257</v>
      </c>
      <c r="J26" s="145">
        <v>109.79014599999999</v>
      </c>
      <c r="K26" s="145">
        <v>117.546318</v>
      </c>
      <c r="L26" s="145">
        <v>125.274033</v>
      </c>
      <c r="M26" s="145">
        <v>133.09579500000001</v>
      </c>
      <c r="N26" s="145">
        <v>140.99568199999999</v>
      </c>
      <c r="O26" s="145">
        <v>149.21824599999999</v>
      </c>
      <c r="P26" s="145">
        <v>157.663116</v>
      </c>
      <c r="Q26" s="145">
        <v>166.25649999999999</v>
      </c>
      <c r="R26" s="145">
        <v>174.608047</v>
      </c>
      <c r="S26" s="145">
        <v>182.647278</v>
      </c>
      <c r="T26" s="145">
        <v>190.73744199999999</v>
      </c>
      <c r="U26" s="145">
        <v>198.937714</v>
      </c>
      <c r="V26" s="145">
        <v>207.95010400000001</v>
      </c>
      <c r="W26" s="145">
        <v>215.611053</v>
      </c>
      <c r="X26" s="145">
        <v>222.57498200000001</v>
      </c>
      <c r="Y26" s="145">
        <v>229.49191300000001</v>
      </c>
      <c r="Z26" s="145">
        <v>235.85235599999999</v>
      </c>
      <c r="AA26" s="145">
        <v>241.686813</v>
      </c>
      <c r="AB26" s="145">
        <v>247.6772</v>
      </c>
      <c r="AC26" s="145">
        <v>253.56854200000001</v>
      </c>
      <c r="AD26" s="145">
        <v>259.29342700000001</v>
      </c>
      <c r="AE26" s="145">
        <v>264.75613399999997</v>
      </c>
      <c r="AF26" s="145">
        <v>270.22637900000001</v>
      </c>
      <c r="AG26" s="144">
        <v>5.1090000000000003E-2</v>
      </c>
      <c r="AH26" s="156">
        <v>229.252014</v>
      </c>
      <c r="AI26" s="157">
        <v>5.0493000000000003E-2</v>
      </c>
    </row>
    <row r="27" spans="1:35">
      <c r="A27" s="154" t="s">
        <v>567</v>
      </c>
      <c r="B27" s="12" t="s">
        <v>112</v>
      </c>
      <c r="C27" s="142" t="s">
        <v>568</v>
      </c>
      <c r="D27" s="145">
        <v>0.114899</v>
      </c>
      <c r="E27" s="145">
        <v>0.11057599999999999</v>
      </c>
      <c r="F27" s="145">
        <v>0.107853</v>
      </c>
      <c r="G27" s="145">
        <v>0.105383</v>
      </c>
      <c r="H27" s="145">
        <v>0.103343</v>
      </c>
      <c r="I27" s="145">
        <v>0.10154000000000001</v>
      </c>
      <c r="J27" s="145">
        <v>9.9686999999999998E-2</v>
      </c>
      <c r="K27" s="145">
        <v>9.8166000000000003E-2</v>
      </c>
      <c r="L27" s="145">
        <v>9.7296999999999995E-2</v>
      </c>
      <c r="M27" s="145">
        <v>9.6393000000000006E-2</v>
      </c>
      <c r="N27" s="145">
        <v>9.5671000000000006E-2</v>
      </c>
      <c r="O27" s="145">
        <v>9.5227000000000006E-2</v>
      </c>
      <c r="P27" s="145">
        <v>9.5168000000000003E-2</v>
      </c>
      <c r="Q27" s="145">
        <v>9.5221E-2</v>
      </c>
      <c r="R27" s="145">
        <v>9.5377000000000003E-2</v>
      </c>
      <c r="S27" s="145">
        <v>9.5994999999999997E-2</v>
      </c>
      <c r="T27" s="145">
        <v>9.6486000000000002E-2</v>
      </c>
      <c r="U27" s="145">
        <v>9.6883999999999998E-2</v>
      </c>
      <c r="V27" s="145">
        <v>9.7118999999999997E-2</v>
      </c>
      <c r="W27" s="145">
        <v>9.7166000000000002E-2</v>
      </c>
      <c r="X27" s="145">
        <v>9.7028000000000003E-2</v>
      </c>
      <c r="Y27" s="145">
        <v>9.6740000000000007E-2</v>
      </c>
      <c r="Z27" s="145">
        <v>9.6432000000000004E-2</v>
      </c>
      <c r="AA27" s="145">
        <v>9.6127000000000004E-2</v>
      </c>
      <c r="AB27" s="145">
        <v>9.5888000000000001E-2</v>
      </c>
      <c r="AC27" s="145">
        <v>9.5823000000000005E-2</v>
      </c>
      <c r="AD27" s="145">
        <v>9.5924999999999996E-2</v>
      </c>
      <c r="AE27" s="145">
        <v>9.6124000000000001E-2</v>
      </c>
      <c r="AF27" s="145">
        <v>9.6541000000000002E-2</v>
      </c>
      <c r="AG27" s="144">
        <v>-6.1980000000000004E-3</v>
      </c>
      <c r="AH27" s="156">
        <v>0.212146</v>
      </c>
      <c r="AI27" s="157">
        <v>-1.4596E-2</v>
      </c>
    </row>
    <row r="28" spans="1:35">
      <c r="A28" s="154" t="s">
        <v>569</v>
      </c>
      <c r="B28" s="12" t="s">
        <v>112</v>
      </c>
      <c r="C28" s="142" t="s">
        <v>570</v>
      </c>
      <c r="D28" s="145">
        <v>2.4334000000000001E-2</v>
      </c>
      <c r="E28" s="145">
        <v>2.3460999999999999E-2</v>
      </c>
      <c r="F28" s="145">
        <v>2.3621E-2</v>
      </c>
      <c r="G28" s="145">
        <v>2.3889000000000001E-2</v>
      </c>
      <c r="H28" s="145">
        <v>2.4288000000000001E-2</v>
      </c>
      <c r="I28" s="145">
        <v>2.4797E-2</v>
      </c>
      <c r="J28" s="145">
        <v>2.5291000000000001E-2</v>
      </c>
      <c r="K28" s="145">
        <v>2.5767000000000002E-2</v>
      </c>
      <c r="L28" s="145">
        <v>2.6189E-2</v>
      </c>
      <c r="M28" s="145">
        <v>2.6596000000000002E-2</v>
      </c>
      <c r="N28" s="145">
        <v>2.6946999999999999E-2</v>
      </c>
      <c r="O28" s="145">
        <v>2.7252999999999999E-2</v>
      </c>
      <c r="P28" s="145">
        <v>2.7533999999999999E-2</v>
      </c>
      <c r="Q28" s="145">
        <v>2.7757E-2</v>
      </c>
      <c r="R28" s="145">
        <v>2.7917000000000001E-2</v>
      </c>
      <c r="S28" s="145">
        <v>2.8034E-2</v>
      </c>
      <c r="T28" s="145">
        <v>2.8101000000000001E-2</v>
      </c>
      <c r="U28" s="145">
        <v>2.8115999999999999E-2</v>
      </c>
      <c r="V28" s="145">
        <v>2.8097E-2</v>
      </c>
      <c r="W28" s="145">
        <v>2.8052000000000001E-2</v>
      </c>
      <c r="X28" s="145">
        <v>2.7996E-2</v>
      </c>
      <c r="Y28" s="145">
        <v>2.792E-2</v>
      </c>
      <c r="Z28" s="145">
        <v>2.7855999999999999E-2</v>
      </c>
      <c r="AA28" s="145">
        <v>2.7819E-2</v>
      </c>
      <c r="AB28" s="145">
        <v>2.7786000000000002E-2</v>
      </c>
      <c r="AC28" s="145">
        <v>2.7831000000000002E-2</v>
      </c>
      <c r="AD28" s="145">
        <v>2.794E-2</v>
      </c>
      <c r="AE28" s="145">
        <v>2.81E-2</v>
      </c>
      <c r="AF28" s="145">
        <v>2.8343E-2</v>
      </c>
      <c r="AG28" s="144">
        <v>5.4619999999999998E-3</v>
      </c>
      <c r="AH28" s="156">
        <v>0.70318000000000003</v>
      </c>
      <c r="AI28" s="157">
        <v>-4.3620000000000004E-3</v>
      </c>
    </row>
    <row r="29" spans="1:35">
      <c r="A29" s="154" t="s">
        <v>571</v>
      </c>
      <c r="B29" s="12" t="s">
        <v>257</v>
      </c>
      <c r="C29" s="142" t="s">
        <v>572</v>
      </c>
      <c r="D29" s="145">
        <v>7.4513999999999997E-2</v>
      </c>
      <c r="E29" s="145">
        <v>7.2762999999999994E-2</v>
      </c>
      <c r="F29" s="145">
        <v>7.3983999999999994E-2</v>
      </c>
      <c r="G29" s="145">
        <v>7.7731999999999996E-2</v>
      </c>
      <c r="H29" s="145">
        <v>8.4470000000000003E-2</v>
      </c>
      <c r="I29" s="145">
        <v>9.3716999999999995E-2</v>
      </c>
      <c r="J29" s="145">
        <v>0.103895</v>
      </c>
      <c r="K29" s="145">
        <v>0.114743</v>
      </c>
      <c r="L29" s="145">
        <v>0.125697</v>
      </c>
      <c r="M29" s="145">
        <v>0.13678899999999999</v>
      </c>
      <c r="N29" s="145">
        <v>0.14774599999999999</v>
      </c>
      <c r="O29" s="145">
        <v>0.15856300000000001</v>
      </c>
      <c r="P29" s="145">
        <v>0.16941600000000001</v>
      </c>
      <c r="Q29" s="145">
        <v>0.179952</v>
      </c>
      <c r="R29" s="145">
        <v>0.19017600000000001</v>
      </c>
      <c r="S29" s="145">
        <v>0.200238</v>
      </c>
      <c r="T29" s="145">
        <v>0.21004</v>
      </c>
      <c r="U29" s="145">
        <v>0.219606</v>
      </c>
      <c r="V29" s="145">
        <v>0.22895499999999999</v>
      </c>
      <c r="W29" s="145">
        <v>0.23818800000000001</v>
      </c>
      <c r="X29" s="145">
        <v>0.24746599999999999</v>
      </c>
      <c r="Y29" s="145">
        <v>0.25657000000000002</v>
      </c>
      <c r="Z29" s="145">
        <v>0.26590599999999998</v>
      </c>
      <c r="AA29" s="145">
        <v>0.275669</v>
      </c>
      <c r="AB29" s="145">
        <v>0.28631499999999999</v>
      </c>
      <c r="AC29" s="145">
        <v>0.297736</v>
      </c>
      <c r="AD29" s="145">
        <v>0.31013499999999999</v>
      </c>
      <c r="AE29" s="145">
        <v>0.323438</v>
      </c>
      <c r="AF29" s="145">
        <v>0.33823900000000001</v>
      </c>
      <c r="AG29" s="144">
        <v>5.5513E-2</v>
      </c>
      <c r="AH29" s="156">
        <v>0.359848</v>
      </c>
      <c r="AI29" s="157">
        <v>2.0449999999999999E-2</v>
      </c>
    </row>
    <row r="30" spans="1:35">
      <c r="A30" s="154" t="s">
        <v>573</v>
      </c>
      <c r="B30" s="12" t="s">
        <v>257</v>
      </c>
      <c r="C30" s="142" t="s">
        <v>574</v>
      </c>
      <c r="D30" s="145">
        <v>7.9431000000000002E-2</v>
      </c>
      <c r="E30" s="145">
        <v>7.1472999999999995E-2</v>
      </c>
      <c r="F30" s="145">
        <v>6.5702999999999998E-2</v>
      </c>
      <c r="G30" s="145">
        <v>6.0731E-2</v>
      </c>
      <c r="H30" s="145">
        <v>5.6873E-2</v>
      </c>
      <c r="I30" s="145">
        <v>5.3928999999999998E-2</v>
      </c>
      <c r="J30" s="145">
        <v>5.1277000000000003E-2</v>
      </c>
      <c r="K30" s="145">
        <v>4.8889000000000002E-2</v>
      </c>
      <c r="L30" s="145">
        <v>4.6630999999999999E-2</v>
      </c>
      <c r="M30" s="145">
        <v>4.4505000000000003E-2</v>
      </c>
      <c r="N30" s="145">
        <v>4.2486000000000003E-2</v>
      </c>
      <c r="O30" s="145">
        <v>4.0573999999999999E-2</v>
      </c>
      <c r="P30" s="145">
        <v>3.8765000000000001E-2</v>
      </c>
      <c r="Q30" s="145">
        <v>3.7041999999999999E-2</v>
      </c>
      <c r="R30" s="145">
        <v>3.5399E-2</v>
      </c>
      <c r="S30" s="145">
        <v>3.3834999999999997E-2</v>
      </c>
      <c r="T30" s="145">
        <v>3.2343999999999998E-2</v>
      </c>
      <c r="U30" s="145">
        <v>3.092E-2</v>
      </c>
      <c r="V30" s="145">
        <v>2.9562000000000001E-2</v>
      </c>
      <c r="W30" s="145">
        <v>2.827E-2</v>
      </c>
      <c r="X30" s="145">
        <v>2.7043000000000001E-2</v>
      </c>
      <c r="Y30" s="145">
        <v>2.5874999999999999E-2</v>
      </c>
      <c r="Z30" s="145">
        <v>2.4771999999999999E-2</v>
      </c>
      <c r="AA30" s="145">
        <v>2.3734999999999999E-2</v>
      </c>
      <c r="AB30" s="145">
        <v>2.2766000000000002E-2</v>
      </c>
      <c r="AC30" s="145">
        <v>2.1870000000000001E-2</v>
      </c>
      <c r="AD30" s="145">
        <v>2.1041000000000001E-2</v>
      </c>
      <c r="AE30" s="145">
        <v>2.0275000000000001E-2</v>
      </c>
      <c r="AF30" s="145">
        <v>1.9576E-2</v>
      </c>
      <c r="AG30" s="144">
        <v>-4.879E-2</v>
      </c>
      <c r="AH30" s="156">
        <v>0.31085800000000002</v>
      </c>
      <c r="AI30" s="157">
        <v>-2.9047E-2</v>
      </c>
    </row>
    <row r="31" spans="1:35">
      <c r="A31" s="154" t="s">
        <v>575</v>
      </c>
      <c r="B31" s="12" t="s">
        <v>258</v>
      </c>
      <c r="C31" s="142" t="s">
        <v>576</v>
      </c>
      <c r="D31" s="145">
        <v>0</v>
      </c>
      <c r="E31" s="145">
        <v>0</v>
      </c>
      <c r="F31" s="145">
        <v>0</v>
      </c>
      <c r="G31" s="145">
        <v>0</v>
      </c>
      <c r="H31" s="145">
        <v>0</v>
      </c>
      <c r="I31" s="145">
        <v>0</v>
      </c>
      <c r="J31" s="145">
        <v>0</v>
      </c>
      <c r="K31" s="145">
        <v>0</v>
      </c>
      <c r="L31" s="145">
        <v>0</v>
      </c>
      <c r="M31" s="145">
        <v>0</v>
      </c>
      <c r="N31" s="145">
        <v>0</v>
      </c>
      <c r="O31" s="145">
        <v>0</v>
      </c>
      <c r="P31" s="145">
        <v>0</v>
      </c>
      <c r="Q31" s="145">
        <v>0</v>
      </c>
      <c r="R31" s="145">
        <v>0</v>
      </c>
      <c r="S31" s="145">
        <v>0</v>
      </c>
      <c r="T31" s="145">
        <v>0</v>
      </c>
      <c r="U31" s="145">
        <v>0</v>
      </c>
      <c r="V31" s="145">
        <v>0</v>
      </c>
      <c r="W31" s="145">
        <v>0</v>
      </c>
      <c r="X31" s="145">
        <v>0</v>
      </c>
      <c r="Y31" s="145">
        <v>0</v>
      </c>
      <c r="Z31" s="145">
        <v>0</v>
      </c>
      <c r="AA31" s="145">
        <v>0</v>
      </c>
      <c r="AB31" s="145">
        <v>0</v>
      </c>
      <c r="AC31" s="145">
        <v>0</v>
      </c>
      <c r="AD31" s="145">
        <v>0</v>
      </c>
      <c r="AE31" s="145">
        <v>0</v>
      </c>
      <c r="AF31" s="145">
        <v>0</v>
      </c>
      <c r="AG31" s="144" t="s">
        <v>564</v>
      </c>
      <c r="AH31" s="156">
        <v>0</v>
      </c>
      <c r="AI31" s="157" t="s">
        <v>564</v>
      </c>
    </row>
    <row r="32" spans="1:35">
      <c r="A32" s="154" t="s">
        <v>577</v>
      </c>
      <c r="B32" s="12" t="s">
        <v>258</v>
      </c>
      <c r="C32" s="142" t="s">
        <v>578</v>
      </c>
      <c r="D32" s="145">
        <v>0.14819399999999999</v>
      </c>
      <c r="E32" s="145">
        <v>0.18032999999999999</v>
      </c>
      <c r="F32" s="145">
        <v>0.20739199999999999</v>
      </c>
      <c r="G32" s="145">
        <v>0.23166</v>
      </c>
      <c r="H32" s="145">
        <v>0.25708700000000001</v>
      </c>
      <c r="I32" s="145">
        <v>0.28122200000000003</v>
      </c>
      <c r="J32" s="145">
        <v>0.30695800000000001</v>
      </c>
      <c r="K32" s="145">
        <v>0.33121600000000001</v>
      </c>
      <c r="L32" s="145">
        <v>0.35678399999999999</v>
      </c>
      <c r="M32" s="145">
        <v>0.382604</v>
      </c>
      <c r="N32" s="145">
        <v>0.40820499999999998</v>
      </c>
      <c r="O32" s="145">
        <v>0.43357400000000001</v>
      </c>
      <c r="P32" s="145">
        <v>0.45938499999999999</v>
      </c>
      <c r="Q32" s="145">
        <v>0.48471399999999998</v>
      </c>
      <c r="R32" s="145">
        <v>0.50850600000000001</v>
      </c>
      <c r="S32" s="145">
        <v>0.53182799999999997</v>
      </c>
      <c r="T32" s="145">
        <v>0.55284199999999994</v>
      </c>
      <c r="U32" s="145">
        <v>0.57169700000000001</v>
      </c>
      <c r="V32" s="145">
        <v>0.58719900000000003</v>
      </c>
      <c r="W32" s="145">
        <v>0.59973299999999996</v>
      </c>
      <c r="X32" s="145">
        <v>0.61137900000000001</v>
      </c>
      <c r="Y32" s="145">
        <v>0.61950899999999998</v>
      </c>
      <c r="Z32" s="145">
        <v>0.62558199999999997</v>
      </c>
      <c r="AA32" s="145">
        <v>0.62915600000000005</v>
      </c>
      <c r="AB32" s="145">
        <v>0.63310699999999998</v>
      </c>
      <c r="AC32" s="145">
        <v>0.63711700000000004</v>
      </c>
      <c r="AD32" s="145">
        <v>0.64000299999999999</v>
      </c>
      <c r="AE32" s="145">
        <v>0.64218500000000001</v>
      </c>
      <c r="AF32" s="145">
        <v>0.64359100000000002</v>
      </c>
      <c r="AG32" s="144">
        <v>5.3848E-2</v>
      </c>
      <c r="AH32" s="156">
        <v>0.29875600000000002</v>
      </c>
      <c r="AI32" s="157">
        <v>3.9477999999999999E-2</v>
      </c>
    </row>
    <row r="33" spans="1:35">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c r="AA33" s="134"/>
      <c r="AB33" s="134"/>
      <c r="AC33" s="134"/>
      <c r="AD33" s="134"/>
      <c r="AE33" s="134"/>
      <c r="AF33" s="134"/>
      <c r="AG33" s="134"/>
    </row>
    <row r="34" spans="1:35">
      <c r="A34" s="152"/>
      <c r="B34" s="152"/>
      <c r="C34" s="141" t="s">
        <v>579</v>
      </c>
      <c r="D34" s="134"/>
      <c r="E34" s="134"/>
      <c r="F34" s="134"/>
      <c r="G34" s="134"/>
      <c r="H34" s="134"/>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c r="AH34" s="152"/>
      <c r="AI34" s="152"/>
    </row>
    <row r="35" spans="1:35">
      <c r="A35" s="154" t="s">
        <v>580</v>
      </c>
      <c r="B35" s="154"/>
      <c r="C35" s="142" t="s">
        <v>581</v>
      </c>
      <c r="D35" s="145">
        <v>2843.298096</v>
      </c>
      <c r="E35" s="145">
        <v>2901.3588869999999</v>
      </c>
      <c r="F35" s="145">
        <v>2922.5065920000002</v>
      </c>
      <c r="G35" s="145">
        <v>2933.360107</v>
      </c>
      <c r="H35" s="145">
        <v>2954.2380370000001</v>
      </c>
      <c r="I35" s="145">
        <v>2981.9343260000001</v>
      </c>
      <c r="J35" s="145">
        <v>3007.5581050000001</v>
      </c>
      <c r="K35" s="145">
        <v>3027.5729980000001</v>
      </c>
      <c r="L35" s="145">
        <v>3042.8432619999999</v>
      </c>
      <c r="M35" s="145">
        <v>3055.7746579999998</v>
      </c>
      <c r="N35" s="145">
        <v>3066.6516109999998</v>
      </c>
      <c r="O35" s="145">
        <v>3082.359375</v>
      </c>
      <c r="P35" s="145">
        <v>3102.4182129999999</v>
      </c>
      <c r="Q35" s="145">
        <v>3120.7375489999999</v>
      </c>
      <c r="R35" s="145">
        <v>3135.6208499999998</v>
      </c>
      <c r="S35" s="145">
        <v>3152.9177249999998</v>
      </c>
      <c r="T35" s="145">
        <v>3172.435547</v>
      </c>
      <c r="U35" s="145">
        <v>3192.100586</v>
      </c>
      <c r="V35" s="145">
        <v>3214.5629880000001</v>
      </c>
      <c r="W35" s="145">
        <v>3237.5805660000001</v>
      </c>
      <c r="X35" s="145">
        <v>3261.5847170000002</v>
      </c>
      <c r="Y35" s="145">
        <v>3284.897461</v>
      </c>
      <c r="Z35" s="145">
        <v>3309.0390619999998</v>
      </c>
      <c r="AA35" s="145">
        <v>3334.7033689999998</v>
      </c>
      <c r="AB35" s="145">
        <v>3364.522461</v>
      </c>
      <c r="AC35" s="145">
        <v>3396.5351559999999</v>
      </c>
      <c r="AD35" s="145">
        <v>3429.5627439999998</v>
      </c>
      <c r="AE35" s="145">
        <v>3463.0249020000001</v>
      </c>
      <c r="AF35" s="145">
        <v>3499.5429690000001</v>
      </c>
      <c r="AG35" s="144">
        <v>7.4440000000000001E-3</v>
      </c>
      <c r="AH35" s="156">
        <v>3446.0715329999998</v>
      </c>
      <c r="AI35" s="157">
        <v>9.0919999999999994E-3</v>
      </c>
    </row>
    <row r="36" spans="1:35">
      <c r="A36" s="154" t="s">
        <v>582</v>
      </c>
      <c r="B36" s="154"/>
      <c r="C36" s="142" t="s">
        <v>583</v>
      </c>
      <c r="D36" s="145">
        <v>12.292728</v>
      </c>
      <c r="E36" s="145">
        <v>12.526434999999999</v>
      </c>
      <c r="F36" s="145">
        <v>12.577197</v>
      </c>
      <c r="G36" s="145">
        <v>12.567465</v>
      </c>
      <c r="H36" s="145">
        <v>12.577916999999999</v>
      </c>
      <c r="I36" s="145">
        <v>12.610725</v>
      </c>
      <c r="J36" s="145">
        <v>12.638391</v>
      </c>
      <c r="K36" s="145">
        <v>12.65343</v>
      </c>
      <c r="L36" s="145">
        <v>12.655709</v>
      </c>
      <c r="M36" s="145">
        <v>12.651835999999999</v>
      </c>
      <c r="N36" s="145">
        <v>12.637544999999999</v>
      </c>
      <c r="O36" s="145">
        <v>12.641304</v>
      </c>
      <c r="P36" s="145">
        <v>12.658344</v>
      </c>
      <c r="Q36" s="145">
        <v>12.676088</v>
      </c>
      <c r="R36" s="145">
        <v>12.692268</v>
      </c>
      <c r="S36" s="145">
        <v>12.717739999999999</v>
      </c>
      <c r="T36" s="145">
        <v>12.749751</v>
      </c>
      <c r="U36" s="145">
        <v>12.786051</v>
      </c>
      <c r="V36" s="145">
        <v>12.831346999999999</v>
      </c>
      <c r="W36" s="145">
        <v>12.882289</v>
      </c>
      <c r="X36" s="145">
        <v>12.938205</v>
      </c>
      <c r="Y36" s="145">
        <v>12.994745</v>
      </c>
      <c r="Z36" s="145">
        <v>13.055583</v>
      </c>
      <c r="AA36" s="145">
        <v>13.120469</v>
      </c>
      <c r="AB36" s="145">
        <v>13.200115</v>
      </c>
      <c r="AC36" s="145">
        <v>13.287262</v>
      </c>
      <c r="AD36" s="145">
        <v>13.378971999999999</v>
      </c>
      <c r="AE36" s="145">
        <v>13.473079</v>
      </c>
      <c r="AF36" s="145">
        <v>13.577239000000001</v>
      </c>
      <c r="AG36" s="144">
        <v>3.5560000000000001E-3</v>
      </c>
      <c r="AH36" s="156">
        <v>12.87923</v>
      </c>
      <c r="AI36" s="157">
        <v>3.0569999999999998E-3</v>
      </c>
    </row>
    <row r="37" spans="1:35">
      <c r="A37" s="154" t="s">
        <v>584</v>
      </c>
      <c r="B37" s="154"/>
      <c r="C37" s="142" t="s">
        <v>585</v>
      </c>
      <c r="D37" s="145">
        <v>231.29917900000001</v>
      </c>
      <c r="E37" s="145">
        <v>231.61888099999999</v>
      </c>
      <c r="F37" s="145">
        <v>232.36549400000001</v>
      </c>
      <c r="G37" s="145">
        <v>233.40905799999999</v>
      </c>
      <c r="H37" s="145">
        <v>234.87498500000001</v>
      </c>
      <c r="I37" s="145">
        <v>236.46017499999999</v>
      </c>
      <c r="J37" s="145">
        <v>237.970032</v>
      </c>
      <c r="K37" s="145">
        <v>239.26895099999999</v>
      </c>
      <c r="L37" s="145">
        <v>240.43246500000001</v>
      </c>
      <c r="M37" s="145">
        <v>241.52815200000001</v>
      </c>
      <c r="N37" s="145">
        <v>242.66198700000001</v>
      </c>
      <c r="O37" s="145">
        <v>243.832382</v>
      </c>
      <c r="P37" s="145">
        <v>245.088776</v>
      </c>
      <c r="Q37" s="145">
        <v>246.190887</v>
      </c>
      <c r="R37" s="145">
        <v>247.04968299999999</v>
      </c>
      <c r="S37" s="145">
        <v>247.91493199999999</v>
      </c>
      <c r="T37" s="145">
        <v>248.82333399999999</v>
      </c>
      <c r="U37" s="145">
        <v>249.654922</v>
      </c>
      <c r="V37" s="145">
        <v>250.524216</v>
      </c>
      <c r="W37" s="145">
        <v>251.32029700000001</v>
      </c>
      <c r="X37" s="145">
        <v>252.08943199999999</v>
      </c>
      <c r="Y37" s="145">
        <v>252.78659099999999</v>
      </c>
      <c r="Z37" s="145">
        <v>253.45777899999999</v>
      </c>
      <c r="AA37" s="145">
        <v>254.16037</v>
      </c>
      <c r="AB37" s="145">
        <v>254.88583399999999</v>
      </c>
      <c r="AC37" s="145">
        <v>255.623413</v>
      </c>
      <c r="AD37" s="145">
        <v>256.33978300000001</v>
      </c>
      <c r="AE37" s="145">
        <v>257.03292800000003</v>
      </c>
      <c r="AF37" s="145">
        <v>257.75070199999999</v>
      </c>
      <c r="AG37" s="144">
        <v>3.875E-3</v>
      </c>
      <c r="AH37" s="156">
        <v>267.56814600000001</v>
      </c>
      <c r="AI37" s="157">
        <v>6.0159999999999996E-3</v>
      </c>
    </row>
    <row r="38" spans="1:35">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c r="AA38" s="134"/>
      <c r="AB38" s="134"/>
      <c r="AC38" s="134"/>
      <c r="AD38" s="134"/>
      <c r="AE38" s="134"/>
      <c r="AF38" s="134"/>
      <c r="AG38" s="134"/>
    </row>
    <row r="39" spans="1:35">
      <c r="A39" s="152"/>
      <c r="B39" s="152"/>
      <c r="C39" s="141" t="s">
        <v>586</v>
      </c>
      <c r="D39" s="134"/>
      <c r="E39" s="134"/>
      <c r="F39" s="134"/>
      <c r="G39" s="134"/>
      <c r="H39" s="134"/>
      <c r="I39" s="134"/>
      <c r="J39" s="134"/>
      <c r="K39" s="134"/>
      <c r="L39" s="134"/>
      <c r="M39" s="134"/>
      <c r="N39" s="134"/>
      <c r="O39" s="134"/>
      <c r="P39" s="134"/>
      <c r="Q39" s="134"/>
      <c r="R39" s="134"/>
      <c r="S39" s="134"/>
      <c r="T39" s="134"/>
      <c r="U39" s="134"/>
      <c r="V39" s="134"/>
      <c r="W39" s="134"/>
      <c r="X39" s="134"/>
      <c r="Y39" s="134"/>
      <c r="Z39" s="134"/>
      <c r="AA39" s="134"/>
      <c r="AB39" s="134"/>
      <c r="AC39" s="134"/>
      <c r="AD39" s="134"/>
      <c r="AE39" s="134"/>
      <c r="AF39" s="134"/>
      <c r="AG39" s="134"/>
      <c r="AH39" s="152"/>
      <c r="AI39" s="152"/>
    </row>
    <row r="40" spans="1:35">
      <c r="A40" s="154" t="s">
        <v>587</v>
      </c>
      <c r="B40" s="154"/>
      <c r="C40" s="142" t="s">
        <v>588</v>
      </c>
      <c r="D40" s="146">
        <v>13.600198000000001</v>
      </c>
      <c r="E40" s="146">
        <v>12.754690999999999</v>
      </c>
      <c r="F40" s="146">
        <v>12.439536</v>
      </c>
      <c r="G40" s="146">
        <v>11.600028</v>
      </c>
      <c r="H40" s="146">
        <v>11.469229</v>
      </c>
      <c r="I40" s="146">
        <v>11.407544</v>
      </c>
      <c r="J40" s="146">
        <v>11.409302</v>
      </c>
      <c r="K40" s="146">
        <v>11.435968000000001</v>
      </c>
      <c r="L40" s="146">
        <v>11.467510000000001</v>
      </c>
      <c r="M40" s="146">
        <v>11.460815</v>
      </c>
      <c r="N40" s="146">
        <v>11.517621999999999</v>
      </c>
      <c r="O40" s="146">
        <v>11.553983000000001</v>
      </c>
      <c r="P40" s="146">
        <v>11.599117</v>
      </c>
      <c r="Q40" s="146">
        <v>11.612700999999999</v>
      </c>
      <c r="R40" s="146">
        <v>11.746193</v>
      </c>
      <c r="S40" s="146">
        <v>11.758649999999999</v>
      </c>
      <c r="T40" s="146">
        <v>11.787958</v>
      </c>
      <c r="U40" s="146">
        <v>11.844007</v>
      </c>
      <c r="V40" s="146">
        <v>11.863856999999999</v>
      </c>
      <c r="W40" s="146">
        <v>11.858942000000001</v>
      </c>
      <c r="X40" s="146">
        <v>11.88617</v>
      </c>
      <c r="Y40" s="146">
        <v>11.836548000000001</v>
      </c>
      <c r="Z40" s="146">
        <v>11.913117</v>
      </c>
      <c r="AA40" s="146">
        <v>11.933885999999999</v>
      </c>
      <c r="AB40" s="146">
        <v>12.259570999999999</v>
      </c>
      <c r="AC40" s="146">
        <v>12.259736999999999</v>
      </c>
      <c r="AD40" s="146">
        <v>12.373319</v>
      </c>
      <c r="AE40" s="146">
        <v>12.389042999999999</v>
      </c>
      <c r="AF40" s="146">
        <v>12.508653000000001</v>
      </c>
      <c r="AG40" s="144">
        <v>-2.9840000000000001E-3</v>
      </c>
      <c r="AH40" s="158">
        <v>13.601267999999999</v>
      </c>
      <c r="AI40" s="157">
        <v>1.7378000000000001E-2</v>
      </c>
    </row>
    <row r="41" spans="1:35">
      <c r="A41" s="154" t="s">
        <v>589</v>
      </c>
      <c r="B41" s="154"/>
      <c r="C41" s="142" t="s">
        <v>590</v>
      </c>
      <c r="D41" s="146">
        <v>25.400711000000001</v>
      </c>
      <c r="E41" s="146">
        <v>25.906796</v>
      </c>
      <c r="F41" s="146">
        <v>26.449829000000001</v>
      </c>
      <c r="G41" s="146">
        <v>27.048653000000002</v>
      </c>
      <c r="H41" s="146">
        <v>27.674738000000001</v>
      </c>
      <c r="I41" s="146">
        <v>28.324504999999998</v>
      </c>
      <c r="J41" s="146">
        <v>29.045470999999999</v>
      </c>
      <c r="K41" s="146">
        <v>29.774456000000001</v>
      </c>
      <c r="L41" s="146">
        <v>30.506572999999999</v>
      </c>
      <c r="M41" s="146">
        <v>31.204981</v>
      </c>
      <c r="N41" s="146">
        <v>31.883956999999999</v>
      </c>
      <c r="O41" s="146">
        <v>32.440662000000003</v>
      </c>
      <c r="P41" s="146">
        <v>33.040554</v>
      </c>
      <c r="Q41" s="146">
        <v>33.627986999999997</v>
      </c>
      <c r="R41" s="146">
        <v>34.193863</v>
      </c>
      <c r="S41" s="146">
        <v>34.758468999999998</v>
      </c>
      <c r="T41" s="146">
        <v>35.326801000000003</v>
      </c>
      <c r="U41" s="146">
        <v>35.911544999999997</v>
      </c>
      <c r="V41" s="146">
        <v>36.466498999999999</v>
      </c>
      <c r="W41" s="146">
        <v>37.008876999999998</v>
      </c>
      <c r="X41" s="146">
        <v>37.505836000000002</v>
      </c>
      <c r="Y41" s="146">
        <v>37.956325999999997</v>
      </c>
      <c r="Z41" s="146">
        <v>38.285721000000002</v>
      </c>
      <c r="AA41" s="146">
        <v>38.543011</v>
      </c>
      <c r="AB41" s="146">
        <v>38.790492999999998</v>
      </c>
      <c r="AC41" s="146">
        <v>39.008453000000003</v>
      </c>
      <c r="AD41" s="146">
        <v>39.202869</v>
      </c>
      <c r="AE41" s="146">
        <v>39.366675999999998</v>
      </c>
      <c r="AF41" s="146">
        <v>39.502735000000001</v>
      </c>
      <c r="AG41" s="144">
        <v>1.5896E-2</v>
      </c>
      <c r="AH41" s="158">
        <v>32.361846999999997</v>
      </c>
      <c r="AI41" s="157">
        <v>1.0179000000000001E-2</v>
      </c>
    </row>
    <row r="42" spans="1:35">
      <c r="A42" s="154" t="s">
        <v>591</v>
      </c>
      <c r="B42" s="154"/>
      <c r="C42" s="142" t="s">
        <v>592</v>
      </c>
      <c r="D42" s="146">
        <v>9.1618290000000009</v>
      </c>
      <c r="E42" s="146">
        <v>8.4454750000000001</v>
      </c>
      <c r="F42" s="146">
        <v>8.0890369999999994</v>
      </c>
      <c r="G42" s="146">
        <v>7.3955039999999999</v>
      </c>
      <c r="H42" s="146">
        <v>7.1647470000000002</v>
      </c>
      <c r="I42" s="146">
        <v>6.9803800000000003</v>
      </c>
      <c r="J42" s="146">
        <v>6.8306079999999998</v>
      </c>
      <c r="K42" s="146">
        <v>6.6985659999999996</v>
      </c>
      <c r="L42" s="146">
        <v>6.5732929999999996</v>
      </c>
      <c r="M42" s="146">
        <v>6.4379819999999999</v>
      </c>
      <c r="N42" s="146">
        <v>6.3441210000000003</v>
      </c>
      <c r="O42" s="146">
        <v>6.2506300000000001</v>
      </c>
      <c r="P42" s="146">
        <v>6.1660950000000003</v>
      </c>
      <c r="Q42" s="146">
        <v>6.0684800000000001</v>
      </c>
      <c r="R42" s="146">
        <v>6.0382439999999997</v>
      </c>
      <c r="S42" s="146">
        <v>5.9520860000000004</v>
      </c>
      <c r="T42" s="146">
        <v>5.8802440000000002</v>
      </c>
      <c r="U42" s="146">
        <v>5.8253519999999996</v>
      </c>
      <c r="V42" s="146">
        <v>5.7601459999999998</v>
      </c>
      <c r="W42" s="146">
        <v>5.6883379999999999</v>
      </c>
      <c r="X42" s="146">
        <v>5.6383340000000004</v>
      </c>
      <c r="Y42" s="146">
        <v>5.5607519999999999</v>
      </c>
      <c r="Z42" s="146">
        <v>5.5514700000000001</v>
      </c>
      <c r="AA42" s="146">
        <v>5.5219209999999999</v>
      </c>
      <c r="AB42" s="146">
        <v>5.6380129999999999</v>
      </c>
      <c r="AC42" s="146">
        <v>5.6094049999999998</v>
      </c>
      <c r="AD42" s="146">
        <v>5.6370339999999999</v>
      </c>
      <c r="AE42" s="146">
        <v>5.6227869999999998</v>
      </c>
      <c r="AF42" s="146">
        <v>5.6598689999999996</v>
      </c>
      <c r="AG42" s="144">
        <v>-1.7054E-2</v>
      </c>
      <c r="AH42" s="158">
        <v>6.8929689999999999</v>
      </c>
      <c r="AI42" s="157">
        <v>7.1780000000000004E-3</v>
      </c>
    </row>
    <row r="43" spans="1:35">
      <c r="A43" s="154" t="s">
        <v>593</v>
      </c>
      <c r="B43" s="154"/>
      <c r="C43" s="142" t="s">
        <v>594</v>
      </c>
      <c r="D43" s="160">
        <v>0.84969899999999998</v>
      </c>
      <c r="E43" s="160">
        <v>0.84475800000000001</v>
      </c>
      <c r="F43" s="160">
        <v>0.84086700000000003</v>
      </c>
      <c r="G43" s="160">
        <v>0.83844600000000002</v>
      </c>
      <c r="H43" s="160">
        <v>0.83787100000000003</v>
      </c>
      <c r="I43" s="160">
        <v>0.83799500000000005</v>
      </c>
      <c r="J43" s="160">
        <v>0.83800399999999997</v>
      </c>
      <c r="K43" s="160">
        <v>0.83732600000000001</v>
      </c>
      <c r="L43" s="160">
        <v>0.83618999999999999</v>
      </c>
      <c r="M43" s="160">
        <v>0.83489500000000005</v>
      </c>
      <c r="N43" s="160">
        <v>0.833978</v>
      </c>
      <c r="O43" s="160">
        <v>0.83357400000000004</v>
      </c>
      <c r="P43" s="160">
        <v>0.83381400000000006</v>
      </c>
      <c r="Q43" s="160">
        <v>0.83386000000000005</v>
      </c>
      <c r="R43" s="160">
        <v>0.83342400000000005</v>
      </c>
      <c r="S43" s="160">
        <v>0.83336500000000002</v>
      </c>
      <c r="T43" s="160">
        <v>0.83323400000000003</v>
      </c>
      <c r="U43" s="160">
        <v>0.83289100000000005</v>
      </c>
      <c r="V43" s="160">
        <v>0.83275299999999997</v>
      </c>
      <c r="W43" s="160">
        <v>0.83245100000000005</v>
      </c>
      <c r="X43" s="160">
        <v>0.83207699999999996</v>
      </c>
      <c r="Y43" s="160">
        <v>0.83146200000000003</v>
      </c>
      <c r="Z43" s="160">
        <v>0.83076700000000003</v>
      </c>
      <c r="AA43" s="160">
        <v>0.83018999999999998</v>
      </c>
      <c r="AB43" s="160">
        <v>0.82968200000000003</v>
      </c>
      <c r="AC43" s="160">
        <v>0.82922799999999997</v>
      </c>
      <c r="AD43" s="160">
        <v>0.82872699999999999</v>
      </c>
      <c r="AE43" s="160">
        <v>0.82816000000000001</v>
      </c>
      <c r="AF43" s="160">
        <v>0.82768299999999995</v>
      </c>
      <c r="AG43" s="144">
        <v>-9.3700000000000001E-4</v>
      </c>
      <c r="AH43" s="159">
        <v>0.83069199999999999</v>
      </c>
      <c r="AI43" s="157">
        <v>7.2999999999999999E-5</v>
      </c>
    </row>
    <row r="44" spans="1:35" ht="15.75" thickBot="1">
      <c r="A44" s="152"/>
      <c r="B44" s="152"/>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52"/>
      <c r="AI44" s="152"/>
    </row>
    <row r="45" spans="1:35" ht="15" customHeight="1">
      <c r="A45" s="152"/>
      <c r="B45" s="152"/>
      <c r="C45" s="132" t="s">
        <v>595</v>
      </c>
      <c r="D45" s="149"/>
      <c r="E45" s="149"/>
      <c r="F45" s="149"/>
      <c r="G45" s="149"/>
      <c r="H45" s="149"/>
      <c r="I45" s="149"/>
      <c r="J45" s="149"/>
      <c r="K45" s="149"/>
      <c r="L45" s="149"/>
      <c r="M45" s="149"/>
      <c r="N45" s="149"/>
      <c r="O45" s="149"/>
      <c r="P45" s="149"/>
      <c r="Q45" s="149"/>
      <c r="R45" s="149"/>
      <c r="S45" s="149"/>
      <c r="T45" s="149"/>
      <c r="U45" s="149"/>
      <c r="V45" s="149"/>
      <c r="W45" s="149"/>
      <c r="X45" s="149"/>
      <c r="Y45" s="149"/>
      <c r="Z45" s="149"/>
      <c r="AA45" s="149"/>
      <c r="AB45" s="149"/>
      <c r="AC45" s="149"/>
      <c r="AD45" s="149"/>
      <c r="AE45" s="149"/>
      <c r="AF45" s="149"/>
      <c r="AG45" s="149"/>
      <c r="AH45" s="151"/>
      <c r="AI45" s="151"/>
    </row>
    <row r="46" spans="1:35">
      <c r="A46" s="152"/>
      <c r="B46" s="152"/>
      <c r="C46" s="134" t="s">
        <v>596</v>
      </c>
      <c r="D46" s="134"/>
      <c r="E46" s="134"/>
      <c r="F46" s="134"/>
      <c r="G46" s="134"/>
      <c r="H46" s="134"/>
      <c r="I46" s="134"/>
      <c r="J46" s="134"/>
      <c r="K46" s="134"/>
      <c r="L46" s="134"/>
      <c r="M46" s="134"/>
      <c r="N46" s="134"/>
      <c r="O46" s="134"/>
      <c r="P46" s="134"/>
      <c r="Q46" s="134"/>
      <c r="R46" s="134"/>
      <c r="S46" s="134"/>
      <c r="T46" s="134"/>
      <c r="U46" s="134"/>
      <c r="V46" s="134"/>
      <c r="W46" s="134"/>
      <c r="X46" s="134"/>
      <c r="Y46" s="134"/>
      <c r="Z46" s="134"/>
      <c r="AA46" s="134"/>
      <c r="AB46" s="134"/>
      <c r="AC46" s="134"/>
      <c r="AD46" s="134"/>
      <c r="AE46" s="134"/>
      <c r="AF46" s="134"/>
      <c r="AG46" s="134"/>
      <c r="AH46" s="152"/>
      <c r="AI46" s="152"/>
    </row>
    <row r="47" spans="1:35">
      <c r="A47" s="152"/>
      <c r="B47" s="152"/>
      <c r="C47" s="134" t="s">
        <v>597</v>
      </c>
      <c r="D47" s="134"/>
      <c r="E47" s="134"/>
      <c r="F47" s="134"/>
      <c r="G47" s="134"/>
      <c r="H47" s="134"/>
      <c r="I47" s="134"/>
      <c r="J47" s="134"/>
      <c r="K47" s="134"/>
      <c r="L47" s="134"/>
      <c r="M47" s="134"/>
      <c r="N47" s="134"/>
      <c r="O47" s="134"/>
      <c r="P47" s="134"/>
      <c r="Q47" s="134"/>
      <c r="R47" s="134"/>
      <c r="S47" s="134"/>
      <c r="T47" s="134"/>
      <c r="U47" s="134"/>
      <c r="V47" s="134"/>
      <c r="W47" s="134"/>
      <c r="X47" s="134"/>
      <c r="Y47" s="134"/>
      <c r="Z47" s="134"/>
      <c r="AA47" s="134"/>
      <c r="AB47" s="134"/>
      <c r="AC47" s="134"/>
      <c r="AD47" s="134"/>
      <c r="AE47" s="134"/>
      <c r="AF47" s="134"/>
      <c r="AG47" s="134"/>
      <c r="AH47" s="152"/>
      <c r="AI47" s="152"/>
    </row>
    <row r="48" spans="1:35">
      <c r="A48" s="152"/>
      <c r="B48" s="152"/>
      <c r="C48" s="134" t="s">
        <v>598</v>
      </c>
      <c r="D48" s="134"/>
      <c r="E48" s="134"/>
      <c r="F48" s="134"/>
      <c r="G48" s="134"/>
      <c r="H48" s="134"/>
      <c r="I48" s="134"/>
      <c r="J48" s="134"/>
      <c r="K48" s="134"/>
      <c r="L48" s="134"/>
      <c r="M48" s="134"/>
      <c r="N48" s="134"/>
      <c r="O48" s="134"/>
      <c r="P48" s="134"/>
      <c r="Q48" s="134"/>
      <c r="R48" s="134"/>
      <c r="S48" s="134"/>
      <c r="T48" s="134"/>
      <c r="U48" s="134"/>
      <c r="V48" s="134"/>
      <c r="W48" s="134"/>
      <c r="X48" s="134"/>
      <c r="Y48" s="134"/>
      <c r="Z48" s="134"/>
      <c r="AA48" s="134"/>
      <c r="AB48" s="134"/>
      <c r="AC48" s="134"/>
      <c r="AD48" s="134"/>
      <c r="AE48" s="134"/>
      <c r="AF48" s="134"/>
      <c r="AG48" s="134"/>
      <c r="AH48" s="152"/>
      <c r="AI48" s="152"/>
    </row>
    <row r="49" spans="3:33">
      <c r="C49" s="134" t="s">
        <v>1422</v>
      </c>
      <c r="D49" s="134"/>
      <c r="E49" s="134"/>
      <c r="F49" s="134"/>
      <c r="G49" s="134"/>
      <c r="H49" s="134"/>
      <c r="I49" s="134"/>
      <c r="J49" s="134"/>
      <c r="K49" s="134"/>
      <c r="L49" s="134"/>
      <c r="M49" s="134"/>
      <c r="N49" s="134"/>
      <c r="O49" s="134"/>
      <c r="P49" s="134"/>
      <c r="Q49" s="134"/>
      <c r="R49" s="134"/>
      <c r="S49" s="134"/>
      <c r="T49" s="134"/>
      <c r="U49" s="134"/>
      <c r="V49" s="134"/>
      <c r="W49" s="134"/>
      <c r="X49" s="134"/>
      <c r="Y49" s="134"/>
      <c r="Z49" s="134"/>
      <c r="AA49" s="134"/>
      <c r="AB49" s="134"/>
      <c r="AC49" s="134"/>
      <c r="AD49" s="134"/>
      <c r="AE49" s="134"/>
      <c r="AF49" s="134"/>
      <c r="AG49" s="134"/>
    </row>
    <row r="50" spans="3:33">
      <c r="C50" s="134" t="s">
        <v>599</v>
      </c>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c r="AC50" s="134"/>
      <c r="AD50" s="134"/>
      <c r="AE50" s="134"/>
      <c r="AF50" s="134"/>
      <c r="AG50" s="134"/>
    </row>
    <row r="51" spans="3:33">
      <c r="C51" s="134" t="s">
        <v>1423</v>
      </c>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row>
    <row r="52" spans="3:33">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c r="AA52" s="134"/>
      <c r="AB52" s="134"/>
      <c r="AC52" s="134"/>
      <c r="AD52" s="134"/>
      <c r="AE52" s="134"/>
      <c r="AF52" s="134"/>
      <c r="AG52" s="134"/>
    </row>
    <row r="53" spans="3: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4"/>
      <c r="AG53" s="134"/>
    </row>
    <row r="54" spans="3:33">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c r="AA54" s="134"/>
      <c r="AB54" s="134"/>
      <c r="AC54" s="134"/>
      <c r="AD54" s="134"/>
      <c r="AE54" s="134"/>
      <c r="AF54" s="134"/>
      <c r="AG54" s="134"/>
    </row>
    <row r="55" spans="3:33">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c r="AA55" s="134"/>
      <c r="AB55" s="134"/>
      <c r="AC55" s="134"/>
      <c r="AD55" s="134"/>
      <c r="AE55" s="134"/>
      <c r="AF55" s="134"/>
      <c r="AG55" s="134"/>
    </row>
    <row r="56" spans="3:33">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c r="AA56" s="134"/>
      <c r="AB56" s="134"/>
      <c r="AC56" s="134"/>
      <c r="AD56" s="134"/>
      <c r="AE56" s="134"/>
      <c r="AF56" s="134"/>
      <c r="AG56" s="134"/>
    </row>
    <row r="57" spans="3:33">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c r="AA57" s="134"/>
      <c r="AB57" s="134"/>
      <c r="AC57" s="134"/>
      <c r="AD57" s="134"/>
      <c r="AE57" s="134"/>
      <c r="AF57" s="134"/>
      <c r="AG57" s="134"/>
    </row>
    <row r="58" spans="3:33">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c r="AA58" s="134"/>
      <c r="AB58" s="134"/>
      <c r="AC58" s="134"/>
      <c r="AD58" s="134"/>
      <c r="AE58" s="134"/>
      <c r="AF58" s="134"/>
      <c r="AG58" s="134"/>
    </row>
    <row r="59" spans="3:33">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c r="AA59" s="134"/>
      <c r="AB59" s="134"/>
      <c r="AC59" s="134"/>
      <c r="AD59" s="134"/>
      <c r="AE59" s="134"/>
      <c r="AF59" s="134"/>
      <c r="AG59" s="134"/>
    </row>
    <row r="60" spans="3:33">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c r="AA60" s="134"/>
      <c r="AB60" s="134"/>
      <c r="AC60" s="134"/>
      <c r="AD60" s="134"/>
      <c r="AE60" s="134"/>
      <c r="AF60" s="134"/>
      <c r="AG60" s="134"/>
    </row>
    <row r="61" spans="3:33">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c r="AA61" s="134"/>
      <c r="AB61" s="134"/>
      <c r="AC61" s="134"/>
      <c r="AD61" s="134"/>
      <c r="AE61" s="134"/>
      <c r="AF61" s="134"/>
      <c r="AG61" s="134"/>
    </row>
    <row r="62" spans="3:33">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c r="AA62" s="134"/>
      <c r="AB62" s="134"/>
      <c r="AC62" s="134"/>
      <c r="AD62" s="134"/>
      <c r="AE62" s="134"/>
      <c r="AF62" s="134"/>
      <c r="AG62" s="134"/>
    </row>
    <row r="63" spans="3:33">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c r="AA63" s="134"/>
      <c r="AB63" s="134"/>
      <c r="AC63" s="134"/>
      <c r="AD63" s="134"/>
      <c r="AE63" s="134"/>
      <c r="AF63" s="134"/>
      <c r="AG63" s="134"/>
    </row>
    <row r="64" spans="3:33">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c r="AA64" s="134"/>
      <c r="AB64" s="134"/>
      <c r="AC64" s="134"/>
      <c r="AD64" s="134"/>
      <c r="AE64" s="134"/>
      <c r="AF64" s="134"/>
      <c r="AG64" s="134"/>
    </row>
    <row r="65" spans="3:33">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c r="AA65" s="134"/>
      <c r="AB65" s="134"/>
      <c r="AC65" s="134"/>
      <c r="AD65" s="134"/>
      <c r="AE65" s="134"/>
      <c r="AF65" s="134"/>
      <c r="AG65" s="134"/>
    </row>
    <row r="66" spans="3:33">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c r="AA66" s="134"/>
      <c r="AB66" s="134"/>
      <c r="AC66" s="134"/>
      <c r="AD66" s="134"/>
      <c r="AE66" s="134"/>
      <c r="AF66" s="134"/>
      <c r="AG66" s="134"/>
    </row>
    <row r="67" spans="3:33">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row>
    <row r="68" spans="3:33">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c r="AA68" s="134"/>
      <c r="AB68" s="134"/>
      <c r="AC68" s="134"/>
      <c r="AD68" s="134"/>
      <c r="AE68" s="134"/>
      <c r="AF68" s="134"/>
      <c r="AG68" s="134"/>
    </row>
    <row r="69" spans="3:33">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c r="AA69" s="134"/>
      <c r="AB69" s="134"/>
      <c r="AC69" s="134"/>
      <c r="AD69" s="134"/>
      <c r="AE69" s="134"/>
      <c r="AF69" s="134"/>
      <c r="AG69" s="134"/>
    </row>
    <row r="70" spans="3:33">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c r="AA70" s="134"/>
      <c r="AB70" s="134"/>
      <c r="AC70" s="134"/>
      <c r="AD70" s="134"/>
      <c r="AE70" s="134"/>
      <c r="AF70" s="134"/>
      <c r="AG70" s="134"/>
    </row>
    <row r="71" spans="3:33">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row>
    <row r="72" spans="3:33">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c r="AA72" s="134"/>
      <c r="AB72" s="134"/>
      <c r="AC72" s="134"/>
      <c r="AD72" s="134"/>
      <c r="AE72" s="134"/>
      <c r="AF72" s="134"/>
      <c r="AG72" s="134"/>
    </row>
    <row r="73" spans="3:33">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c r="AA73" s="134"/>
      <c r="AB73" s="134"/>
      <c r="AC73" s="134"/>
      <c r="AD73" s="134"/>
      <c r="AE73" s="134"/>
      <c r="AF73" s="134"/>
      <c r="AG73" s="134"/>
    </row>
    <row r="74" spans="3:33">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c r="AA74" s="134"/>
      <c r="AB74" s="134"/>
      <c r="AC74" s="134"/>
      <c r="AD74" s="134"/>
      <c r="AE74" s="134"/>
      <c r="AF74" s="134"/>
      <c r="AG74" s="134"/>
    </row>
    <row r="75" spans="3:33">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c r="AA75" s="134"/>
      <c r="AB75" s="134"/>
      <c r="AC75" s="134"/>
      <c r="AD75" s="134"/>
      <c r="AE75" s="134"/>
      <c r="AF75" s="134"/>
      <c r="AG75" s="134"/>
    </row>
    <row r="76" spans="3:33">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c r="AA76" s="134"/>
      <c r="AB76" s="134"/>
      <c r="AC76" s="134"/>
      <c r="AD76" s="134"/>
      <c r="AE76" s="134"/>
      <c r="AF76" s="134"/>
      <c r="AG76" s="134"/>
    </row>
    <row r="77" spans="3:33">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row>
    <row r="78" spans="3:33">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c r="AA78" s="134"/>
      <c r="AB78" s="134"/>
      <c r="AC78" s="134"/>
      <c r="AD78" s="134"/>
      <c r="AE78" s="134"/>
      <c r="AF78" s="134"/>
      <c r="AG78" s="134"/>
    </row>
    <row r="79" spans="3:33">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c r="AA79" s="134"/>
      <c r="AB79" s="134"/>
      <c r="AC79" s="134"/>
      <c r="AD79" s="134"/>
      <c r="AE79" s="134"/>
      <c r="AF79" s="134"/>
      <c r="AG79" s="134"/>
    </row>
    <row r="80" spans="3:33">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c r="AA80" s="134"/>
      <c r="AB80" s="134"/>
      <c r="AC80" s="134"/>
      <c r="AD80" s="134"/>
      <c r="AE80" s="134"/>
      <c r="AF80" s="134"/>
      <c r="AG80" s="134"/>
    </row>
    <row r="81" spans="3:33">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c r="AA81" s="134"/>
      <c r="AB81" s="134"/>
      <c r="AC81" s="134"/>
      <c r="AD81" s="134"/>
      <c r="AE81" s="134"/>
      <c r="AF81" s="134"/>
      <c r="AG81" s="134"/>
    </row>
    <row r="82" spans="3:33">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c r="AA82" s="134"/>
      <c r="AB82" s="134"/>
      <c r="AC82" s="134"/>
      <c r="AD82" s="134"/>
      <c r="AE82" s="134"/>
      <c r="AF82" s="134"/>
      <c r="AG82" s="134"/>
    </row>
    <row r="83" spans="3:33">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c r="AA83" s="134"/>
      <c r="AB83" s="134"/>
      <c r="AC83" s="134"/>
      <c r="AD83" s="134"/>
      <c r="AE83" s="134"/>
      <c r="AF83" s="134"/>
      <c r="AG83" s="134"/>
    </row>
    <row r="84" spans="3:33">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c r="AA84" s="134"/>
      <c r="AB84" s="134"/>
      <c r="AC84" s="134"/>
      <c r="AD84" s="134"/>
      <c r="AE84" s="134"/>
      <c r="AF84" s="134"/>
      <c r="AG84" s="134" t="s">
        <v>1065</v>
      </c>
    </row>
    <row r="115" spans="34:35">
      <c r="AH115" s="152"/>
      <c r="AI115" s="152"/>
    </row>
    <row r="116" spans="34:35">
      <c r="AH116" s="152"/>
      <c r="AI116" s="152"/>
    </row>
    <row r="257" spans="34:35">
      <c r="AH257" s="152"/>
      <c r="AI257" s="152"/>
    </row>
    <row r="258" spans="34:35">
      <c r="AH258" s="152"/>
      <c r="AI258" s="152"/>
    </row>
    <row r="339" spans="34:35">
      <c r="AH339" s="152"/>
      <c r="AI339" s="152"/>
    </row>
    <row r="340" spans="34:35">
      <c r="AH340" s="152"/>
      <c r="AI340" s="152"/>
    </row>
    <row r="451" spans="34:35">
      <c r="AH451" s="152"/>
      <c r="AI451" s="152"/>
    </row>
    <row r="452" spans="34:35">
      <c r="AH452" s="152"/>
      <c r="AI452" s="152"/>
    </row>
    <row r="556" spans="34:35">
      <c r="AH556" s="152"/>
      <c r="AI556" s="152"/>
    </row>
    <row r="557" spans="34:35">
      <c r="AH557" s="152"/>
      <c r="AI557" s="152"/>
    </row>
    <row r="637" spans="34:35">
      <c r="AH637" s="152"/>
      <c r="AI637" s="152"/>
    </row>
    <row r="638" spans="34:35">
      <c r="AH638" s="152"/>
      <c r="AI638" s="152"/>
    </row>
    <row r="709" spans="34:35">
      <c r="AH709" s="152"/>
      <c r="AI709" s="152"/>
    </row>
    <row r="710" spans="34:35">
      <c r="AH710" s="152"/>
      <c r="AI710" s="152"/>
    </row>
    <row r="885" spans="34:35">
      <c r="AH885" s="152"/>
      <c r="AI885" s="152"/>
    </row>
    <row r="886" spans="34:35">
      <c r="AH886" s="152"/>
      <c r="AI886" s="152"/>
    </row>
    <row r="968" spans="34:35">
      <c r="AH968" s="152"/>
      <c r="AI968" s="152"/>
    </row>
    <row r="969" spans="34:35">
      <c r="AH969" s="152"/>
      <c r="AI969" s="152"/>
    </row>
    <row r="1070" spans="34:35">
      <c r="AH1070" s="152"/>
      <c r="AI1070" s="152"/>
    </row>
    <row r="1071" spans="34:35">
      <c r="AH1071" s="152"/>
      <c r="AI1071" s="152"/>
    </row>
    <row r="1169" spans="34:35">
      <c r="AH1169" s="152"/>
      <c r="AI1169" s="152"/>
    </row>
    <row r="1268" spans="34:35">
      <c r="AH1268" s="152"/>
      <c r="AI1268" s="152"/>
    </row>
    <row r="1269" spans="34:35">
      <c r="AH1269" s="152"/>
      <c r="AI1269" s="152"/>
    </row>
    <row r="1494" spans="34:35">
      <c r="AH1494" s="152"/>
      <c r="AI1494" s="152"/>
    </row>
    <row r="1495" spans="34:35">
      <c r="AH1495" s="152"/>
      <c r="AI1495" s="152"/>
    </row>
    <row r="1713" spans="34:35">
      <c r="AH1713" s="152"/>
      <c r="AI1713" s="152"/>
    </row>
    <row r="1728" spans="34:35">
      <c r="AH1728" s="152"/>
      <c r="AI1728" s="152"/>
    </row>
    <row r="1989" spans="34:35">
      <c r="AH1989" s="152"/>
      <c r="AI1989" s="152"/>
    </row>
    <row r="1990" spans="34:35">
      <c r="AH1990" s="152"/>
      <c r="AI1990" s="152"/>
    </row>
    <row r="2324" spans="34:35">
      <c r="AH2324" s="152"/>
      <c r="AI2324" s="152"/>
    </row>
    <row r="2325" spans="34:35">
      <c r="AH2325" s="152"/>
      <c r="AI2325" s="152"/>
    </row>
    <row r="2644" spans="34:35">
      <c r="AH2644" s="152"/>
      <c r="AI2644" s="152"/>
    </row>
    <row r="2645" spans="34:35">
      <c r="AH2645" s="152"/>
      <c r="AI2645" s="152"/>
    </row>
    <row r="2970" spans="34:35">
      <c r="AH2970" s="152"/>
      <c r="AI2970" s="152"/>
    </row>
    <row r="2971" spans="34:35">
      <c r="AH2971" s="152"/>
      <c r="AI2971" s="152"/>
    </row>
    <row r="3292" spans="34:35">
      <c r="AH3292" s="152"/>
      <c r="AI3292" s="152"/>
    </row>
    <row r="3293" spans="34:35">
      <c r="AH3293" s="152"/>
      <c r="AI3293" s="152"/>
    </row>
    <row r="3401" spans="34:35">
      <c r="AH3401" s="152"/>
      <c r="AI3401" s="152"/>
    </row>
    <row r="3402" spans="34:35">
      <c r="AH3402" s="152"/>
      <c r="AI3402" s="152"/>
    </row>
    <row r="3526" spans="34:35">
      <c r="AH3526" s="152"/>
      <c r="AI3526" s="152"/>
    </row>
    <row r="3527" spans="34:35">
      <c r="AH3527" s="152"/>
      <c r="AI3527" s="152"/>
    </row>
    <row r="3651" spans="34:35">
      <c r="AH3651" s="152"/>
      <c r="AI3651" s="152"/>
    </row>
    <row r="3652" spans="34:35">
      <c r="AH3652" s="152"/>
      <c r="AI3652" s="152"/>
    </row>
    <row r="3777" spans="34:35">
      <c r="AH3777" s="152"/>
      <c r="AI3777" s="152"/>
    </row>
    <row r="3901" spans="34:35">
      <c r="AH3901" s="152"/>
      <c r="AI3901" s="152"/>
    </row>
    <row r="3902" spans="34:35">
      <c r="AH3902" s="152"/>
      <c r="AI3902" s="152"/>
    </row>
    <row r="4026" spans="34:35">
      <c r="AH4026" s="152"/>
      <c r="AI4026" s="152"/>
    </row>
    <row r="4027" spans="34:35">
      <c r="AH4027" s="152"/>
      <c r="AI4027" s="152"/>
    </row>
    <row r="4151" spans="34:35">
      <c r="AH4151" s="152"/>
      <c r="AI4151" s="152"/>
    </row>
    <row r="4152" spans="34:35">
      <c r="AH4152" s="152"/>
      <c r="AI4152" s="152"/>
    </row>
    <row r="4276" spans="34:35">
      <c r="AH4276" s="152"/>
      <c r="AI4276" s="152"/>
    </row>
    <row r="4277" spans="34:35">
      <c r="AH4277" s="152"/>
      <c r="AI4277" s="152"/>
    </row>
    <row r="4401" spans="34:35">
      <c r="AH4401" s="152"/>
      <c r="AI4401" s="152"/>
    </row>
    <row r="4402" spans="34:35">
      <c r="AH4402" s="152"/>
      <c r="AI4402" s="15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70"/>
  <sheetViews>
    <sheetView workbookViewId="0"/>
  </sheetViews>
  <sheetFormatPr defaultRowHeight="15" customHeight="1"/>
  <cols>
    <col min="1" max="1" width="11.7109375" customWidth="1"/>
    <col min="2" max="2" width="28.42578125" customWidth="1"/>
  </cols>
  <sheetData>
    <row r="1" spans="2:38" ht="15" customHeight="1">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1079</v>
      </c>
      <c r="AL1" t="s">
        <v>353</v>
      </c>
    </row>
    <row r="10" spans="2:38">
      <c r="B10" t="s">
        <v>355</v>
      </c>
    </row>
    <row r="11" spans="2:38">
      <c r="B11" t="s">
        <v>1425</v>
      </c>
    </row>
    <row r="12" spans="2:38">
      <c r="B12" t="s">
        <v>1426</v>
      </c>
    </row>
    <row r="13" spans="2:38">
      <c r="B13" t="s">
        <v>302</v>
      </c>
    </row>
    <row r="14" spans="2:38">
      <c r="C14" t="s">
        <v>303</v>
      </c>
      <c r="D14" t="s">
        <v>351</v>
      </c>
      <c r="E14" t="s">
        <v>352</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1079</v>
      </c>
      <c r="AL14" t="s">
        <v>540</v>
      </c>
    </row>
    <row r="15" spans="2:38">
      <c r="B15" t="s">
        <v>356</v>
      </c>
    </row>
    <row r="16" spans="2:38">
      <c r="B16" t="s">
        <v>357</v>
      </c>
    </row>
    <row r="17" spans="2:38">
      <c r="B17" t="s">
        <v>358</v>
      </c>
      <c r="C17" t="s">
        <v>1427</v>
      </c>
      <c r="D17" t="s">
        <v>1428</v>
      </c>
      <c r="E17" t="s">
        <v>354</v>
      </c>
      <c r="G17">
        <v>216.061249</v>
      </c>
      <c r="H17">
        <v>202.913498</v>
      </c>
      <c r="I17">
        <v>191.10732999999999</v>
      </c>
      <c r="J17">
        <v>179.43310500000001</v>
      </c>
      <c r="K17">
        <v>168.36863700000001</v>
      </c>
      <c r="L17">
        <v>158.006531</v>
      </c>
      <c r="M17">
        <v>149.330658</v>
      </c>
      <c r="N17">
        <v>140.68388400000001</v>
      </c>
      <c r="O17">
        <v>134.161102</v>
      </c>
      <c r="P17">
        <v>127.857986</v>
      </c>
      <c r="Q17">
        <v>122.456497</v>
      </c>
      <c r="R17">
        <v>117.642242</v>
      </c>
      <c r="S17">
        <v>114.551804</v>
      </c>
      <c r="T17">
        <v>110.557632</v>
      </c>
      <c r="U17">
        <v>107.008072</v>
      </c>
      <c r="V17">
        <v>104.09292600000001</v>
      </c>
      <c r="W17">
        <v>102.854691</v>
      </c>
      <c r="X17">
        <v>100.53544599999999</v>
      </c>
      <c r="Y17">
        <v>98.836112999999997</v>
      </c>
      <c r="Z17">
        <v>97.028747999999993</v>
      </c>
      <c r="AA17">
        <v>94.866089000000002</v>
      </c>
      <c r="AB17">
        <v>93.695922999999993</v>
      </c>
      <c r="AC17">
        <v>91.912941000000004</v>
      </c>
      <c r="AD17">
        <v>89.544692999999995</v>
      </c>
      <c r="AE17">
        <v>87.944168000000005</v>
      </c>
      <c r="AF17">
        <v>87.058197000000007</v>
      </c>
      <c r="AG17">
        <v>86.250748000000002</v>
      </c>
      <c r="AH17">
        <v>84.798186999999999</v>
      </c>
      <c r="AI17">
        <v>84.145813000000004</v>
      </c>
      <c r="AJ17" s="31">
        <v>-3.3000000000000002E-2</v>
      </c>
      <c r="AL17" s="31">
        <v>-8.9999999999999993E-3</v>
      </c>
    </row>
    <row r="18" spans="2:38">
      <c r="B18" t="s">
        <v>359</v>
      </c>
      <c r="C18" t="s">
        <v>1429</v>
      </c>
      <c r="D18" t="s">
        <v>1430</v>
      </c>
      <c r="E18" t="s">
        <v>354</v>
      </c>
      <c r="G18">
        <v>0.41387099999999999</v>
      </c>
      <c r="H18">
        <v>0.36157600000000001</v>
      </c>
      <c r="I18">
        <v>0.30982900000000002</v>
      </c>
      <c r="J18">
        <v>0.265181</v>
      </c>
      <c r="K18">
        <v>0.22417999999999999</v>
      </c>
      <c r="L18">
        <v>0.18882499999999999</v>
      </c>
      <c r="M18">
        <v>0.15946199999999999</v>
      </c>
      <c r="N18">
        <v>0.13180800000000001</v>
      </c>
      <c r="O18">
        <v>0.11304400000000001</v>
      </c>
      <c r="P18">
        <v>8.9903999999999998E-2</v>
      </c>
      <c r="Q18">
        <v>7.3530999999999999E-2</v>
      </c>
      <c r="R18">
        <v>6.1947000000000002E-2</v>
      </c>
      <c r="S18">
        <v>5.2715999999999999E-2</v>
      </c>
      <c r="T18">
        <v>4.2708999999999997E-2</v>
      </c>
      <c r="U18">
        <v>3.5431999999999998E-2</v>
      </c>
      <c r="V18">
        <v>2.9818000000000001E-2</v>
      </c>
      <c r="W18">
        <v>2.649E-2</v>
      </c>
      <c r="X18">
        <v>2.2981000000000001E-2</v>
      </c>
      <c r="Y18">
        <v>2.0286999999999999E-2</v>
      </c>
      <c r="Z18">
        <v>1.7552999999999999E-2</v>
      </c>
      <c r="AA18">
        <v>1.5559999999999999E-2</v>
      </c>
      <c r="AB18">
        <v>1.4064E-2</v>
      </c>
      <c r="AC18">
        <v>0</v>
      </c>
      <c r="AD18">
        <v>0</v>
      </c>
      <c r="AE18">
        <v>0</v>
      </c>
      <c r="AF18">
        <v>0</v>
      </c>
      <c r="AG18">
        <v>0</v>
      </c>
      <c r="AH18">
        <v>0</v>
      </c>
      <c r="AI18">
        <v>0</v>
      </c>
      <c r="AJ18" t="s">
        <v>117</v>
      </c>
      <c r="AL18" t="s">
        <v>117</v>
      </c>
    </row>
    <row r="19" spans="2:38">
      <c r="B19" t="s">
        <v>360</v>
      </c>
      <c r="C19" t="s">
        <v>1431</v>
      </c>
      <c r="D19" t="s">
        <v>1432</v>
      </c>
      <c r="E19" t="s">
        <v>354</v>
      </c>
      <c r="G19">
        <v>216.47511299999999</v>
      </c>
      <c r="H19">
        <v>203.27507</v>
      </c>
      <c r="I19">
        <v>191.41716</v>
      </c>
      <c r="J19">
        <v>179.69828799999999</v>
      </c>
      <c r="K19">
        <v>168.59281899999999</v>
      </c>
      <c r="L19">
        <v>158.195358</v>
      </c>
      <c r="M19">
        <v>149.490128</v>
      </c>
      <c r="N19">
        <v>140.81568899999999</v>
      </c>
      <c r="O19">
        <v>134.27413899999999</v>
      </c>
      <c r="P19">
        <v>127.947891</v>
      </c>
      <c r="Q19">
        <v>122.530029</v>
      </c>
      <c r="R19">
        <v>117.704185</v>
      </c>
      <c r="S19">
        <v>114.604523</v>
      </c>
      <c r="T19">
        <v>110.600342</v>
      </c>
      <c r="U19">
        <v>107.043503</v>
      </c>
      <c r="V19">
        <v>104.122742</v>
      </c>
      <c r="W19">
        <v>102.88118</v>
      </c>
      <c r="X19">
        <v>100.558426</v>
      </c>
      <c r="Y19">
        <v>98.856399999999994</v>
      </c>
      <c r="Z19">
        <v>97.046302999999995</v>
      </c>
      <c r="AA19">
        <v>94.881645000000006</v>
      </c>
      <c r="AB19">
        <v>93.709984000000006</v>
      </c>
      <c r="AC19">
        <v>91.912941000000004</v>
      </c>
      <c r="AD19">
        <v>89.544692999999995</v>
      </c>
      <c r="AE19">
        <v>87.944168000000005</v>
      </c>
      <c r="AF19">
        <v>87.058197000000007</v>
      </c>
      <c r="AG19">
        <v>86.250748000000002</v>
      </c>
      <c r="AH19">
        <v>84.798186999999999</v>
      </c>
      <c r="AI19">
        <v>84.145813000000004</v>
      </c>
      <c r="AJ19" s="31">
        <v>-3.3000000000000002E-2</v>
      </c>
      <c r="AL19" s="31">
        <v>-0.01</v>
      </c>
    </row>
    <row r="20" spans="2:38">
      <c r="B20" t="s">
        <v>361</v>
      </c>
    </row>
    <row r="21" spans="2:38">
      <c r="B21" t="s">
        <v>362</v>
      </c>
      <c r="C21" t="s">
        <v>1433</v>
      </c>
      <c r="D21" t="s">
        <v>1434</v>
      </c>
      <c r="E21" t="s">
        <v>354</v>
      </c>
      <c r="G21">
        <v>10.480461</v>
      </c>
      <c r="H21">
        <v>9.3390979999999999</v>
      </c>
      <c r="I21">
        <v>8.3263210000000001</v>
      </c>
      <c r="J21">
        <v>7.3790969999999998</v>
      </c>
      <c r="K21">
        <v>6.577947</v>
      </c>
      <c r="L21">
        <v>5.8857350000000004</v>
      </c>
      <c r="M21">
        <v>5.2766520000000003</v>
      </c>
      <c r="N21">
        <v>4.7703829999999998</v>
      </c>
      <c r="O21">
        <v>4.368061</v>
      </c>
      <c r="P21">
        <v>4.044937</v>
      </c>
      <c r="Q21">
        <v>3.7924660000000001</v>
      </c>
      <c r="R21">
        <v>3.5946069999999999</v>
      </c>
      <c r="S21">
        <v>3.463673</v>
      </c>
      <c r="T21">
        <v>3.3493460000000002</v>
      </c>
      <c r="U21">
        <v>3.2642630000000001</v>
      </c>
      <c r="V21">
        <v>3.2002619999999999</v>
      </c>
      <c r="W21">
        <v>3.1804610000000002</v>
      </c>
      <c r="X21">
        <v>3.134341</v>
      </c>
      <c r="Y21">
        <v>3.1053229999999998</v>
      </c>
      <c r="Z21">
        <v>3.0728930000000001</v>
      </c>
      <c r="AA21">
        <v>3.0310260000000002</v>
      </c>
      <c r="AB21">
        <v>3.0119400000000001</v>
      </c>
      <c r="AC21">
        <v>2.9793810000000001</v>
      </c>
      <c r="AD21">
        <v>2.940709</v>
      </c>
      <c r="AE21">
        <v>2.9261650000000001</v>
      </c>
      <c r="AF21">
        <v>2.9254120000000001</v>
      </c>
      <c r="AG21">
        <v>2.9245709999999998</v>
      </c>
      <c r="AH21">
        <v>2.9048690000000001</v>
      </c>
      <c r="AI21">
        <v>2.9012730000000002</v>
      </c>
      <c r="AJ21" s="31">
        <v>-4.4999999999999998E-2</v>
      </c>
      <c r="AL21" s="31">
        <v>-0.02</v>
      </c>
    </row>
    <row r="22" spans="2:38">
      <c r="B22" t="s">
        <v>1402</v>
      </c>
      <c r="C22" t="s">
        <v>1435</v>
      </c>
      <c r="D22" t="s">
        <v>1106</v>
      </c>
      <c r="E22" t="s">
        <v>354</v>
      </c>
      <c r="G22">
        <v>0.150231</v>
      </c>
      <c r="H22">
        <v>0.15567700000000001</v>
      </c>
      <c r="I22">
        <v>0.16225300000000001</v>
      </c>
      <c r="J22">
        <v>0.167239</v>
      </c>
      <c r="K22">
        <v>0.17080300000000001</v>
      </c>
      <c r="L22">
        <v>0.17437800000000001</v>
      </c>
      <c r="M22">
        <v>0.17888299999999999</v>
      </c>
      <c r="N22">
        <v>0.18391399999999999</v>
      </c>
      <c r="O22">
        <v>0.18943499999999999</v>
      </c>
      <c r="P22">
        <v>0.19538700000000001</v>
      </c>
      <c r="Q22">
        <v>0.20245099999999999</v>
      </c>
      <c r="R22">
        <v>0.208928</v>
      </c>
      <c r="S22">
        <v>0.21671199999999999</v>
      </c>
      <c r="T22">
        <v>0.22580800000000001</v>
      </c>
      <c r="U22">
        <v>0.235789</v>
      </c>
      <c r="V22">
        <v>0.2462</v>
      </c>
      <c r="W22">
        <v>0.25705299999999998</v>
      </c>
      <c r="X22">
        <v>0.26774700000000001</v>
      </c>
      <c r="Y22">
        <v>0.278729</v>
      </c>
      <c r="Z22">
        <v>0.289051</v>
      </c>
      <c r="AA22">
        <v>0.29901899999999998</v>
      </c>
      <c r="AB22">
        <v>0.30847200000000002</v>
      </c>
      <c r="AC22">
        <v>0.31775100000000001</v>
      </c>
      <c r="AD22">
        <v>0.32782099999999997</v>
      </c>
      <c r="AE22">
        <v>0.33930300000000002</v>
      </c>
      <c r="AF22">
        <v>0.35030299999999998</v>
      </c>
      <c r="AG22">
        <v>0.36106199999999999</v>
      </c>
      <c r="AH22">
        <v>0.37185299999999999</v>
      </c>
      <c r="AI22">
        <v>0.38317000000000001</v>
      </c>
      <c r="AJ22" s="31">
        <v>3.4000000000000002E-2</v>
      </c>
      <c r="AL22" s="31">
        <v>3.1E-2</v>
      </c>
    </row>
    <row r="23" spans="2:38">
      <c r="B23" t="s">
        <v>1400</v>
      </c>
      <c r="C23" t="s">
        <v>1436</v>
      </c>
      <c r="D23" t="s">
        <v>1106</v>
      </c>
      <c r="E23" t="s">
        <v>354</v>
      </c>
      <c r="G23">
        <v>0.209457</v>
      </c>
      <c r="H23">
        <v>0.24288399999999999</v>
      </c>
      <c r="I23">
        <v>0.29805900000000002</v>
      </c>
      <c r="J23">
        <v>0.364701</v>
      </c>
      <c r="K23">
        <v>0.43292599999999998</v>
      </c>
      <c r="L23">
        <v>0.50331300000000001</v>
      </c>
      <c r="M23">
        <v>0.57403300000000002</v>
      </c>
      <c r="N23">
        <v>0.64820500000000003</v>
      </c>
      <c r="O23">
        <v>0.72544399999999998</v>
      </c>
      <c r="P23">
        <v>0.80502899999999999</v>
      </c>
      <c r="Q23">
        <v>0.88727800000000001</v>
      </c>
      <c r="R23">
        <v>0.97044799999999998</v>
      </c>
      <c r="S23">
        <v>1.0561579999999999</v>
      </c>
      <c r="T23">
        <v>1.1456869999999999</v>
      </c>
      <c r="U23">
        <v>1.2411300000000001</v>
      </c>
      <c r="V23">
        <v>1.3388819999999999</v>
      </c>
      <c r="W23">
        <v>1.4383570000000001</v>
      </c>
      <c r="X23">
        <v>1.5390699999999999</v>
      </c>
      <c r="Y23">
        <v>1.641113</v>
      </c>
      <c r="Z23">
        <v>1.740686</v>
      </c>
      <c r="AA23">
        <v>1.838436</v>
      </c>
      <c r="AB23">
        <v>1.9323399999999999</v>
      </c>
      <c r="AC23">
        <v>2.0270290000000002</v>
      </c>
      <c r="AD23">
        <v>2.1261190000000001</v>
      </c>
      <c r="AE23">
        <v>2.2348409999999999</v>
      </c>
      <c r="AF23">
        <v>2.3409260000000001</v>
      </c>
      <c r="AG23">
        <v>2.445624</v>
      </c>
      <c r="AH23">
        <v>2.5497830000000001</v>
      </c>
      <c r="AI23">
        <v>2.6583839999999999</v>
      </c>
      <c r="AJ23" s="31">
        <v>9.5000000000000001E-2</v>
      </c>
      <c r="AL23" s="31">
        <v>0.13</v>
      </c>
    </row>
    <row r="24" spans="2:38">
      <c r="B24" t="s">
        <v>1398</v>
      </c>
      <c r="C24" t="s">
        <v>1437</v>
      </c>
      <c r="D24" t="s">
        <v>1106</v>
      </c>
      <c r="E24" t="s">
        <v>354</v>
      </c>
      <c r="G24">
        <v>0.55037100000000005</v>
      </c>
      <c r="H24">
        <v>0.64826899999999998</v>
      </c>
      <c r="I24">
        <v>0.756525</v>
      </c>
      <c r="J24">
        <v>0.87106499999999998</v>
      </c>
      <c r="K24">
        <v>0.97748100000000004</v>
      </c>
      <c r="L24">
        <v>1.080344</v>
      </c>
      <c r="M24">
        <v>1.1787380000000001</v>
      </c>
      <c r="N24">
        <v>1.2760279999999999</v>
      </c>
      <c r="O24">
        <v>1.371656</v>
      </c>
      <c r="P24">
        <v>1.4651479999999999</v>
      </c>
      <c r="Q24">
        <v>1.5580700000000001</v>
      </c>
      <c r="R24">
        <v>1.648828</v>
      </c>
      <c r="S24">
        <v>1.740313</v>
      </c>
      <c r="T24">
        <v>1.834678</v>
      </c>
      <c r="U24">
        <v>1.9350229999999999</v>
      </c>
      <c r="V24">
        <v>2.0362390000000001</v>
      </c>
      <c r="W24">
        <v>2.1379009999999998</v>
      </c>
      <c r="X24">
        <v>2.2398630000000002</v>
      </c>
      <c r="Y24">
        <v>2.3422559999999999</v>
      </c>
      <c r="Z24">
        <v>2.4403630000000001</v>
      </c>
      <c r="AA24">
        <v>2.5354649999999999</v>
      </c>
      <c r="AB24">
        <v>2.6252179999999998</v>
      </c>
      <c r="AC24">
        <v>2.715503</v>
      </c>
      <c r="AD24">
        <v>2.8114720000000002</v>
      </c>
      <c r="AE24">
        <v>2.9195479999999998</v>
      </c>
      <c r="AF24">
        <v>3.0240140000000002</v>
      </c>
      <c r="AG24">
        <v>3.126449</v>
      </c>
      <c r="AH24">
        <v>3.2288070000000002</v>
      </c>
      <c r="AI24">
        <v>3.3360669999999999</v>
      </c>
      <c r="AJ24" s="31">
        <v>6.6000000000000003E-2</v>
      </c>
      <c r="AL24" s="31">
        <v>7.0000000000000007E-2</v>
      </c>
    </row>
    <row r="25" spans="2:38">
      <c r="B25" t="s">
        <v>1396</v>
      </c>
      <c r="C25" t="s">
        <v>1438</v>
      </c>
      <c r="D25" t="s">
        <v>1439</v>
      </c>
      <c r="E25" t="s">
        <v>354</v>
      </c>
      <c r="G25">
        <v>0.38632899999999998</v>
      </c>
      <c r="H25">
        <v>0.39308999999999999</v>
      </c>
      <c r="I25">
        <v>0.40752300000000002</v>
      </c>
      <c r="J25">
        <v>0.42066599999999998</v>
      </c>
      <c r="K25">
        <v>0.43234699999999998</v>
      </c>
      <c r="L25">
        <v>0.44269599999999998</v>
      </c>
      <c r="M25">
        <v>0.45019799999999999</v>
      </c>
      <c r="N25">
        <v>0.45800800000000003</v>
      </c>
      <c r="O25">
        <v>0.46652199999999999</v>
      </c>
      <c r="P25">
        <v>0.47587600000000002</v>
      </c>
      <c r="Q25">
        <v>0.486238</v>
      </c>
      <c r="R25">
        <v>0.49731900000000001</v>
      </c>
      <c r="S25">
        <v>0.50967399999999996</v>
      </c>
      <c r="T25">
        <v>0.52399099999999998</v>
      </c>
      <c r="U25">
        <v>0.540794</v>
      </c>
      <c r="V25">
        <v>0.55903899999999995</v>
      </c>
      <c r="W25">
        <v>0.57838199999999995</v>
      </c>
      <c r="X25">
        <v>0.59825600000000001</v>
      </c>
      <c r="Y25">
        <v>0.619031</v>
      </c>
      <c r="Z25">
        <v>0.63936899999999997</v>
      </c>
      <c r="AA25">
        <v>0.65943499999999999</v>
      </c>
      <c r="AB25">
        <v>0.67862500000000003</v>
      </c>
      <c r="AC25">
        <v>0.69812700000000005</v>
      </c>
      <c r="AD25">
        <v>0.71899599999999997</v>
      </c>
      <c r="AE25">
        <v>0.74258599999999997</v>
      </c>
      <c r="AF25">
        <v>0.76578999999999997</v>
      </c>
      <c r="AG25">
        <v>0.78848700000000005</v>
      </c>
      <c r="AH25">
        <v>0.81000399999999995</v>
      </c>
      <c r="AI25">
        <v>0.83303700000000003</v>
      </c>
      <c r="AJ25" s="31">
        <v>2.8000000000000001E-2</v>
      </c>
      <c r="AL25" s="31">
        <v>6.0000000000000001E-3</v>
      </c>
    </row>
    <row r="26" spans="2:38">
      <c r="B26" t="s">
        <v>1393</v>
      </c>
      <c r="C26" t="s">
        <v>1440</v>
      </c>
      <c r="D26" t="s">
        <v>1441</v>
      </c>
      <c r="E26" t="s">
        <v>354</v>
      </c>
      <c r="G26">
        <v>0.14229600000000001</v>
      </c>
      <c r="H26">
        <v>0.14535999999999999</v>
      </c>
      <c r="I26">
        <v>0.15209700000000001</v>
      </c>
      <c r="J26">
        <v>0.159747</v>
      </c>
      <c r="K26">
        <v>0.16747799999999999</v>
      </c>
      <c r="L26">
        <v>0.17560100000000001</v>
      </c>
      <c r="M26">
        <v>0.18340100000000001</v>
      </c>
      <c r="N26">
        <v>0.19239100000000001</v>
      </c>
      <c r="O26">
        <v>0.20274500000000001</v>
      </c>
      <c r="P26">
        <v>0.21438199999999999</v>
      </c>
      <c r="Q26">
        <v>0.227351</v>
      </c>
      <c r="R26">
        <v>0.24129400000000001</v>
      </c>
      <c r="S26">
        <v>0.25644600000000001</v>
      </c>
      <c r="T26">
        <v>0.27300400000000002</v>
      </c>
      <c r="U26">
        <v>0.29122999999999999</v>
      </c>
      <c r="V26">
        <v>0.31032500000000002</v>
      </c>
      <c r="W26">
        <v>0.33004699999999998</v>
      </c>
      <c r="X26">
        <v>0.35006199999999998</v>
      </c>
      <c r="Y26">
        <v>0.37053199999999997</v>
      </c>
      <c r="Z26">
        <v>0.39059199999999999</v>
      </c>
      <c r="AA26">
        <v>0.41039199999999998</v>
      </c>
      <c r="AB26">
        <v>0.42952800000000002</v>
      </c>
      <c r="AC26">
        <v>0.44883400000000001</v>
      </c>
      <c r="AD26">
        <v>0.46913199999999999</v>
      </c>
      <c r="AE26">
        <v>0.49137700000000001</v>
      </c>
      <c r="AF26">
        <v>0.51327299999999998</v>
      </c>
      <c r="AG26">
        <v>0.53481199999999995</v>
      </c>
      <c r="AH26">
        <v>0.55578700000000003</v>
      </c>
      <c r="AI26">
        <v>0.57773099999999999</v>
      </c>
      <c r="AJ26" s="31">
        <v>5.0999999999999997E-2</v>
      </c>
      <c r="AL26" s="31">
        <v>2.9000000000000001E-2</v>
      </c>
    </row>
    <row r="27" spans="2:38">
      <c r="B27" t="s">
        <v>363</v>
      </c>
      <c r="C27" t="s">
        <v>1442</v>
      </c>
      <c r="D27" t="s">
        <v>1443</v>
      </c>
      <c r="E27" t="s">
        <v>354</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117</v>
      </c>
      <c r="AL27" t="s">
        <v>117</v>
      </c>
    </row>
    <row r="28" spans="2:38">
      <c r="B28" t="s">
        <v>364</v>
      </c>
      <c r="C28" t="s">
        <v>1444</v>
      </c>
      <c r="D28" t="s">
        <v>1445</v>
      </c>
      <c r="E28" t="s">
        <v>354</v>
      </c>
      <c r="G28">
        <v>5.8795390000000003</v>
      </c>
      <c r="H28">
        <v>5.7386439999999999</v>
      </c>
      <c r="I28">
        <v>5.6031649999999997</v>
      </c>
      <c r="J28">
        <v>5.4299239999999998</v>
      </c>
      <c r="K28">
        <v>5.2925420000000001</v>
      </c>
      <c r="L28">
        <v>5.1573900000000004</v>
      </c>
      <c r="M28">
        <v>5.0253310000000004</v>
      </c>
      <c r="N28">
        <v>4.9296049999999996</v>
      </c>
      <c r="O28">
        <v>4.8743509999999999</v>
      </c>
      <c r="P28">
        <v>4.8482950000000002</v>
      </c>
      <c r="Q28">
        <v>4.8494869999999999</v>
      </c>
      <c r="R28">
        <v>4.8679490000000003</v>
      </c>
      <c r="S28">
        <v>4.914701</v>
      </c>
      <c r="T28">
        <v>4.979584</v>
      </c>
      <c r="U28">
        <v>5.0636260000000002</v>
      </c>
      <c r="V28">
        <v>5.1625930000000002</v>
      </c>
      <c r="W28">
        <v>5.2842989999999999</v>
      </c>
      <c r="X28">
        <v>5.3991759999999998</v>
      </c>
      <c r="Y28">
        <v>5.5251679999999999</v>
      </c>
      <c r="Z28">
        <v>5.6457119999999996</v>
      </c>
      <c r="AA28">
        <v>5.7596270000000001</v>
      </c>
      <c r="AB28">
        <v>5.8762569999999998</v>
      </c>
      <c r="AC28">
        <v>5.988899</v>
      </c>
      <c r="AD28">
        <v>6.1087949999999998</v>
      </c>
      <c r="AE28">
        <v>6.2523160000000004</v>
      </c>
      <c r="AF28">
        <v>6.3991490000000004</v>
      </c>
      <c r="AG28">
        <v>6.5458639999999999</v>
      </c>
      <c r="AH28">
        <v>6.6823079999999999</v>
      </c>
      <c r="AI28">
        <v>6.8366439999999997</v>
      </c>
      <c r="AJ28" s="31">
        <v>5.0000000000000001E-3</v>
      </c>
      <c r="AL28" s="31">
        <v>1.9E-2</v>
      </c>
    </row>
    <row r="29" spans="2:38">
      <c r="B29" t="s">
        <v>365</v>
      </c>
      <c r="C29" t="s">
        <v>1446</v>
      </c>
      <c r="D29" t="s">
        <v>1447</v>
      </c>
      <c r="E29" t="s">
        <v>354</v>
      </c>
      <c r="G29">
        <v>0.37773800000000002</v>
      </c>
      <c r="H29">
        <v>0.347667</v>
      </c>
      <c r="I29">
        <v>0.318573</v>
      </c>
      <c r="J29">
        <v>0.288045</v>
      </c>
      <c r="K29">
        <v>0.256492</v>
      </c>
      <c r="L29">
        <v>0.227241</v>
      </c>
      <c r="M29">
        <v>0.20006599999999999</v>
      </c>
      <c r="N29">
        <v>0.173455</v>
      </c>
      <c r="O29">
        <v>0.14763699999999999</v>
      </c>
      <c r="P29">
        <v>0.130939</v>
      </c>
      <c r="Q29">
        <v>0.11280800000000001</v>
      </c>
      <c r="R29">
        <v>9.7209000000000004E-2</v>
      </c>
      <c r="S29">
        <v>8.5280999999999996E-2</v>
      </c>
      <c r="T29">
        <v>7.4024000000000006E-2</v>
      </c>
      <c r="U29">
        <v>6.4329999999999998E-2</v>
      </c>
      <c r="V29">
        <v>5.7296E-2</v>
      </c>
      <c r="W29">
        <v>5.3470999999999998E-2</v>
      </c>
      <c r="X29">
        <v>4.8527000000000001E-2</v>
      </c>
      <c r="Y29">
        <v>0</v>
      </c>
      <c r="Z29">
        <v>0</v>
      </c>
      <c r="AA29">
        <v>0</v>
      </c>
      <c r="AB29">
        <v>0</v>
      </c>
      <c r="AC29">
        <v>0</v>
      </c>
      <c r="AD29">
        <v>0</v>
      </c>
      <c r="AE29">
        <v>0</v>
      </c>
      <c r="AF29">
        <v>0</v>
      </c>
      <c r="AG29">
        <v>0</v>
      </c>
      <c r="AH29">
        <v>0</v>
      </c>
      <c r="AI29">
        <v>0</v>
      </c>
      <c r="AJ29" t="s">
        <v>117</v>
      </c>
      <c r="AL29" s="31">
        <v>-4.9000000000000002E-2</v>
      </c>
    </row>
    <row r="30" spans="2:38">
      <c r="B30" t="s">
        <v>366</v>
      </c>
      <c r="C30" t="s">
        <v>1448</v>
      </c>
      <c r="D30" t="s">
        <v>1449</v>
      </c>
      <c r="E30" t="s">
        <v>354</v>
      </c>
      <c r="G30">
        <v>1.3046E-2</v>
      </c>
      <c r="H30">
        <v>1.125E-2</v>
      </c>
      <c r="I30">
        <v>1.0099E-2</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t="s">
        <v>117</v>
      </c>
      <c r="AL30" s="31">
        <v>-2.1999999999999999E-2</v>
      </c>
    </row>
    <row r="31" spans="2:38">
      <c r="B31" t="s">
        <v>367</v>
      </c>
      <c r="C31" t="s">
        <v>1450</v>
      </c>
      <c r="D31" t="s">
        <v>1451</v>
      </c>
      <c r="E31" t="s">
        <v>354</v>
      </c>
      <c r="G31">
        <v>8.2875000000000004E-2</v>
      </c>
      <c r="H31">
        <v>7.0931999999999995E-2</v>
      </c>
      <c r="I31">
        <v>6.0793E-2</v>
      </c>
      <c r="J31">
        <v>5.2713999999999997E-2</v>
      </c>
      <c r="K31">
        <v>4.6781999999999997E-2</v>
      </c>
      <c r="L31">
        <v>4.2687000000000003E-2</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t="s">
        <v>117</v>
      </c>
      <c r="AL31" s="31">
        <v>-8.0000000000000002E-3</v>
      </c>
    </row>
    <row r="32" spans="2:38">
      <c r="B32" t="s">
        <v>368</v>
      </c>
      <c r="C32" t="s">
        <v>1452</v>
      </c>
      <c r="D32" t="s">
        <v>1453</v>
      </c>
      <c r="E32" t="s">
        <v>354</v>
      </c>
      <c r="G32">
        <v>0.16775100000000001</v>
      </c>
      <c r="H32">
        <v>0.14322599999999999</v>
      </c>
      <c r="I32">
        <v>0.122224</v>
      </c>
      <c r="J32">
        <v>0.105211</v>
      </c>
      <c r="K32">
        <v>9.2229000000000005E-2</v>
      </c>
      <c r="L32">
        <v>8.3366999999999997E-2</v>
      </c>
      <c r="M32">
        <v>7.7726000000000003E-2</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117</v>
      </c>
      <c r="AL32" s="31">
        <v>-7.0000000000000001E-3</v>
      </c>
    </row>
    <row r="33" spans="2:38">
      <c r="B33" t="s">
        <v>369</v>
      </c>
      <c r="C33" t="s">
        <v>1454</v>
      </c>
      <c r="D33" t="s">
        <v>1455</v>
      </c>
      <c r="E33" t="s">
        <v>354</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117</v>
      </c>
      <c r="AL33" t="s">
        <v>117</v>
      </c>
    </row>
    <row r="34" spans="2:38">
      <c r="B34" t="s">
        <v>370</v>
      </c>
      <c r="C34" t="s">
        <v>1456</v>
      </c>
      <c r="D34" t="s">
        <v>1457</v>
      </c>
      <c r="E34" t="s">
        <v>354</v>
      </c>
      <c r="G34">
        <v>1.4402999999999999E-2</v>
      </c>
      <c r="H34">
        <v>1.4289E-2</v>
      </c>
      <c r="I34">
        <v>1.4945999999999999E-2</v>
      </c>
      <c r="J34">
        <v>1.6136000000000001E-2</v>
      </c>
      <c r="K34">
        <v>1.7772E-2</v>
      </c>
      <c r="L34">
        <v>1.9703999999999999E-2</v>
      </c>
      <c r="M34">
        <v>2.1840999999999999E-2</v>
      </c>
      <c r="N34">
        <v>2.4251999999999999E-2</v>
      </c>
      <c r="O34">
        <v>2.6880000000000001E-2</v>
      </c>
      <c r="P34">
        <v>2.9724E-2</v>
      </c>
      <c r="Q34">
        <v>3.2781999999999999E-2</v>
      </c>
      <c r="R34">
        <v>3.5992999999999997E-2</v>
      </c>
      <c r="S34">
        <v>3.9387999999999999E-2</v>
      </c>
      <c r="T34">
        <v>4.2983E-2</v>
      </c>
      <c r="U34">
        <v>4.6814000000000001E-2</v>
      </c>
      <c r="V34">
        <v>5.0803000000000001E-2</v>
      </c>
      <c r="W34">
        <v>5.4937E-2</v>
      </c>
      <c r="X34">
        <v>5.9181999999999998E-2</v>
      </c>
      <c r="Y34">
        <v>6.3514000000000001E-2</v>
      </c>
      <c r="Z34">
        <v>6.7836999999999995E-2</v>
      </c>
      <c r="AA34">
        <v>7.2142999999999999E-2</v>
      </c>
      <c r="AB34">
        <v>7.6353000000000004E-2</v>
      </c>
      <c r="AC34">
        <v>8.0558000000000005E-2</v>
      </c>
      <c r="AD34">
        <v>8.4837999999999997E-2</v>
      </c>
      <c r="AE34">
        <v>8.9360999999999996E-2</v>
      </c>
      <c r="AF34">
        <v>9.3822000000000003E-2</v>
      </c>
      <c r="AG34">
        <v>9.8270999999999997E-2</v>
      </c>
      <c r="AH34">
        <v>0.102715</v>
      </c>
      <c r="AI34">
        <v>0.107226</v>
      </c>
      <c r="AJ34" s="31">
        <v>7.3999999999999996E-2</v>
      </c>
      <c r="AL34" s="31">
        <v>8.6999999999999994E-2</v>
      </c>
    </row>
    <row r="35" spans="2:38">
      <c r="B35" t="s">
        <v>371</v>
      </c>
      <c r="C35" t="s">
        <v>1458</v>
      </c>
      <c r="D35" t="s">
        <v>1459</v>
      </c>
      <c r="E35" t="s">
        <v>354</v>
      </c>
      <c r="G35">
        <v>18.454498000000001</v>
      </c>
      <c r="H35">
        <v>17.250388999999998</v>
      </c>
      <c r="I35">
        <v>16.232576000000002</v>
      </c>
      <c r="J35">
        <v>15.254543</v>
      </c>
      <c r="K35">
        <v>14.464798999999999</v>
      </c>
      <c r="L35">
        <v>13.792457000000001</v>
      </c>
      <c r="M35">
        <v>13.166869</v>
      </c>
      <c r="N35">
        <v>12.656242000000001</v>
      </c>
      <c r="O35">
        <v>12.372729</v>
      </c>
      <c r="P35">
        <v>12.209716</v>
      </c>
      <c r="Q35">
        <v>12.148932</v>
      </c>
      <c r="R35">
        <v>12.162573999999999</v>
      </c>
      <c r="S35">
        <v>12.282344999999999</v>
      </c>
      <c r="T35">
        <v>12.449106</v>
      </c>
      <c r="U35">
        <v>12.683</v>
      </c>
      <c r="V35">
        <v>12.961639</v>
      </c>
      <c r="W35">
        <v>13.314907</v>
      </c>
      <c r="X35">
        <v>13.636225</v>
      </c>
      <c r="Y35">
        <v>13.945665999999999</v>
      </c>
      <c r="Z35">
        <v>14.286504000000001</v>
      </c>
      <c r="AA35">
        <v>14.605542</v>
      </c>
      <c r="AB35">
        <v>14.938734</v>
      </c>
      <c r="AC35">
        <v>15.256081</v>
      </c>
      <c r="AD35">
        <v>15.587882</v>
      </c>
      <c r="AE35">
        <v>15.995499000000001</v>
      </c>
      <c r="AF35">
        <v>16.412689</v>
      </c>
      <c r="AG35">
        <v>16.825137999999999</v>
      </c>
      <c r="AH35">
        <v>17.206125</v>
      </c>
      <c r="AI35">
        <v>17.633531999999999</v>
      </c>
      <c r="AJ35" s="31">
        <v>-2E-3</v>
      </c>
      <c r="AL35" s="31">
        <v>7.0000000000000001E-3</v>
      </c>
    </row>
    <row r="36" spans="2:38">
      <c r="B36" t="s">
        <v>372</v>
      </c>
      <c r="C36" t="s">
        <v>1460</v>
      </c>
      <c r="D36" t="s">
        <v>1461</v>
      </c>
      <c r="E36" t="s">
        <v>354</v>
      </c>
      <c r="G36">
        <v>234.92961099999999</v>
      </c>
      <c r="H36">
        <v>220.525452</v>
      </c>
      <c r="I36">
        <v>207.649734</v>
      </c>
      <c r="J36">
        <v>194.95283499999999</v>
      </c>
      <c r="K36">
        <v>183.05761699999999</v>
      </c>
      <c r="L36">
        <v>171.987808</v>
      </c>
      <c r="M36">
        <v>162.65699799999999</v>
      </c>
      <c r="N36">
        <v>153.471924</v>
      </c>
      <c r="O36">
        <v>146.64686599999999</v>
      </c>
      <c r="P36">
        <v>140.15760800000001</v>
      </c>
      <c r="Q36">
        <v>134.678955</v>
      </c>
      <c r="R36">
        <v>129.86676</v>
      </c>
      <c r="S36">
        <v>126.886871</v>
      </c>
      <c r="T36">
        <v>123.049446</v>
      </c>
      <c r="U36">
        <v>119.726501</v>
      </c>
      <c r="V36">
        <v>117.08438099999999</v>
      </c>
      <c r="W36">
        <v>116.196091</v>
      </c>
      <c r="X36">
        <v>114.194649</v>
      </c>
      <c r="Y36">
        <v>112.802063</v>
      </c>
      <c r="Z36">
        <v>111.332809</v>
      </c>
      <c r="AA36">
        <v>109.48719</v>
      </c>
      <c r="AB36">
        <v>108.64872</v>
      </c>
      <c r="AC36">
        <v>107.169022</v>
      </c>
      <c r="AD36">
        <v>105.132576</v>
      </c>
      <c r="AE36">
        <v>103.939667</v>
      </c>
      <c r="AF36">
        <v>103.47088599999999</v>
      </c>
      <c r="AG36">
        <v>103.07588200000001</v>
      </c>
      <c r="AH36">
        <v>102.004311</v>
      </c>
      <c r="AI36">
        <v>101.779343</v>
      </c>
      <c r="AJ36" s="31">
        <v>-2.9000000000000001E-2</v>
      </c>
      <c r="AL36" s="31">
        <v>-8.0000000000000002E-3</v>
      </c>
    </row>
    <row r="37" spans="2:38">
      <c r="B37" t="s">
        <v>335</v>
      </c>
    </row>
    <row r="38" spans="2:38">
      <c r="B38" t="s">
        <v>373</v>
      </c>
    </row>
    <row r="39" spans="2:38">
      <c r="B39" t="s">
        <v>358</v>
      </c>
      <c r="C39" t="s">
        <v>1462</v>
      </c>
      <c r="D39" t="s">
        <v>1463</v>
      </c>
      <c r="E39" t="s">
        <v>354</v>
      </c>
      <c r="G39">
        <v>501.75183099999998</v>
      </c>
      <c r="H39">
        <v>503.61712599999998</v>
      </c>
      <c r="I39">
        <v>504.86755399999998</v>
      </c>
      <c r="J39">
        <v>504.33364899999998</v>
      </c>
      <c r="K39">
        <v>502.30310100000003</v>
      </c>
      <c r="L39">
        <v>495.53616299999999</v>
      </c>
      <c r="M39">
        <v>490.14276100000001</v>
      </c>
      <c r="N39">
        <v>484.037262</v>
      </c>
      <c r="O39">
        <v>477.31152300000002</v>
      </c>
      <c r="P39">
        <v>471.26632699999999</v>
      </c>
      <c r="Q39">
        <v>464.98278800000003</v>
      </c>
      <c r="R39">
        <v>456.71075400000001</v>
      </c>
      <c r="S39">
        <v>454.35186800000002</v>
      </c>
      <c r="T39">
        <v>451.81256100000002</v>
      </c>
      <c r="U39">
        <v>446.86376999999999</v>
      </c>
      <c r="V39">
        <v>443.61679099999998</v>
      </c>
      <c r="W39">
        <v>440.89623999999998</v>
      </c>
      <c r="X39">
        <v>437.76324499999998</v>
      </c>
      <c r="Y39">
        <v>436.47869900000001</v>
      </c>
      <c r="Z39">
        <v>435.17401100000001</v>
      </c>
      <c r="AA39">
        <v>432.18591300000003</v>
      </c>
      <c r="AB39">
        <v>431.629456</v>
      </c>
      <c r="AC39">
        <v>431.20193499999999</v>
      </c>
      <c r="AD39">
        <v>428.54827899999998</v>
      </c>
      <c r="AE39">
        <v>426.72994999999997</v>
      </c>
      <c r="AF39">
        <v>425.77786300000002</v>
      </c>
      <c r="AG39">
        <v>425.50494400000002</v>
      </c>
      <c r="AH39">
        <v>424.65005500000001</v>
      </c>
      <c r="AI39">
        <v>424.85763500000002</v>
      </c>
      <c r="AJ39" s="31">
        <v>-6.0000000000000001E-3</v>
      </c>
      <c r="AL39" s="31">
        <v>-3.0000000000000001E-3</v>
      </c>
    </row>
    <row r="40" spans="2:38">
      <c r="B40" t="s">
        <v>359</v>
      </c>
      <c r="C40" t="s">
        <v>1464</v>
      </c>
      <c r="D40" t="s">
        <v>1465</v>
      </c>
      <c r="E40" t="s">
        <v>354</v>
      </c>
      <c r="G40">
        <v>2.4840179999999998</v>
      </c>
      <c r="H40">
        <v>2.2489340000000002</v>
      </c>
      <c r="I40">
        <v>2.0014430000000001</v>
      </c>
      <c r="J40">
        <v>1.795542</v>
      </c>
      <c r="K40">
        <v>1.594673</v>
      </c>
      <c r="L40">
        <v>1.408485</v>
      </c>
      <c r="M40">
        <v>1.2800469999999999</v>
      </c>
      <c r="N40">
        <v>1.145545</v>
      </c>
      <c r="O40">
        <v>1.0109790000000001</v>
      </c>
      <c r="P40">
        <v>0.87568599999999996</v>
      </c>
      <c r="Q40">
        <v>0.75727599999999995</v>
      </c>
      <c r="R40">
        <v>0.63287000000000004</v>
      </c>
      <c r="S40">
        <v>0.54049000000000003</v>
      </c>
      <c r="T40">
        <v>0.44983400000000001</v>
      </c>
      <c r="U40">
        <v>0.37342399999999998</v>
      </c>
      <c r="V40">
        <v>0.30781500000000001</v>
      </c>
      <c r="W40">
        <v>0.255471</v>
      </c>
      <c r="X40">
        <v>0.20983599999999999</v>
      </c>
      <c r="Y40">
        <v>0.175591</v>
      </c>
      <c r="Z40">
        <v>0.14885999999999999</v>
      </c>
      <c r="AA40">
        <v>0.12619900000000001</v>
      </c>
      <c r="AB40">
        <v>0.109986</v>
      </c>
      <c r="AC40">
        <v>9.7023999999999999E-2</v>
      </c>
      <c r="AD40">
        <v>8.5440000000000002E-2</v>
      </c>
      <c r="AE40">
        <v>5.5750000000000001E-3</v>
      </c>
      <c r="AF40">
        <v>5.6379999999999998E-3</v>
      </c>
      <c r="AG40">
        <v>5.6870000000000002E-3</v>
      </c>
      <c r="AH40">
        <v>5.7359999999999998E-3</v>
      </c>
      <c r="AI40">
        <v>5.7970000000000001E-3</v>
      </c>
      <c r="AJ40" s="31">
        <v>-0.19500000000000001</v>
      </c>
      <c r="AL40" s="31">
        <v>4.1000000000000002E-2</v>
      </c>
    </row>
    <row r="41" spans="2:38">
      <c r="B41" t="s">
        <v>374</v>
      </c>
      <c r="C41" t="s">
        <v>1466</v>
      </c>
      <c r="D41" t="s">
        <v>1467</v>
      </c>
      <c r="E41" t="s">
        <v>354</v>
      </c>
      <c r="G41">
        <v>504.23584</v>
      </c>
      <c r="H41">
        <v>505.86605800000001</v>
      </c>
      <c r="I41">
        <v>506.868988</v>
      </c>
      <c r="J41">
        <v>506.12918100000002</v>
      </c>
      <c r="K41">
        <v>503.89776599999999</v>
      </c>
      <c r="L41">
        <v>496.94464099999999</v>
      </c>
      <c r="M41">
        <v>491.422821</v>
      </c>
      <c r="N41">
        <v>485.18279999999999</v>
      </c>
      <c r="O41">
        <v>478.32251000000002</v>
      </c>
      <c r="P41">
        <v>472.141998</v>
      </c>
      <c r="Q41">
        <v>465.74005099999999</v>
      </c>
      <c r="R41">
        <v>457.34362800000002</v>
      </c>
      <c r="S41">
        <v>454.89236499999998</v>
      </c>
      <c r="T41">
        <v>452.26238999999998</v>
      </c>
      <c r="U41">
        <v>447.23718300000002</v>
      </c>
      <c r="V41">
        <v>443.92459100000002</v>
      </c>
      <c r="W41">
        <v>441.151703</v>
      </c>
      <c r="X41">
        <v>437.97308299999997</v>
      </c>
      <c r="Y41">
        <v>436.65429699999999</v>
      </c>
      <c r="Z41">
        <v>435.32287600000001</v>
      </c>
      <c r="AA41">
        <v>432.31210299999998</v>
      </c>
      <c r="AB41">
        <v>431.739441</v>
      </c>
      <c r="AC41">
        <v>431.29894999999999</v>
      </c>
      <c r="AD41">
        <v>428.63372800000002</v>
      </c>
      <c r="AE41">
        <v>426.73553500000003</v>
      </c>
      <c r="AF41">
        <v>425.78350799999998</v>
      </c>
      <c r="AG41">
        <v>425.51062000000002</v>
      </c>
      <c r="AH41">
        <v>424.65579200000002</v>
      </c>
      <c r="AI41">
        <v>424.86343399999998</v>
      </c>
      <c r="AJ41" s="31">
        <v>-6.0000000000000001E-3</v>
      </c>
      <c r="AL41" s="31">
        <v>-2E-3</v>
      </c>
    </row>
    <row r="42" spans="2:38">
      <c r="B42" t="s">
        <v>375</v>
      </c>
    </row>
    <row r="43" spans="2:38">
      <c r="B43" t="s">
        <v>362</v>
      </c>
      <c r="C43" t="s">
        <v>1468</v>
      </c>
      <c r="D43" t="s">
        <v>1469</v>
      </c>
      <c r="E43" t="s">
        <v>354</v>
      </c>
      <c r="G43">
        <v>77.758780999999999</v>
      </c>
      <c r="H43">
        <v>70.702797000000004</v>
      </c>
      <c r="I43">
        <v>64.569159999999997</v>
      </c>
      <c r="J43">
        <v>58.392280999999997</v>
      </c>
      <c r="K43">
        <v>52.867080999999999</v>
      </c>
      <c r="L43">
        <v>47.688960999999999</v>
      </c>
      <c r="M43">
        <v>43.066307000000002</v>
      </c>
      <c r="N43">
        <v>39.060744999999997</v>
      </c>
      <c r="O43">
        <v>35.591723999999999</v>
      </c>
      <c r="P43">
        <v>32.686638000000002</v>
      </c>
      <c r="Q43">
        <v>30.181273000000001</v>
      </c>
      <c r="R43">
        <v>27.918329</v>
      </c>
      <c r="S43">
        <v>26.471878</v>
      </c>
      <c r="T43">
        <v>25.25741</v>
      </c>
      <c r="U43">
        <v>24.151287</v>
      </c>
      <c r="V43">
        <v>23.380859000000001</v>
      </c>
      <c r="W43">
        <v>22.818052000000002</v>
      </c>
      <c r="X43">
        <v>22.313604000000002</v>
      </c>
      <c r="Y43">
        <v>22.065504000000001</v>
      </c>
      <c r="Z43">
        <v>21.856394000000002</v>
      </c>
      <c r="AA43">
        <v>21.520844</v>
      </c>
      <c r="AB43">
        <v>21.437918</v>
      </c>
      <c r="AC43">
        <v>21.388446999999999</v>
      </c>
      <c r="AD43">
        <v>21.119313999999999</v>
      </c>
      <c r="AE43">
        <v>20.951746</v>
      </c>
      <c r="AF43">
        <v>20.870531</v>
      </c>
      <c r="AG43">
        <v>20.838222999999999</v>
      </c>
      <c r="AH43">
        <v>20.751728</v>
      </c>
      <c r="AI43">
        <v>20.771072</v>
      </c>
      <c r="AJ43" s="31">
        <v>-4.5999999999999999E-2</v>
      </c>
      <c r="AL43" s="31">
        <v>-3.0000000000000001E-3</v>
      </c>
    </row>
    <row r="44" spans="2:38">
      <c r="B44" t="s">
        <v>1402</v>
      </c>
      <c r="C44" t="s">
        <v>1470</v>
      </c>
      <c r="D44" t="s">
        <v>1106</v>
      </c>
      <c r="E44" t="s">
        <v>354</v>
      </c>
      <c r="G44">
        <v>7.2129999999999998E-3</v>
      </c>
      <c r="H44">
        <v>7.1149999999999998E-3</v>
      </c>
      <c r="I44">
        <v>7.0499999999999998E-3</v>
      </c>
      <c r="J44">
        <v>7.0790000000000002E-3</v>
      </c>
      <c r="K44">
        <v>6.9639999999999997E-3</v>
      </c>
      <c r="L44">
        <v>6.2249999999999996E-3</v>
      </c>
      <c r="M44">
        <v>6.2220000000000001E-3</v>
      </c>
      <c r="N44">
        <v>6.2049999999999996E-3</v>
      </c>
      <c r="O44">
        <v>6.1669999999999997E-3</v>
      </c>
      <c r="P44">
        <v>6.1130000000000004E-3</v>
      </c>
      <c r="Q44">
        <v>6.0400000000000002E-3</v>
      </c>
      <c r="R44">
        <v>5.9459999999999999E-3</v>
      </c>
      <c r="S44">
        <v>5.8300000000000001E-3</v>
      </c>
      <c r="T44">
        <v>5.8120000000000003E-3</v>
      </c>
      <c r="U44">
        <v>5.6299999999999996E-3</v>
      </c>
      <c r="V44">
        <v>4.7549999999999997E-3</v>
      </c>
      <c r="W44">
        <v>4.6010000000000001E-3</v>
      </c>
      <c r="X44">
        <v>4.4229999999999998E-3</v>
      </c>
      <c r="Y44">
        <v>4.2269999999999999E-3</v>
      </c>
      <c r="Z44">
        <v>4.0130000000000001E-3</v>
      </c>
      <c r="AA44">
        <v>3.787E-3</v>
      </c>
      <c r="AB44">
        <v>3.5509999999999999E-3</v>
      </c>
      <c r="AC44">
        <v>3.3080000000000002E-3</v>
      </c>
      <c r="AD44">
        <v>3.0599999999999998E-3</v>
      </c>
      <c r="AE44">
        <v>2.8219999999999999E-3</v>
      </c>
      <c r="AF44">
        <v>2.5639999999999999E-3</v>
      </c>
      <c r="AG44">
        <v>2.3050000000000002E-3</v>
      </c>
      <c r="AH44">
        <v>2.0409999999999998E-3</v>
      </c>
      <c r="AI44">
        <v>1.7769999999999999E-3</v>
      </c>
      <c r="AJ44" s="31">
        <v>-4.9000000000000002E-2</v>
      </c>
      <c r="AL44" t="s">
        <v>117</v>
      </c>
    </row>
    <row r="45" spans="2:38">
      <c r="B45" t="s">
        <v>1400</v>
      </c>
      <c r="C45" t="s">
        <v>1471</v>
      </c>
      <c r="D45" t="s">
        <v>1106</v>
      </c>
      <c r="E45" t="s">
        <v>354</v>
      </c>
      <c r="G45">
        <v>0.15790699999999999</v>
      </c>
      <c r="H45">
        <v>0.30926300000000001</v>
      </c>
      <c r="I45">
        <v>0.52698199999999995</v>
      </c>
      <c r="J45">
        <v>0.79822300000000002</v>
      </c>
      <c r="K45">
        <v>1.1145799999999999</v>
      </c>
      <c r="L45">
        <v>1.4617199999999999</v>
      </c>
      <c r="M45">
        <v>1.8365590000000001</v>
      </c>
      <c r="N45">
        <v>2.2431480000000001</v>
      </c>
      <c r="O45">
        <v>2.6705950000000001</v>
      </c>
      <c r="P45">
        <v>3.1166360000000002</v>
      </c>
      <c r="Q45">
        <v>3.5770140000000001</v>
      </c>
      <c r="R45">
        <v>4.0498969999999996</v>
      </c>
      <c r="S45">
        <v>4.5397470000000002</v>
      </c>
      <c r="T45">
        <v>5.0530140000000001</v>
      </c>
      <c r="U45">
        <v>5.5864549999999999</v>
      </c>
      <c r="V45">
        <v>6.1388220000000002</v>
      </c>
      <c r="W45">
        <v>6.7114880000000001</v>
      </c>
      <c r="X45">
        <v>7.3006070000000003</v>
      </c>
      <c r="Y45">
        <v>7.9095839999999997</v>
      </c>
      <c r="Z45">
        <v>8.5280989999999992</v>
      </c>
      <c r="AA45">
        <v>9.157216</v>
      </c>
      <c r="AB45">
        <v>9.797174</v>
      </c>
      <c r="AC45">
        <v>10.445819</v>
      </c>
      <c r="AD45">
        <v>11.116942</v>
      </c>
      <c r="AE45">
        <v>11.795783</v>
      </c>
      <c r="AF45">
        <v>12.487297999999999</v>
      </c>
      <c r="AG45">
        <v>13.180315999999999</v>
      </c>
      <c r="AH45">
        <v>13.890413000000001</v>
      </c>
      <c r="AI45">
        <v>14.621585</v>
      </c>
      <c r="AJ45" s="31">
        <v>0.17599999999999999</v>
      </c>
      <c r="AL45" s="31">
        <v>0.215</v>
      </c>
    </row>
    <row r="46" spans="2:38">
      <c r="B46" t="s">
        <v>1398</v>
      </c>
      <c r="C46" t="s">
        <v>1472</v>
      </c>
      <c r="D46" t="s">
        <v>1106</v>
      </c>
      <c r="E46" t="s">
        <v>354</v>
      </c>
      <c r="G46">
        <v>6.8129999999999996E-2</v>
      </c>
      <c r="H46">
        <v>9.3171000000000004E-2</v>
      </c>
      <c r="I46">
        <v>0.12510399999999999</v>
      </c>
      <c r="J46">
        <v>0.16237099999999999</v>
      </c>
      <c r="K46">
        <v>0.20308699999999999</v>
      </c>
      <c r="L46">
        <v>0.246397</v>
      </c>
      <c r="M46">
        <v>0.29222199999999998</v>
      </c>
      <c r="N46">
        <v>0.34093499999999999</v>
      </c>
      <c r="O46">
        <v>0.392119</v>
      </c>
      <c r="P46">
        <v>0.44554199999999999</v>
      </c>
      <c r="Q46">
        <v>0.49998100000000001</v>
      </c>
      <c r="R46">
        <v>0.55523500000000003</v>
      </c>
      <c r="S46">
        <v>0.611954</v>
      </c>
      <c r="T46">
        <v>0.67101900000000003</v>
      </c>
      <c r="U46">
        <v>0.732074</v>
      </c>
      <c r="V46">
        <v>0.79502099999999998</v>
      </c>
      <c r="W46">
        <v>0.86001499999999997</v>
      </c>
      <c r="X46">
        <v>0.92667500000000003</v>
      </c>
      <c r="Y46">
        <v>0.99540499999999998</v>
      </c>
      <c r="Z46">
        <v>1.065078</v>
      </c>
      <c r="AA46">
        <v>1.1359140000000001</v>
      </c>
      <c r="AB46">
        <v>1.207883</v>
      </c>
      <c r="AC46">
        <v>1.280732</v>
      </c>
      <c r="AD46">
        <v>1.356058</v>
      </c>
      <c r="AE46">
        <v>1.432175</v>
      </c>
      <c r="AF46">
        <v>1.5097339999999999</v>
      </c>
      <c r="AG46">
        <v>1.5874520000000001</v>
      </c>
      <c r="AH46">
        <v>1.6671590000000001</v>
      </c>
      <c r="AI46">
        <v>1.749228</v>
      </c>
      <c r="AJ46" s="31">
        <v>0.123</v>
      </c>
      <c r="AL46" s="31">
        <v>0.10199999999999999</v>
      </c>
    </row>
    <row r="47" spans="2:38">
      <c r="B47" t="s">
        <v>1396</v>
      </c>
      <c r="C47" t="s">
        <v>1473</v>
      </c>
      <c r="D47" t="s">
        <v>1474</v>
      </c>
      <c r="E47" t="s">
        <v>354</v>
      </c>
      <c r="G47">
        <v>0.73683299999999996</v>
      </c>
      <c r="H47">
        <v>0.75536499999999995</v>
      </c>
      <c r="I47">
        <v>0.77718600000000004</v>
      </c>
      <c r="J47">
        <v>0.87654600000000005</v>
      </c>
      <c r="K47">
        <v>0.97357700000000003</v>
      </c>
      <c r="L47">
        <v>1.0656209999999999</v>
      </c>
      <c r="M47">
        <v>1.1499900000000001</v>
      </c>
      <c r="N47">
        <v>1.2314769999999999</v>
      </c>
      <c r="O47">
        <v>1.308586</v>
      </c>
      <c r="P47">
        <v>1.381874</v>
      </c>
      <c r="Q47">
        <v>1.451041</v>
      </c>
      <c r="R47">
        <v>1.515952</v>
      </c>
      <c r="S47">
        <v>1.577906</v>
      </c>
      <c r="T47">
        <v>1.6382220000000001</v>
      </c>
      <c r="U47">
        <v>1.6972119999999999</v>
      </c>
      <c r="V47">
        <v>1.755401</v>
      </c>
      <c r="W47">
        <v>1.813574</v>
      </c>
      <c r="X47">
        <v>1.8714470000000001</v>
      </c>
      <c r="Y47">
        <v>1.9303840000000001</v>
      </c>
      <c r="Z47">
        <v>1.989441</v>
      </c>
      <c r="AA47">
        <v>2.0490680000000001</v>
      </c>
      <c r="AB47">
        <v>2.1096430000000002</v>
      </c>
      <c r="AC47">
        <v>2.171116</v>
      </c>
      <c r="AD47">
        <v>2.2347809999999999</v>
      </c>
      <c r="AE47">
        <v>2.2993939999999999</v>
      </c>
      <c r="AF47">
        <v>2.365882</v>
      </c>
      <c r="AG47">
        <v>2.432531</v>
      </c>
      <c r="AH47">
        <v>2.5001980000000001</v>
      </c>
      <c r="AI47">
        <v>2.5703019999999999</v>
      </c>
      <c r="AJ47" s="31">
        <v>4.5999999999999999E-2</v>
      </c>
      <c r="AL47" s="31">
        <v>6.9000000000000006E-2</v>
      </c>
    </row>
    <row r="48" spans="2:38">
      <c r="B48" t="s">
        <v>1393</v>
      </c>
      <c r="C48" t="s">
        <v>1475</v>
      </c>
      <c r="D48" t="s">
        <v>1476</v>
      </c>
      <c r="E48" t="s">
        <v>354</v>
      </c>
      <c r="G48">
        <v>2.835E-2</v>
      </c>
      <c r="H48">
        <v>4.1937000000000002E-2</v>
      </c>
      <c r="I48">
        <v>6.1585000000000001E-2</v>
      </c>
      <c r="J48">
        <v>8.7240999999999999E-2</v>
      </c>
      <c r="K48">
        <v>0.11935800000000001</v>
      </c>
      <c r="L48">
        <v>0.15620999999999999</v>
      </c>
      <c r="M48">
        <v>0.19685800000000001</v>
      </c>
      <c r="N48">
        <v>0.24186099999999999</v>
      </c>
      <c r="O48">
        <v>0.29042299999999999</v>
      </c>
      <c r="P48">
        <v>0.34229700000000002</v>
      </c>
      <c r="Q48">
        <v>0.39697700000000002</v>
      </c>
      <c r="R48">
        <v>0.45409300000000002</v>
      </c>
      <c r="S48">
        <v>0.51377399999999995</v>
      </c>
      <c r="T48">
        <v>0.57631600000000005</v>
      </c>
      <c r="U48">
        <v>0.64151899999999995</v>
      </c>
      <c r="V48">
        <v>0.70929399999999998</v>
      </c>
      <c r="W48">
        <v>0.77968999999999999</v>
      </c>
      <c r="X48">
        <v>0.85226199999999996</v>
      </c>
      <c r="Y48">
        <v>0.92732499999999995</v>
      </c>
      <c r="Z48">
        <v>1.0039800000000001</v>
      </c>
      <c r="AA48">
        <v>1.082246</v>
      </c>
      <c r="AB48">
        <v>1.162094</v>
      </c>
      <c r="AC48">
        <v>1.24325</v>
      </c>
      <c r="AD48">
        <v>1.326875</v>
      </c>
      <c r="AE48">
        <v>1.4116439999999999</v>
      </c>
      <c r="AF48">
        <v>1.4981199999999999</v>
      </c>
      <c r="AG48">
        <v>1.5852710000000001</v>
      </c>
      <c r="AH48">
        <v>1.6740390000000001</v>
      </c>
      <c r="AI48">
        <v>1.7650170000000001</v>
      </c>
      <c r="AJ48" s="31">
        <v>0.159</v>
      </c>
      <c r="AL48" s="31">
        <v>7.6999999999999999E-2</v>
      </c>
    </row>
    <row r="49" spans="1:38">
      <c r="B49" t="s">
        <v>363</v>
      </c>
      <c r="C49" t="s">
        <v>1477</v>
      </c>
      <c r="D49" t="s">
        <v>1478</v>
      </c>
      <c r="E49" t="s">
        <v>354</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117</v>
      </c>
      <c r="AL49" t="s">
        <v>117</v>
      </c>
    </row>
    <row r="50" spans="1:38">
      <c r="B50" t="s">
        <v>364</v>
      </c>
      <c r="C50" t="s">
        <v>1479</v>
      </c>
      <c r="D50" t="s">
        <v>1480</v>
      </c>
      <c r="E50" t="s">
        <v>354</v>
      </c>
      <c r="G50">
        <v>5.68154</v>
      </c>
      <c r="H50">
        <v>6.772939</v>
      </c>
      <c r="I50">
        <v>7.8263999999999996</v>
      </c>
      <c r="J50">
        <v>8.8716779999999993</v>
      </c>
      <c r="K50">
        <v>9.8643450000000001</v>
      </c>
      <c r="L50">
        <v>10.707438</v>
      </c>
      <c r="M50">
        <v>11.431044</v>
      </c>
      <c r="N50">
        <v>12.085834</v>
      </c>
      <c r="O50">
        <v>12.673258000000001</v>
      </c>
      <c r="P50">
        <v>13.206234</v>
      </c>
      <c r="Q50">
        <v>13.686852</v>
      </c>
      <c r="R50">
        <v>14.115453</v>
      </c>
      <c r="S50">
        <v>14.526539</v>
      </c>
      <c r="T50">
        <v>14.914807</v>
      </c>
      <c r="U50">
        <v>15.279657</v>
      </c>
      <c r="V50">
        <v>15.632937999999999</v>
      </c>
      <c r="W50">
        <v>15.982077</v>
      </c>
      <c r="X50">
        <v>16.321697</v>
      </c>
      <c r="Y50">
        <v>16.670663999999999</v>
      </c>
      <c r="Z50">
        <v>17.015571999999999</v>
      </c>
      <c r="AA50">
        <v>17.356345999999998</v>
      </c>
      <c r="AB50">
        <v>17.706572999999999</v>
      </c>
      <c r="AC50">
        <v>18.06147</v>
      </c>
      <c r="AD50">
        <v>18.431583</v>
      </c>
      <c r="AE50">
        <v>18.810234000000001</v>
      </c>
      <c r="AF50">
        <v>19.204650999999998</v>
      </c>
      <c r="AG50">
        <v>19.601482000000001</v>
      </c>
      <c r="AH50">
        <v>20.001671000000002</v>
      </c>
      <c r="AI50">
        <v>20.427527999999999</v>
      </c>
      <c r="AJ50" s="31">
        <v>4.7E-2</v>
      </c>
      <c r="AL50" s="31">
        <v>6.8000000000000005E-2</v>
      </c>
    </row>
    <row r="51" spans="1:38">
      <c r="B51" t="s">
        <v>365</v>
      </c>
      <c r="C51" t="s">
        <v>1481</v>
      </c>
      <c r="D51" t="s">
        <v>1482</v>
      </c>
      <c r="E51" t="s">
        <v>354</v>
      </c>
      <c r="G51">
        <v>0.19059899999999999</v>
      </c>
      <c r="H51">
        <v>0.17730699999999999</v>
      </c>
      <c r="I51">
        <v>0.15409400000000001</v>
      </c>
      <c r="J51">
        <v>0.14325599999999999</v>
      </c>
      <c r="K51">
        <v>0.13997899999999999</v>
      </c>
      <c r="L51">
        <v>0.127385</v>
      </c>
      <c r="M51">
        <v>0.118635</v>
      </c>
      <c r="N51">
        <v>0.109754</v>
      </c>
      <c r="O51">
        <v>8.9388999999999996E-2</v>
      </c>
      <c r="P51">
        <v>8.3530999999999994E-2</v>
      </c>
      <c r="Q51">
        <v>7.7950000000000005E-2</v>
      </c>
      <c r="R51">
        <v>7.2656999999999999E-2</v>
      </c>
      <c r="S51">
        <v>6.7700999999999997E-2</v>
      </c>
      <c r="T51">
        <v>6.4348000000000002E-2</v>
      </c>
      <c r="U51">
        <v>5.9003E-2</v>
      </c>
      <c r="V51">
        <v>5.3483999999999997E-2</v>
      </c>
      <c r="W51">
        <v>5.0310000000000001E-2</v>
      </c>
      <c r="X51">
        <v>0</v>
      </c>
      <c r="Y51">
        <v>0</v>
      </c>
      <c r="Z51">
        <v>0</v>
      </c>
      <c r="AA51">
        <v>0</v>
      </c>
      <c r="AB51">
        <v>0</v>
      </c>
      <c r="AC51">
        <v>0</v>
      </c>
      <c r="AD51">
        <v>0</v>
      </c>
      <c r="AE51">
        <v>0</v>
      </c>
      <c r="AF51">
        <v>0</v>
      </c>
      <c r="AG51">
        <v>0</v>
      </c>
      <c r="AH51">
        <v>0</v>
      </c>
      <c r="AI51">
        <v>0</v>
      </c>
      <c r="AJ51" t="s">
        <v>117</v>
      </c>
      <c r="AL51" s="31">
        <v>-2.1999999999999999E-2</v>
      </c>
    </row>
    <row r="52" spans="1:38">
      <c r="B52" t="s">
        <v>366</v>
      </c>
      <c r="C52" t="s">
        <v>1483</v>
      </c>
      <c r="D52" t="s">
        <v>1484</v>
      </c>
      <c r="E52" t="s">
        <v>354</v>
      </c>
      <c r="G52">
        <v>0.17477200000000001</v>
      </c>
      <c r="H52">
        <v>0.162522</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117</v>
      </c>
      <c r="AL52" s="31">
        <v>-3.0000000000000001E-3</v>
      </c>
    </row>
    <row r="53" spans="1:38">
      <c r="B53" t="s">
        <v>367</v>
      </c>
      <c r="C53" t="s">
        <v>1485</v>
      </c>
      <c r="D53" t="s">
        <v>1486</v>
      </c>
      <c r="E53" t="s">
        <v>354</v>
      </c>
      <c r="G53">
        <v>0.43259700000000001</v>
      </c>
      <c r="H53">
        <v>0.38921499999999998</v>
      </c>
      <c r="I53">
        <v>0.34685500000000002</v>
      </c>
      <c r="J53">
        <v>0.31606200000000001</v>
      </c>
      <c r="K53">
        <v>0.283891</v>
      </c>
      <c r="L53">
        <v>0.25697599999999998</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t="s">
        <v>117</v>
      </c>
      <c r="AL53" s="31">
        <v>-2.3E-2</v>
      </c>
    </row>
    <row r="54" spans="1:38">
      <c r="B54" t="s">
        <v>368</v>
      </c>
      <c r="C54" t="s">
        <v>1487</v>
      </c>
      <c r="D54" t="s">
        <v>1488</v>
      </c>
      <c r="E54" t="s">
        <v>354</v>
      </c>
      <c r="G54">
        <v>0.409997</v>
      </c>
      <c r="H54">
        <v>0.38123099999999999</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117</v>
      </c>
      <c r="AL54" s="31">
        <v>-4.3999999999999997E-2</v>
      </c>
    </row>
    <row r="55" spans="1:38">
      <c r="B55" t="s">
        <v>369</v>
      </c>
      <c r="C55" t="s">
        <v>1489</v>
      </c>
      <c r="D55" t="s">
        <v>1490</v>
      </c>
      <c r="E55" t="s">
        <v>354</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117</v>
      </c>
      <c r="AL55" t="s">
        <v>117</v>
      </c>
    </row>
    <row r="56" spans="1:38">
      <c r="B56" t="s">
        <v>370</v>
      </c>
      <c r="C56" t="s">
        <v>1491</v>
      </c>
      <c r="D56" t="s">
        <v>1492</v>
      </c>
      <c r="E56" t="s">
        <v>354</v>
      </c>
      <c r="G56">
        <v>9.3999999999999994E-5</v>
      </c>
      <c r="H56">
        <v>2.8600000000000001E-4</v>
      </c>
      <c r="I56">
        <v>5.8600000000000004E-4</v>
      </c>
      <c r="J56">
        <v>9.9700000000000006E-4</v>
      </c>
      <c r="K56">
        <v>1.5100000000000001E-3</v>
      </c>
      <c r="L56">
        <v>2.1189999999999998E-3</v>
      </c>
      <c r="M56">
        <v>2.8170000000000001E-3</v>
      </c>
      <c r="N56">
        <v>3.6050000000000001E-3</v>
      </c>
      <c r="O56">
        <v>4.4679999999999997E-3</v>
      </c>
      <c r="P56">
        <v>5.4010000000000004E-3</v>
      </c>
      <c r="Q56">
        <v>6.3949999999999996E-3</v>
      </c>
      <c r="R56">
        <v>7.4409999999999997E-3</v>
      </c>
      <c r="S56">
        <v>8.5389999999999997E-3</v>
      </c>
      <c r="T56">
        <v>9.6900000000000007E-3</v>
      </c>
      <c r="U56">
        <v>1.0892000000000001E-2</v>
      </c>
      <c r="V56">
        <v>1.2142999999999999E-2</v>
      </c>
      <c r="W56">
        <v>1.3443999999999999E-2</v>
      </c>
      <c r="X56">
        <v>1.4789999999999999E-2</v>
      </c>
      <c r="Y56">
        <v>1.6182999999999999E-2</v>
      </c>
      <c r="Z56">
        <v>1.7611000000000002E-2</v>
      </c>
      <c r="AA56">
        <v>1.9073E-2</v>
      </c>
      <c r="AB56">
        <v>2.0567999999999999E-2</v>
      </c>
      <c r="AC56">
        <v>2.2091E-2</v>
      </c>
      <c r="AD56">
        <v>2.3657000000000001E-2</v>
      </c>
      <c r="AE56">
        <v>2.5248E-2</v>
      </c>
      <c r="AF56">
        <v>2.6872E-2</v>
      </c>
      <c r="AG56">
        <v>2.8514000000000001E-2</v>
      </c>
      <c r="AH56">
        <v>3.0190999999999999E-2</v>
      </c>
      <c r="AI56">
        <v>3.1907999999999999E-2</v>
      </c>
      <c r="AJ56" s="31">
        <v>0.23100000000000001</v>
      </c>
      <c r="AL56" s="31">
        <v>0.19400000000000001</v>
      </c>
    </row>
    <row r="57" spans="1:38">
      <c r="B57" t="s">
        <v>376</v>
      </c>
      <c r="C57" t="s">
        <v>1493</v>
      </c>
      <c r="D57" t="s">
        <v>1494</v>
      </c>
      <c r="E57" t="s">
        <v>354</v>
      </c>
      <c r="G57">
        <v>85.646805000000001</v>
      </c>
      <c r="H57">
        <v>79.793159000000003</v>
      </c>
      <c r="I57">
        <v>74.395004</v>
      </c>
      <c r="J57">
        <v>69.655738999999997</v>
      </c>
      <c r="K57">
        <v>65.574370999999999</v>
      </c>
      <c r="L57">
        <v>61.719051</v>
      </c>
      <c r="M57">
        <v>58.100650999999999</v>
      </c>
      <c r="N57">
        <v>55.323563</v>
      </c>
      <c r="O57">
        <v>53.026733</v>
      </c>
      <c r="P57">
        <v>51.274261000000003</v>
      </c>
      <c r="Q57">
        <v>49.883521999999999</v>
      </c>
      <c r="R57">
        <v>48.695006999999997</v>
      </c>
      <c r="S57">
        <v>48.323867999999997</v>
      </c>
      <c r="T57">
        <v>48.190635999999998</v>
      </c>
      <c r="U57">
        <v>48.163730999999999</v>
      </c>
      <c r="V57">
        <v>48.482716000000003</v>
      </c>
      <c r="W57">
        <v>49.033248999999998</v>
      </c>
      <c r="X57">
        <v>49.605507000000003</v>
      </c>
      <c r="Y57">
        <v>50.519278999999997</v>
      </c>
      <c r="Z57">
        <v>51.48019</v>
      </c>
      <c r="AA57">
        <v>52.324492999999997</v>
      </c>
      <c r="AB57">
        <v>53.445404000000003</v>
      </c>
      <c r="AC57">
        <v>54.616230000000002</v>
      </c>
      <c r="AD57">
        <v>55.612267000000003</v>
      </c>
      <c r="AE57">
        <v>56.729045999999997</v>
      </c>
      <c r="AF57">
        <v>57.965651999999999</v>
      </c>
      <c r="AG57">
        <v>59.256092000000002</v>
      </c>
      <c r="AH57">
        <v>60.517440999999998</v>
      </c>
      <c r="AI57">
        <v>61.938415999999997</v>
      </c>
      <c r="AJ57" s="31">
        <v>-1.2E-2</v>
      </c>
      <c r="AL57" s="31">
        <v>6.0000000000000001E-3</v>
      </c>
    </row>
    <row r="58" spans="1:38">
      <c r="B58" t="s">
        <v>377</v>
      </c>
      <c r="C58" t="s">
        <v>1495</v>
      </c>
      <c r="D58" t="s">
        <v>1496</v>
      </c>
      <c r="E58" t="s">
        <v>354</v>
      </c>
      <c r="G58">
        <v>589.88262899999995</v>
      </c>
      <c r="H58">
        <v>585.65924099999995</v>
      </c>
      <c r="I58">
        <v>581.26397699999995</v>
      </c>
      <c r="J58">
        <v>575.78491199999996</v>
      </c>
      <c r="K58">
        <v>569.47216800000001</v>
      </c>
      <c r="L58">
        <v>558.66369599999996</v>
      </c>
      <c r="M58">
        <v>549.52349900000002</v>
      </c>
      <c r="N58">
        <v>540.506348</v>
      </c>
      <c r="O58">
        <v>531.349243</v>
      </c>
      <c r="P58">
        <v>523.41625999999997</v>
      </c>
      <c r="Q58">
        <v>515.62359600000002</v>
      </c>
      <c r="R58">
        <v>506.038635</v>
      </c>
      <c r="S58">
        <v>503.21624800000001</v>
      </c>
      <c r="T58">
        <v>500.453033</v>
      </c>
      <c r="U58">
        <v>495.40090900000001</v>
      </c>
      <c r="V58">
        <v>492.40731799999998</v>
      </c>
      <c r="W58">
        <v>490.18493699999999</v>
      </c>
      <c r="X58">
        <v>487.57858299999998</v>
      </c>
      <c r="Y58">
        <v>487.17358400000001</v>
      </c>
      <c r="Z58">
        <v>486.80306999999999</v>
      </c>
      <c r="AA58">
        <v>484.63659699999999</v>
      </c>
      <c r="AB58">
        <v>485.184845</v>
      </c>
      <c r="AC58">
        <v>485.91519199999999</v>
      </c>
      <c r="AD58">
        <v>484.24600199999998</v>
      </c>
      <c r="AE58">
        <v>483.46456899999998</v>
      </c>
      <c r="AF58">
        <v>483.749146</v>
      </c>
      <c r="AG58">
        <v>484.76672400000001</v>
      </c>
      <c r="AH58">
        <v>485.17321800000002</v>
      </c>
      <c r="AI58">
        <v>486.801849</v>
      </c>
      <c r="AJ58" s="31">
        <v>-7.0000000000000001E-3</v>
      </c>
      <c r="AL58" s="31">
        <v>-1E-3</v>
      </c>
    </row>
    <row r="59" spans="1:38">
      <c r="B59" t="s">
        <v>300</v>
      </c>
      <c r="C59" t="s">
        <v>1497</v>
      </c>
      <c r="D59" t="s">
        <v>1498</v>
      </c>
      <c r="E59" t="s">
        <v>354</v>
      </c>
      <c r="G59">
        <v>824.81225600000005</v>
      </c>
      <c r="H59">
        <v>806.18469200000004</v>
      </c>
      <c r="I59">
        <v>788.91369599999996</v>
      </c>
      <c r="J59">
        <v>770.73773200000005</v>
      </c>
      <c r="K59">
        <v>752.52978499999995</v>
      </c>
      <c r="L59">
        <v>730.65148899999997</v>
      </c>
      <c r="M59">
        <v>712.18048099999999</v>
      </c>
      <c r="N59">
        <v>693.97827099999995</v>
      </c>
      <c r="O59">
        <v>677.99609399999997</v>
      </c>
      <c r="P59">
        <v>663.57385299999999</v>
      </c>
      <c r="Q59">
        <v>650.30255099999999</v>
      </c>
      <c r="R59">
        <v>635.905396</v>
      </c>
      <c r="S59">
        <v>630.10314900000003</v>
      </c>
      <c r="T59">
        <v>623.50250200000005</v>
      </c>
      <c r="U59">
        <v>615.12744099999998</v>
      </c>
      <c r="V59">
        <v>609.49169900000004</v>
      </c>
      <c r="W59">
        <v>606.38104199999998</v>
      </c>
      <c r="X59">
        <v>601.77325399999995</v>
      </c>
      <c r="Y59">
        <v>599.97564699999998</v>
      </c>
      <c r="Z59">
        <v>598.13586399999997</v>
      </c>
      <c r="AA59">
        <v>594.12377900000001</v>
      </c>
      <c r="AB59">
        <v>593.83355700000004</v>
      </c>
      <c r="AC59">
        <v>593.08422900000005</v>
      </c>
      <c r="AD59">
        <v>589.378601</v>
      </c>
      <c r="AE59">
        <v>587.40423599999997</v>
      </c>
      <c r="AF59">
        <v>587.22003199999995</v>
      </c>
      <c r="AG59">
        <v>587.84258999999997</v>
      </c>
      <c r="AH59">
        <v>587.17755099999999</v>
      </c>
      <c r="AI59">
        <v>588.58117700000003</v>
      </c>
      <c r="AJ59" s="31">
        <v>-1.2E-2</v>
      </c>
      <c r="AL59" s="31">
        <v>-3.0000000000000001E-3</v>
      </c>
    </row>
    <row r="60" spans="1:38" s="189" customFormat="1">
      <c r="B60" s="189" t="s">
        <v>311</v>
      </c>
    </row>
    <row r="61" spans="1:38" s="189" customFormat="1" ht="30">
      <c r="A61" s="190" t="s">
        <v>113</v>
      </c>
      <c r="B61" s="189" t="s">
        <v>313</v>
      </c>
      <c r="C61" s="189" t="s">
        <v>1499</v>
      </c>
      <c r="D61" s="189" t="s">
        <v>1500</v>
      </c>
      <c r="E61" s="189" t="s">
        <v>354</v>
      </c>
      <c r="G61" s="189">
        <v>510.039062</v>
      </c>
      <c r="H61" s="189">
        <v>513.23223900000005</v>
      </c>
      <c r="I61" s="189">
        <v>514.50213599999995</v>
      </c>
      <c r="J61" s="189">
        <v>516.66699200000005</v>
      </c>
      <c r="K61" s="189">
        <v>520.87158199999999</v>
      </c>
      <c r="L61" s="189">
        <v>519.23016399999995</v>
      </c>
      <c r="M61" s="189">
        <v>518.84228499999995</v>
      </c>
      <c r="N61" s="189">
        <v>517.39123500000005</v>
      </c>
      <c r="O61" s="189">
        <v>515.60320999999999</v>
      </c>
      <c r="P61" s="189">
        <v>514.84002699999996</v>
      </c>
      <c r="Q61" s="189">
        <v>515.51892099999998</v>
      </c>
      <c r="R61" s="189">
        <v>516.38940400000001</v>
      </c>
      <c r="S61" s="189">
        <v>517.64654499999995</v>
      </c>
      <c r="T61" s="189">
        <v>518.72296100000005</v>
      </c>
      <c r="U61" s="189">
        <v>519.57183799999996</v>
      </c>
      <c r="V61" s="189">
        <v>520.63885500000004</v>
      </c>
      <c r="W61" s="189">
        <v>521.87011700000005</v>
      </c>
      <c r="X61" s="189">
        <v>522.68402100000003</v>
      </c>
      <c r="Y61" s="189">
        <v>524.88647500000002</v>
      </c>
      <c r="Z61" s="189">
        <v>527.33355700000004</v>
      </c>
      <c r="AA61" s="189">
        <v>530.563354</v>
      </c>
      <c r="AB61" s="189">
        <v>533.10168499999997</v>
      </c>
      <c r="AC61" s="189">
        <v>535.15930200000003</v>
      </c>
      <c r="AD61" s="189">
        <v>537.66613800000005</v>
      </c>
      <c r="AE61" s="189">
        <v>541.15063499999997</v>
      </c>
      <c r="AF61" s="189">
        <v>546.01293899999996</v>
      </c>
      <c r="AG61" s="189">
        <v>550.45172100000002</v>
      </c>
      <c r="AH61" s="189">
        <v>555.214111</v>
      </c>
      <c r="AI61" s="189">
        <v>561.632385</v>
      </c>
      <c r="AJ61" s="191">
        <v>3.0000000000000001E-3</v>
      </c>
      <c r="AL61" s="191">
        <v>-2.5000000000000001E-2</v>
      </c>
    </row>
    <row r="62" spans="1:38" s="189" customFormat="1" ht="30">
      <c r="A62" s="190" t="s">
        <v>114</v>
      </c>
      <c r="B62" s="189" t="s">
        <v>327</v>
      </c>
      <c r="C62" s="189" t="s">
        <v>1501</v>
      </c>
      <c r="D62" s="189" t="s">
        <v>1502</v>
      </c>
      <c r="E62" s="189" t="s">
        <v>354</v>
      </c>
      <c r="G62" s="189">
        <v>289.12042200000002</v>
      </c>
      <c r="H62" s="189">
        <v>286.75845299999997</v>
      </c>
      <c r="I62" s="189">
        <v>280.34622200000001</v>
      </c>
      <c r="J62" s="189">
        <v>273.89959700000003</v>
      </c>
      <c r="K62" s="189">
        <v>268.30764799999997</v>
      </c>
      <c r="L62" s="189">
        <v>266.094177</v>
      </c>
      <c r="M62" s="189">
        <v>263.51705900000002</v>
      </c>
      <c r="N62" s="189">
        <v>260.94448899999998</v>
      </c>
      <c r="O62" s="189">
        <v>258.00408900000002</v>
      </c>
      <c r="P62" s="189">
        <v>255.270264</v>
      </c>
      <c r="Q62" s="189">
        <v>253.60591099999999</v>
      </c>
      <c r="R62" s="189">
        <v>252.222351</v>
      </c>
      <c r="S62" s="189">
        <v>251.02647400000001</v>
      </c>
      <c r="T62" s="189">
        <v>250.13725299999999</v>
      </c>
      <c r="U62" s="189">
        <v>249.41119399999999</v>
      </c>
      <c r="V62" s="189">
        <v>248.96447800000001</v>
      </c>
      <c r="W62" s="189">
        <v>248.966904</v>
      </c>
      <c r="X62" s="189">
        <v>248.90626499999999</v>
      </c>
      <c r="Y62" s="189">
        <v>249.25396699999999</v>
      </c>
      <c r="Z62" s="189">
        <v>250.61579900000001</v>
      </c>
      <c r="AA62" s="189">
        <v>251.53904700000001</v>
      </c>
      <c r="AB62" s="189">
        <v>252.49449200000001</v>
      </c>
      <c r="AC62" s="189">
        <v>253.52728300000001</v>
      </c>
      <c r="AD62" s="189">
        <v>255.131012</v>
      </c>
      <c r="AE62" s="189">
        <v>256.97701999999998</v>
      </c>
      <c r="AF62" s="189">
        <v>259.20791600000001</v>
      </c>
      <c r="AG62" s="189">
        <v>261.096924</v>
      </c>
      <c r="AH62" s="189">
        <v>262.84182700000002</v>
      </c>
      <c r="AI62" s="189">
        <v>265.58343500000001</v>
      </c>
      <c r="AJ62" s="191">
        <v>-3.0000000000000001E-3</v>
      </c>
      <c r="AL62" s="191">
        <v>8.0000000000000002E-3</v>
      </c>
    </row>
    <row r="63" spans="1:38" s="189" customFormat="1">
      <c r="A63" s="190" t="s">
        <v>257</v>
      </c>
      <c r="B63" s="189" t="s">
        <v>308</v>
      </c>
      <c r="C63" s="189" t="s">
        <v>1503</v>
      </c>
      <c r="D63" s="189" t="s">
        <v>1504</v>
      </c>
      <c r="E63" s="189" t="s">
        <v>354</v>
      </c>
      <c r="G63" s="189">
        <v>1.1919999999999999E-3</v>
      </c>
      <c r="H63" s="189">
        <v>5.9367000000000003E-2</v>
      </c>
      <c r="I63" s="189">
        <v>0.11705</v>
      </c>
      <c r="J63" s="189">
        <v>0.17241300000000001</v>
      </c>
      <c r="K63" s="189">
        <v>0.22949800000000001</v>
      </c>
      <c r="L63" s="189">
        <v>0.28361900000000001</v>
      </c>
      <c r="M63" s="189">
        <v>0.33646300000000001</v>
      </c>
      <c r="N63" s="189">
        <v>0.39336500000000002</v>
      </c>
      <c r="O63" s="189">
        <v>0.43659700000000001</v>
      </c>
      <c r="P63" s="189">
        <v>0.48442800000000003</v>
      </c>
      <c r="Q63" s="189">
        <v>0.53945200000000004</v>
      </c>
      <c r="R63" s="189">
        <v>0.60183900000000001</v>
      </c>
      <c r="S63" s="189">
        <v>0.67321399999999998</v>
      </c>
      <c r="T63" s="189">
        <v>0.75634199999999996</v>
      </c>
      <c r="U63" s="189">
        <v>0.853271</v>
      </c>
      <c r="V63" s="189">
        <v>0.96770199999999995</v>
      </c>
      <c r="W63" s="189">
        <v>1.1022019999999999</v>
      </c>
      <c r="X63" s="189">
        <v>1.257558</v>
      </c>
      <c r="Y63" s="189">
        <v>1.439565</v>
      </c>
      <c r="Z63" s="189">
        <v>1.649748</v>
      </c>
      <c r="AA63" s="189">
        <v>1.8861079999999999</v>
      </c>
      <c r="AB63" s="189">
        <v>2.1497600000000001</v>
      </c>
      <c r="AC63" s="189">
        <v>2.4400059999999999</v>
      </c>
      <c r="AD63" s="189">
        <v>2.7592590000000001</v>
      </c>
      <c r="AE63" s="189">
        <v>3.1105109999999998</v>
      </c>
      <c r="AF63" s="189">
        <v>3.4898639999999999</v>
      </c>
      <c r="AG63" s="189">
        <v>3.885303</v>
      </c>
      <c r="AH63" s="189">
        <v>4.2978630000000004</v>
      </c>
      <c r="AI63" s="189">
        <v>4.7380370000000003</v>
      </c>
      <c r="AJ63" s="191">
        <v>0.34399999999999997</v>
      </c>
      <c r="AL63" s="191">
        <v>8.7999999999999995E-2</v>
      </c>
    </row>
    <row r="64" spans="1:38" s="189" customFormat="1" ht="30">
      <c r="A64" s="190" t="s">
        <v>112</v>
      </c>
      <c r="B64" s="189" t="s">
        <v>307</v>
      </c>
      <c r="C64" s="189" t="s">
        <v>1505</v>
      </c>
      <c r="D64" s="189" t="s">
        <v>1506</v>
      </c>
      <c r="E64" s="189" t="s">
        <v>354</v>
      </c>
      <c r="G64" s="189">
        <v>1.100109</v>
      </c>
      <c r="H64" s="189">
        <v>1.0280959999999999</v>
      </c>
      <c r="I64" s="189">
        <v>0.95485699999999996</v>
      </c>
      <c r="J64" s="189">
        <v>0.85162800000000005</v>
      </c>
      <c r="K64" s="189">
        <v>0.74851699999999999</v>
      </c>
      <c r="L64" s="189">
        <v>0.657968</v>
      </c>
      <c r="M64" s="189">
        <v>0.59255500000000005</v>
      </c>
      <c r="N64" s="189">
        <v>0.53501100000000001</v>
      </c>
      <c r="O64" s="189">
        <v>0.478159</v>
      </c>
      <c r="P64" s="189">
        <v>0.42399300000000001</v>
      </c>
      <c r="Q64" s="189">
        <v>0.376664</v>
      </c>
      <c r="R64" s="189">
        <v>0.33548499999999998</v>
      </c>
      <c r="S64" s="189">
        <v>0.30089100000000002</v>
      </c>
      <c r="T64" s="189">
        <v>0.27107300000000001</v>
      </c>
      <c r="U64" s="189">
        <v>0.243198</v>
      </c>
      <c r="V64" s="189">
        <v>0.217586</v>
      </c>
      <c r="W64" s="189">
        <v>0.19492699999999999</v>
      </c>
      <c r="X64" s="189">
        <v>0.17607900000000001</v>
      </c>
      <c r="Y64" s="189">
        <v>0.160581</v>
      </c>
      <c r="Z64" s="189">
        <v>0.14618200000000001</v>
      </c>
      <c r="AA64" s="189">
        <v>0.133464</v>
      </c>
      <c r="AB64" s="189">
        <v>0.121475</v>
      </c>
      <c r="AC64" s="189">
        <v>0.110383</v>
      </c>
      <c r="AD64" s="189">
        <v>9.9973999999999993E-2</v>
      </c>
      <c r="AE64" s="189">
        <v>8.7946999999999997E-2</v>
      </c>
      <c r="AF64" s="189">
        <v>7.2319999999999995E-2</v>
      </c>
      <c r="AG64" s="189">
        <v>5.7146000000000002E-2</v>
      </c>
      <c r="AH64" s="189">
        <v>4.5075999999999998E-2</v>
      </c>
      <c r="AI64" s="189">
        <v>3.4169999999999999E-2</v>
      </c>
      <c r="AJ64" s="191">
        <v>-0.11700000000000001</v>
      </c>
      <c r="AL64" s="191">
        <v>-1.2999999999999999E-2</v>
      </c>
    </row>
    <row r="65" spans="1:38" s="189" customFormat="1" ht="30">
      <c r="A65" s="190" t="s">
        <v>113</v>
      </c>
      <c r="B65" s="189" t="s">
        <v>378</v>
      </c>
      <c r="C65" s="189" t="s">
        <v>1507</v>
      </c>
      <c r="D65" s="189" t="s">
        <v>1508</v>
      </c>
      <c r="E65" s="189" t="s">
        <v>354</v>
      </c>
      <c r="G65" s="189">
        <v>151.242096</v>
      </c>
      <c r="H65" s="189">
        <v>141.34045399999999</v>
      </c>
      <c r="I65" s="189">
        <v>129.145813</v>
      </c>
      <c r="J65" s="189">
        <v>120.461792</v>
      </c>
      <c r="K65" s="189">
        <v>112.432281</v>
      </c>
      <c r="L65" s="189">
        <v>107.911163</v>
      </c>
      <c r="M65" s="189">
        <v>104.367622</v>
      </c>
      <c r="N65" s="189">
        <v>102.90226</v>
      </c>
      <c r="O65" s="189">
        <v>101.621651</v>
      </c>
      <c r="P65" s="189">
        <v>100.82184599999999</v>
      </c>
      <c r="Q65" s="189">
        <v>100.73156</v>
      </c>
      <c r="R65" s="189">
        <v>101.22623400000001</v>
      </c>
      <c r="S65" s="189">
        <v>102.21268499999999</v>
      </c>
      <c r="T65" s="189">
        <v>103.91997499999999</v>
      </c>
      <c r="U65" s="189">
        <v>106.051331</v>
      </c>
      <c r="V65" s="189">
        <v>108.749588</v>
      </c>
      <c r="W65" s="189">
        <v>111.789322</v>
      </c>
      <c r="X65" s="189">
        <v>115.00824</v>
      </c>
      <c r="Y65" s="189">
        <v>118.47511299999999</v>
      </c>
      <c r="Z65" s="189">
        <v>122.06257600000001</v>
      </c>
      <c r="AA65" s="189">
        <v>125.481247</v>
      </c>
      <c r="AB65" s="189">
        <v>128.27446</v>
      </c>
      <c r="AC65" s="189">
        <v>130.72479200000001</v>
      </c>
      <c r="AD65" s="189">
        <v>133.17832899999999</v>
      </c>
      <c r="AE65" s="189">
        <v>135.37008700000001</v>
      </c>
      <c r="AF65" s="189">
        <v>137.66871599999999</v>
      </c>
      <c r="AG65" s="189">
        <v>139.07934599999999</v>
      </c>
      <c r="AH65" s="189">
        <v>140.81187399999999</v>
      </c>
      <c r="AI65" s="189">
        <v>142.651398</v>
      </c>
      <c r="AJ65" s="191">
        <v>-2E-3</v>
      </c>
      <c r="AL65" s="191">
        <v>3.1E-2</v>
      </c>
    </row>
    <row r="66" spans="1:38" s="189" customFormat="1">
      <c r="A66" s="189" t="s">
        <v>111</v>
      </c>
      <c r="B66" s="189" t="s">
        <v>379</v>
      </c>
      <c r="C66" s="189" t="s">
        <v>1509</v>
      </c>
      <c r="D66" s="189" t="s">
        <v>1510</v>
      </c>
      <c r="E66" s="189" t="s">
        <v>354</v>
      </c>
      <c r="G66" s="189">
        <v>0</v>
      </c>
      <c r="H66" s="189">
        <v>0</v>
      </c>
      <c r="I66" s="189">
        <v>0</v>
      </c>
      <c r="J66" s="189">
        <v>0</v>
      </c>
      <c r="K66" s="189">
        <v>0</v>
      </c>
      <c r="L66" s="189">
        <v>0</v>
      </c>
      <c r="M66" s="189">
        <v>0</v>
      </c>
      <c r="N66" s="189">
        <v>0</v>
      </c>
      <c r="O66" s="189">
        <v>0</v>
      </c>
      <c r="P66" s="189">
        <v>0</v>
      </c>
      <c r="Q66" s="189">
        <v>0</v>
      </c>
      <c r="R66" s="189">
        <v>0</v>
      </c>
      <c r="S66" s="189">
        <v>0</v>
      </c>
      <c r="T66" s="189">
        <v>0</v>
      </c>
      <c r="U66" s="189">
        <v>0</v>
      </c>
      <c r="V66" s="189">
        <v>0</v>
      </c>
      <c r="W66" s="189">
        <v>0</v>
      </c>
      <c r="X66" s="189">
        <v>0</v>
      </c>
      <c r="Y66" s="189">
        <v>0</v>
      </c>
      <c r="Z66" s="189">
        <v>0</v>
      </c>
      <c r="AA66" s="189">
        <v>0</v>
      </c>
      <c r="AB66" s="189">
        <v>0</v>
      </c>
      <c r="AC66" s="189">
        <v>0</v>
      </c>
      <c r="AD66" s="189">
        <v>0</v>
      </c>
      <c r="AE66" s="189">
        <v>0</v>
      </c>
      <c r="AF66" s="189">
        <v>0</v>
      </c>
      <c r="AG66" s="189">
        <v>0</v>
      </c>
      <c r="AH66" s="189">
        <v>0</v>
      </c>
      <c r="AI66" s="189">
        <v>0</v>
      </c>
      <c r="AJ66" s="189" t="s">
        <v>117</v>
      </c>
      <c r="AL66" s="191">
        <v>0.115</v>
      </c>
    </row>
    <row r="67" spans="1:38" s="189" customFormat="1">
      <c r="A67" s="189" t="s">
        <v>115</v>
      </c>
      <c r="B67" s="189" t="s">
        <v>380</v>
      </c>
      <c r="C67" s="189" t="s">
        <v>1511</v>
      </c>
      <c r="D67" s="189" t="s">
        <v>1512</v>
      </c>
      <c r="E67" s="189" t="s">
        <v>354</v>
      </c>
      <c r="G67" s="189">
        <v>0</v>
      </c>
      <c r="H67" s="189">
        <v>6.2978000000000006E-2</v>
      </c>
      <c r="I67" s="189">
        <v>0.122956</v>
      </c>
      <c r="J67" s="189">
        <v>0.178811</v>
      </c>
      <c r="K67" s="189">
        <v>0.23327899999999999</v>
      </c>
      <c r="L67" s="189">
        <v>0.28162999999999999</v>
      </c>
      <c r="M67" s="189">
        <v>0.325901</v>
      </c>
      <c r="N67" s="189">
        <v>0.37086799999999998</v>
      </c>
      <c r="O67" s="189">
        <v>0.397096</v>
      </c>
      <c r="P67" s="189">
        <v>0.42360599999999998</v>
      </c>
      <c r="Q67" s="189">
        <v>0.45221899999999998</v>
      </c>
      <c r="R67" s="189">
        <v>0.48278100000000002</v>
      </c>
      <c r="S67" s="189">
        <v>0.51613600000000004</v>
      </c>
      <c r="T67" s="189">
        <v>0.55324600000000002</v>
      </c>
      <c r="U67" s="189">
        <v>0.59435800000000005</v>
      </c>
      <c r="V67" s="189">
        <v>0.64073599999999997</v>
      </c>
      <c r="W67" s="189">
        <v>0.69328500000000004</v>
      </c>
      <c r="X67" s="189">
        <v>0.751108</v>
      </c>
      <c r="Y67" s="189">
        <v>0.81681300000000001</v>
      </c>
      <c r="Z67" s="189">
        <v>0.88981200000000005</v>
      </c>
      <c r="AA67" s="189">
        <v>0.96829799999999999</v>
      </c>
      <c r="AB67" s="189">
        <v>1.0518890000000001</v>
      </c>
      <c r="AC67" s="189">
        <v>1.139437</v>
      </c>
      <c r="AD67" s="189">
        <v>1.2310449999999999</v>
      </c>
      <c r="AE67" s="189">
        <v>1.327474</v>
      </c>
      <c r="AF67" s="189">
        <v>1.426723</v>
      </c>
      <c r="AG67" s="189">
        <v>1.52464</v>
      </c>
      <c r="AH67" s="189">
        <v>1.6223460000000001</v>
      </c>
      <c r="AI67" s="189">
        <v>1.7244090000000001</v>
      </c>
      <c r="AJ67" s="189" t="s">
        <v>117</v>
      </c>
      <c r="AL67" s="191">
        <v>0.11</v>
      </c>
    </row>
    <row r="68" spans="1:38" s="189" customFormat="1">
      <c r="A68" s="189" t="s">
        <v>115</v>
      </c>
      <c r="B68" s="189" t="s">
        <v>381</v>
      </c>
      <c r="C68" s="189" t="s">
        <v>1513</v>
      </c>
      <c r="D68" s="189" t="s">
        <v>1514</v>
      </c>
      <c r="E68" s="189" t="s">
        <v>354</v>
      </c>
      <c r="G68" s="189">
        <v>0</v>
      </c>
      <c r="H68" s="189">
        <v>7.6647000000000007E-2</v>
      </c>
      <c r="I68" s="189">
        <v>0.151202</v>
      </c>
      <c r="J68" s="189">
        <v>0.22044</v>
      </c>
      <c r="K68" s="189">
        <v>0.28801599999999999</v>
      </c>
      <c r="L68" s="189">
        <v>0.34804000000000002</v>
      </c>
      <c r="M68" s="189">
        <v>0.40257300000000001</v>
      </c>
      <c r="N68" s="189">
        <v>0.458179</v>
      </c>
      <c r="O68" s="189">
        <v>0.491732</v>
      </c>
      <c r="P68" s="189">
        <v>0.52673199999999998</v>
      </c>
      <c r="Q68" s="189">
        <v>0.56595499999999999</v>
      </c>
      <c r="R68" s="189">
        <v>0.60931599999999997</v>
      </c>
      <c r="S68" s="189">
        <v>0.65773000000000004</v>
      </c>
      <c r="T68" s="189">
        <v>0.71264799999999995</v>
      </c>
      <c r="U68" s="189">
        <v>0.77426099999999998</v>
      </c>
      <c r="V68" s="189">
        <v>0.84438500000000005</v>
      </c>
      <c r="W68" s="189">
        <v>0.92414300000000005</v>
      </c>
      <c r="X68" s="189">
        <v>1.0127740000000001</v>
      </c>
      <c r="Y68" s="189">
        <v>1.1138159999999999</v>
      </c>
      <c r="Z68" s="189">
        <v>1.2268190000000001</v>
      </c>
      <c r="AA68" s="189">
        <v>1.34934</v>
      </c>
      <c r="AB68" s="189">
        <v>1.481028</v>
      </c>
      <c r="AC68" s="189">
        <v>1.619354</v>
      </c>
      <c r="AD68" s="189">
        <v>1.7644580000000001</v>
      </c>
      <c r="AE68" s="189">
        <v>1.9161699999999999</v>
      </c>
      <c r="AF68" s="189">
        <v>2.0719439999999998</v>
      </c>
      <c r="AG68" s="189">
        <v>2.2248920000000001</v>
      </c>
      <c r="AH68" s="189">
        <v>2.3770630000000001</v>
      </c>
      <c r="AI68" s="189">
        <v>2.5342030000000002</v>
      </c>
      <c r="AJ68" s="189" t="s">
        <v>117</v>
      </c>
      <c r="AL68" s="191">
        <v>0.115</v>
      </c>
    </row>
    <row r="69" spans="1:38" s="189" customFormat="1" ht="30">
      <c r="A69" s="190" t="s">
        <v>258</v>
      </c>
      <c r="B69" s="189" t="s">
        <v>382</v>
      </c>
      <c r="C69" s="189" t="s">
        <v>1515</v>
      </c>
      <c r="D69" s="189" t="s">
        <v>1516</v>
      </c>
      <c r="E69" s="189" t="s">
        <v>354</v>
      </c>
      <c r="G69" s="189">
        <v>0</v>
      </c>
      <c r="H69" s="189">
        <v>0</v>
      </c>
      <c r="I69" s="189">
        <v>0</v>
      </c>
      <c r="J69" s="189">
        <v>0</v>
      </c>
      <c r="K69" s="189">
        <v>0</v>
      </c>
      <c r="L69" s="189">
        <v>0</v>
      </c>
      <c r="M69" s="189">
        <v>0</v>
      </c>
      <c r="N69" s="189">
        <v>0</v>
      </c>
      <c r="O69" s="189">
        <v>0</v>
      </c>
      <c r="P69" s="189">
        <v>0</v>
      </c>
      <c r="Q69" s="189">
        <v>0</v>
      </c>
      <c r="R69" s="189">
        <v>0</v>
      </c>
      <c r="S69" s="189">
        <v>0</v>
      </c>
      <c r="T69" s="189">
        <v>0</v>
      </c>
      <c r="U69" s="189">
        <v>0</v>
      </c>
      <c r="V69" s="189">
        <v>0</v>
      </c>
      <c r="W69" s="189">
        <v>0</v>
      </c>
      <c r="X69" s="189">
        <v>0</v>
      </c>
      <c r="Y69" s="189">
        <v>0</v>
      </c>
      <c r="Z69" s="189">
        <v>0</v>
      </c>
      <c r="AA69" s="189">
        <v>0</v>
      </c>
      <c r="AB69" s="189">
        <v>0</v>
      </c>
      <c r="AC69" s="189">
        <v>0</v>
      </c>
      <c r="AD69" s="189">
        <v>0</v>
      </c>
      <c r="AE69" s="189">
        <v>0</v>
      </c>
      <c r="AF69" s="189">
        <v>0</v>
      </c>
      <c r="AG69" s="189">
        <v>0</v>
      </c>
      <c r="AH69" s="189">
        <v>0</v>
      </c>
      <c r="AI69" s="189">
        <v>0</v>
      </c>
      <c r="AJ69" s="189" t="s">
        <v>117</v>
      </c>
      <c r="AL69" s="189" t="s">
        <v>117</v>
      </c>
    </row>
    <row r="70" spans="1:38" s="189" customFormat="1">
      <c r="B70" s="189" t="s">
        <v>383</v>
      </c>
      <c r="C70" s="189" t="s">
        <v>1517</v>
      </c>
      <c r="D70" s="189" t="s">
        <v>1518</v>
      </c>
      <c r="E70" s="189" t="s">
        <v>354</v>
      </c>
      <c r="G70" s="189">
        <v>951.50292999999999</v>
      </c>
      <c r="H70" s="189">
        <v>942.55828899999995</v>
      </c>
      <c r="I70" s="189">
        <v>925.34027100000003</v>
      </c>
      <c r="J70" s="189">
        <v>912.45172100000002</v>
      </c>
      <c r="K70" s="189">
        <v>903.11077899999998</v>
      </c>
      <c r="L70" s="189">
        <v>894.80676300000005</v>
      </c>
      <c r="M70" s="189">
        <v>888.38452099999995</v>
      </c>
      <c r="N70" s="189">
        <v>882.99542199999996</v>
      </c>
      <c r="O70" s="189">
        <v>877.03253199999995</v>
      </c>
      <c r="P70" s="189">
        <v>872.79089399999998</v>
      </c>
      <c r="Q70" s="189">
        <v>871.79064900000003</v>
      </c>
      <c r="R70" s="189">
        <v>871.86749299999997</v>
      </c>
      <c r="S70" s="189">
        <v>873.03369099999998</v>
      </c>
      <c r="T70" s="189">
        <v>875.073486</v>
      </c>
      <c r="U70" s="189">
        <v>877.49945100000002</v>
      </c>
      <c r="V70" s="189">
        <v>881.02331500000003</v>
      </c>
      <c r="W70" s="189">
        <v>885.54089399999998</v>
      </c>
      <c r="X70" s="189">
        <v>889.796021</v>
      </c>
      <c r="Y70" s="189">
        <v>896.14636199999995</v>
      </c>
      <c r="Z70" s="189">
        <v>903.92443800000001</v>
      </c>
      <c r="AA70" s="189">
        <v>911.92095900000004</v>
      </c>
      <c r="AB70" s="189">
        <v>918.67480499999999</v>
      </c>
      <c r="AC70" s="189">
        <v>924.72058100000004</v>
      </c>
      <c r="AD70" s="189">
        <v>931.83019999999999</v>
      </c>
      <c r="AE70" s="189">
        <v>939.93994099999998</v>
      </c>
      <c r="AF70" s="189">
        <v>949.950378</v>
      </c>
      <c r="AG70" s="189">
        <v>958.32000700000003</v>
      </c>
      <c r="AH70" s="189">
        <v>967.21020499999997</v>
      </c>
      <c r="AI70" s="189">
        <v>978.89801</v>
      </c>
      <c r="AJ70" s="191">
        <v>1E-3</v>
      </c>
      <c r="AL70" s="191">
        <v>8.9999999999999993E-3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70"/>
  <sheetViews>
    <sheetView workbookViewId="0"/>
  </sheetViews>
  <sheetFormatPr defaultRowHeight="15" customHeight="1"/>
  <cols>
    <col min="1" max="1" width="14.140625" customWidth="1"/>
    <col min="2" max="2" width="35.140625" customWidth="1"/>
    <col min="3" max="3" width="93.85546875" bestFit="1" customWidth="1"/>
  </cols>
  <sheetData>
    <row r="1" spans="2:36" ht="15" customHeight="1">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1079</v>
      </c>
    </row>
    <row r="10" spans="2:36">
      <c r="B10" t="s">
        <v>384</v>
      </c>
    </row>
    <row r="11" spans="2:36">
      <c r="B11" t="s">
        <v>1519</v>
      </c>
    </row>
    <row r="12" spans="2:36">
      <c r="B12" t="s">
        <v>1520</v>
      </c>
    </row>
    <row r="13" spans="2:36">
      <c r="B13" t="s">
        <v>302</v>
      </c>
    </row>
    <row r="14" spans="2:36">
      <c r="C14" t="s">
        <v>303</v>
      </c>
      <c r="D14" t="s">
        <v>351</v>
      </c>
      <c r="E14" t="s">
        <v>352</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1079</v>
      </c>
    </row>
    <row r="15" spans="2:36">
      <c r="B15" t="s">
        <v>356</v>
      </c>
    </row>
    <row r="16" spans="2:36">
      <c r="B16" t="s">
        <v>357</v>
      </c>
    </row>
    <row r="17" spans="2:38">
      <c r="B17" t="s">
        <v>358</v>
      </c>
      <c r="C17" t="s">
        <v>1521</v>
      </c>
      <c r="D17" t="s">
        <v>1522</v>
      </c>
      <c r="E17" t="s">
        <v>387</v>
      </c>
      <c r="G17">
        <v>49.601604000000002</v>
      </c>
      <c r="H17">
        <v>47.635734999999997</v>
      </c>
      <c r="I17">
        <v>45.880428000000002</v>
      </c>
      <c r="J17">
        <v>44.023563000000003</v>
      </c>
      <c r="K17">
        <v>42.271244000000003</v>
      </c>
      <c r="L17">
        <v>40.471420000000002</v>
      </c>
      <c r="M17">
        <v>38.879578000000002</v>
      </c>
      <c r="N17">
        <v>37.498187999999999</v>
      </c>
      <c r="O17">
        <v>36.282725999999997</v>
      </c>
      <c r="P17">
        <v>35.198715</v>
      </c>
      <c r="Q17">
        <v>34.248840000000001</v>
      </c>
      <c r="R17">
        <v>33.389473000000002</v>
      </c>
      <c r="S17">
        <v>32.649352999999998</v>
      </c>
      <c r="T17">
        <v>32.037964000000002</v>
      </c>
      <c r="U17">
        <v>31.56945</v>
      </c>
      <c r="V17">
        <v>31.164738</v>
      </c>
      <c r="W17">
        <v>30.803477999999998</v>
      </c>
      <c r="X17">
        <v>30.475691000000001</v>
      </c>
      <c r="Y17">
        <v>30.174113999999999</v>
      </c>
      <c r="Z17">
        <v>29.852412999999999</v>
      </c>
      <c r="AA17">
        <v>29.519141999999999</v>
      </c>
      <c r="AB17">
        <v>29.156063</v>
      </c>
      <c r="AC17">
        <v>28.806910999999999</v>
      </c>
      <c r="AD17">
        <v>28.505372999999999</v>
      </c>
      <c r="AE17">
        <v>28.289746999999998</v>
      </c>
      <c r="AF17">
        <v>28.052268999999999</v>
      </c>
      <c r="AG17">
        <v>27.803013</v>
      </c>
      <c r="AH17">
        <v>27.557155999999999</v>
      </c>
      <c r="AI17">
        <v>27.341674999999999</v>
      </c>
      <c r="AJ17" s="31">
        <v>-2.1000000000000001E-2</v>
      </c>
      <c r="AL17" s="31"/>
    </row>
    <row r="18" spans="2:38">
      <c r="B18" t="s">
        <v>359</v>
      </c>
      <c r="C18" t="s">
        <v>1523</v>
      </c>
      <c r="D18" t="s">
        <v>1524</v>
      </c>
      <c r="E18" t="s">
        <v>387</v>
      </c>
      <c r="G18">
        <v>0.111688</v>
      </c>
      <c r="H18">
        <v>9.6532999999999994E-2</v>
      </c>
      <c r="I18">
        <v>8.3162E-2</v>
      </c>
      <c r="J18">
        <v>7.1313000000000001E-2</v>
      </c>
      <c r="K18">
        <v>6.0877000000000001E-2</v>
      </c>
      <c r="L18">
        <v>5.1618999999999998E-2</v>
      </c>
      <c r="M18">
        <v>4.3394000000000002E-2</v>
      </c>
      <c r="N18">
        <v>3.6202999999999999E-2</v>
      </c>
      <c r="O18">
        <v>3.0032E-2</v>
      </c>
      <c r="P18">
        <v>2.4808E-2</v>
      </c>
      <c r="Q18">
        <v>2.0456999999999999E-2</v>
      </c>
      <c r="R18">
        <v>1.6912E-2</v>
      </c>
      <c r="S18">
        <v>1.4080000000000001E-2</v>
      </c>
      <c r="T18">
        <v>1.1854999999999999E-2</v>
      </c>
      <c r="U18">
        <v>1.0115000000000001E-2</v>
      </c>
      <c r="V18">
        <v>8.7530000000000004E-3</v>
      </c>
      <c r="W18">
        <v>7.6899999999999998E-3</v>
      </c>
      <c r="X18">
        <v>6.8459999999999997E-3</v>
      </c>
      <c r="Y18">
        <v>6.1370000000000001E-3</v>
      </c>
      <c r="Z18">
        <v>5.5189999999999996E-3</v>
      </c>
      <c r="AA18">
        <v>4.9779999999999998E-3</v>
      </c>
      <c r="AB18">
        <v>4.4980000000000003E-3</v>
      </c>
      <c r="AC18">
        <v>4.0699999999999998E-3</v>
      </c>
      <c r="AD18">
        <v>3.6849999999999999E-3</v>
      </c>
      <c r="AE18">
        <v>3.339E-3</v>
      </c>
      <c r="AF18">
        <v>3.0279999999999999E-3</v>
      </c>
      <c r="AG18">
        <v>2.748E-3</v>
      </c>
      <c r="AH18">
        <v>2.4970000000000001E-3</v>
      </c>
      <c r="AI18">
        <v>2.2699999999999999E-3</v>
      </c>
      <c r="AJ18" s="31">
        <v>-0.13</v>
      </c>
    </row>
    <row r="19" spans="2:38">
      <c r="B19" t="s">
        <v>360</v>
      </c>
      <c r="C19" t="s">
        <v>1525</v>
      </c>
      <c r="D19" t="s">
        <v>1526</v>
      </c>
      <c r="E19" t="s">
        <v>387</v>
      </c>
      <c r="G19">
        <v>49.713290999999998</v>
      </c>
      <c r="H19">
        <v>47.732264999999998</v>
      </c>
      <c r="I19">
        <v>45.963588999999999</v>
      </c>
      <c r="J19">
        <v>44.094875000000002</v>
      </c>
      <c r="K19">
        <v>42.332123000000003</v>
      </c>
      <c r="L19">
        <v>40.523040999999999</v>
      </c>
      <c r="M19">
        <v>38.922974000000004</v>
      </c>
      <c r="N19">
        <v>37.534393000000001</v>
      </c>
      <c r="O19">
        <v>36.312759</v>
      </c>
      <c r="P19">
        <v>35.223522000000003</v>
      </c>
      <c r="Q19">
        <v>34.269298999999997</v>
      </c>
      <c r="R19">
        <v>33.406384000000003</v>
      </c>
      <c r="S19">
        <v>32.663432999999998</v>
      </c>
      <c r="T19">
        <v>32.049819999999997</v>
      </c>
      <c r="U19">
        <v>31.579564999999999</v>
      </c>
      <c r="V19">
        <v>31.173490999999999</v>
      </c>
      <c r="W19">
        <v>30.811169</v>
      </c>
      <c r="X19">
        <v>30.482536</v>
      </c>
      <c r="Y19">
        <v>30.180251999999999</v>
      </c>
      <c r="Z19">
        <v>29.857932999999999</v>
      </c>
      <c r="AA19">
        <v>29.52412</v>
      </c>
      <c r="AB19">
        <v>29.160561000000001</v>
      </c>
      <c r="AC19">
        <v>28.810981999999999</v>
      </c>
      <c r="AD19">
        <v>28.509058</v>
      </c>
      <c r="AE19">
        <v>28.293087</v>
      </c>
      <c r="AF19">
        <v>28.055298000000001</v>
      </c>
      <c r="AG19">
        <v>27.805761</v>
      </c>
      <c r="AH19">
        <v>27.559652</v>
      </c>
      <c r="AI19">
        <v>27.343945000000001</v>
      </c>
      <c r="AJ19" s="31">
        <v>-2.1000000000000001E-2</v>
      </c>
      <c r="AL19" s="31"/>
    </row>
    <row r="20" spans="2:38">
      <c r="B20" t="s">
        <v>361</v>
      </c>
    </row>
    <row r="21" spans="2:38">
      <c r="B21" t="s">
        <v>362</v>
      </c>
      <c r="C21" t="s">
        <v>1527</v>
      </c>
      <c r="D21" t="s">
        <v>1528</v>
      </c>
      <c r="E21" t="s">
        <v>387</v>
      </c>
      <c r="G21">
        <v>2.4664320000000002</v>
      </c>
      <c r="H21">
        <v>2.2508699999999999</v>
      </c>
      <c r="I21">
        <v>2.0475669999999999</v>
      </c>
      <c r="J21">
        <v>1.85446</v>
      </c>
      <c r="K21">
        <v>1.6861809999999999</v>
      </c>
      <c r="L21">
        <v>1.5380670000000001</v>
      </c>
      <c r="M21">
        <v>1.4116040000000001</v>
      </c>
      <c r="N21">
        <v>1.3067029999999999</v>
      </c>
      <c r="O21">
        <v>1.2204410000000001</v>
      </c>
      <c r="P21">
        <v>1.150496</v>
      </c>
      <c r="Q21">
        <v>1.095933</v>
      </c>
      <c r="R21">
        <v>1.0543910000000001</v>
      </c>
      <c r="S21">
        <v>1.024313</v>
      </c>
      <c r="T21">
        <v>1.004354</v>
      </c>
      <c r="U21">
        <v>0.99402500000000005</v>
      </c>
      <c r="V21">
        <v>0.98743099999999995</v>
      </c>
      <c r="W21">
        <v>0.98292000000000002</v>
      </c>
      <c r="X21">
        <v>0.97998300000000005</v>
      </c>
      <c r="Y21">
        <v>0.97800500000000001</v>
      </c>
      <c r="Z21">
        <v>0.97473699999999996</v>
      </c>
      <c r="AA21">
        <v>0.97069300000000003</v>
      </c>
      <c r="AB21">
        <v>0.96513800000000005</v>
      </c>
      <c r="AC21">
        <v>0.96036699999999997</v>
      </c>
      <c r="AD21">
        <v>0.958094</v>
      </c>
      <c r="AE21">
        <v>0.96010300000000004</v>
      </c>
      <c r="AF21">
        <v>0.96084499999999995</v>
      </c>
      <c r="AG21">
        <v>0.96075900000000003</v>
      </c>
      <c r="AH21">
        <v>0.96068200000000004</v>
      </c>
      <c r="AI21">
        <v>0.96034200000000003</v>
      </c>
      <c r="AJ21" s="31">
        <v>-3.3000000000000002E-2</v>
      </c>
      <c r="AL21" s="31"/>
    </row>
    <row r="22" spans="2:38">
      <c r="B22" t="s">
        <v>1402</v>
      </c>
      <c r="C22" t="s">
        <v>1529</v>
      </c>
      <c r="D22" t="s">
        <v>1106</v>
      </c>
      <c r="E22" t="s">
        <v>387</v>
      </c>
      <c r="G22">
        <v>8.2503000000000007E-2</v>
      </c>
      <c r="H22">
        <v>8.7595999999999993E-2</v>
      </c>
      <c r="I22">
        <v>9.3552999999999997E-2</v>
      </c>
      <c r="J22">
        <v>9.8648E-2</v>
      </c>
      <c r="K22">
        <v>0.102955</v>
      </c>
      <c r="L22">
        <v>0.107306</v>
      </c>
      <c r="M22">
        <v>0.111647</v>
      </c>
      <c r="N22">
        <v>0.11613999999999999</v>
      </c>
      <c r="O22">
        <v>0.12081</v>
      </c>
      <c r="P22">
        <v>0.12562799999999999</v>
      </c>
      <c r="Q22">
        <v>0.130689</v>
      </c>
      <c r="R22">
        <v>0.135904</v>
      </c>
      <c r="S22">
        <v>0.141483</v>
      </c>
      <c r="T22">
        <v>0.14758099999999999</v>
      </c>
      <c r="U22">
        <v>0.15437000000000001</v>
      </c>
      <c r="V22">
        <v>0.16140099999999999</v>
      </c>
      <c r="W22">
        <v>0.16855999999999999</v>
      </c>
      <c r="X22">
        <v>0.175786</v>
      </c>
      <c r="Y22">
        <v>0.18305199999999999</v>
      </c>
      <c r="Z22">
        <v>0.189967</v>
      </c>
      <c r="AA22">
        <v>0.19661899999999999</v>
      </c>
      <c r="AB22">
        <v>0.202824</v>
      </c>
      <c r="AC22">
        <v>0.20902000000000001</v>
      </c>
      <c r="AD22">
        <v>0.215618</v>
      </c>
      <c r="AE22">
        <v>0.22311300000000001</v>
      </c>
      <c r="AF22">
        <v>0.230325</v>
      </c>
      <c r="AG22">
        <v>0.237373</v>
      </c>
      <c r="AH22">
        <v>0.24443699999999999</v>
      </c>
      <c r="AI22">
        <v>0.25184899999999999</v>
      </c>
      <c r="AJ22" s="31">
        <v>4.1000000000000002E-2</v>
      </c>
      <c r="AL22" s="31"/>
    </row>
    <row r="23" spans="2:38">
      <c r="B23" t="s">
        <v>1400</v>
      </c>
      <c r="C23" t="s">
        <v>1530</v>
      </c>
      <c r="D23" t="s">
        <v>1106</v>
      </c>
      <c r="E23" t="s">
        <v>387</v>
      </c>
      <c r="G23">
        <v>0.13777600000000001</v>
      </c>
      <c r="H23">
        <v>0.160215</v>
      </c>
      <c r="I23">
        <v>0.19730800000000001</v>
      </c>
      <c r="J23">
        <v>0.243147</v>
      </c>
      <c r="K23">
        <v>0.29054000000000002</v>
      </c>
      <c r="L23">
        <v>0.33934599999999998</v>
      </c>
      <c r="M23">
        <v>0.389376</v>
      </c>
      <c r="N23">
        <v>0.44126199999999999</v>
      </c>
      <c r="O23">
        <v>0.49485200000000001</v>
      </c>
      <c r="P23">
        <v>0.54973700000000003</v>
      </c>
      <c r="Q23">
        <v>0.606464</v>
      </c>
      <c r="R23">
        <v>0.66399200000000003</v>
      </c>
      <c r="S23">
        <v>0.72362499999999996</v>
      </c>
      <c r="T23">
        <v>0.78628799999999999</v>
      </c>
      <c r="U23">
        <v>0.85331800000000002</v>
      </c>
      <c r="V23">
        <v>0.92199900000000001</v>
      </c>
      <c r="W23">
        <v>0.99179099999999998</v>
      </c>
      <c r="X23">
        <v>1.062568</v>
      </c>
      <c r="Y23">
        <v>1.1341049999999999</v>
      </c>
      <c r="Z23">
        <v>1.2038260000000001</v>
      </c>
      <c r="AA23">
        <v>1.2721960000000001</v>
      </c>
      <c r="AB23">
        <v>1.337852</v>
      </c>
      <c r="AC23">
        <v>1.4037120000000001</v>
      </c>
      <c r="AD23">
        <v>1.4724809999999999</v>
      </c>
      <c r="AE23">
        <v>1.547669</v>
      </c>
      <c r="AF23">
        <v>1.6209</v>
      </c>
      <c r="AG23">
        <v>1.693028</v>
      </c>
      <c r="AH23">
        <v>1.765358</v>
      </c>
      <c r="AI23">
        <v>1.8402419999999999</v>
      </c>
      <c r="AJ23" s="31">
        <v>9.7000000000000003E-2</v>
      </c>
      <c r="AL23" s="31"/>
    </row>
    <row r="24" spans="2:38">
      <c r="B24" t="s">
        <v>1398</v>
      </c>
      <c r="C24" t="s">
        <v>1531</v>
      </c>
      <c r="D24" t="s">
        <v>1106</v>
      </c>
      <c r="E24" t="s">
        <v>387</v>
      </c>
      <c r="G24">
        <v>0.403615</v>
      </c>
      <c r="H24">
        <v>0.478464</v>
      </c>
      <c r="I24">
        <v>0.56220199999999998</v>
      </c>
      <c r="J24">
        <v>0.65229800000000004</v>
      </c>
      <c r="K24">
        <v>0.73739600000000005</v>
      </c>
      <c r="L24">
        <v>0.81904299999999997</v>
      </c>
      <c r="M24">
        <v>0.89733200000000002</v>
      </c>
      <c r="N24">
        <v>0.97410200000000002</v>
      </c>
      <c r="O24">
        <v>1.0492900000000001</v>
      </c>
      <c r="P24">
        <v>1.1226210000000001</v>
      </c>
      <c r="Q24">
        <v>1.1954629999999999</v>
      </c>
      <c r="R24">
        <v>1.2666539999999999</v>
      </c>
      <c r="S24">
        <v>1.3385130000000001</v>
      </c>
      <c r="T24">
        <v>1.4127110000000001</v>
      </c>
      <c r="U24">
        <v>1.4915769999999999</v>
      </c>
      <c r="V24">
        <v>1.5710500000000001</v>
      </c>
      <c r="W24">
        <v>1.6507320000000001</v>
      </c>
      <c r="X24">
        <v>1.730602</v>
      </c>
      <c r="Y24">
        <v>1.810643</v>
      </c>
      <c r="Z24">
        <v>1.8872549999999999</v>
      </c>
      <c r="AA24">
        <v>1.961422</v>
      </c>
      <c r="AB24">
        <v>2.0313659999999998</v>
      </c>
      <c r="AC24">
        <v>2.1015130000000002</v>
      </c>
      <c r="AD24">
        <v>2.1759629999999999</v>
      </c>
      <c r="AE24">
        <v>2.2596409999999998</v>
      </c>
      <c r="AF24">
        <v>2.3404410000000002</v>
      </c>
      <c r="AG24">
        <v>2.419578</v>
      </c>
      <c r="AH24">
        <v>2.4988920000000001</v>
      </c>
      <c r="AI24">
        <v>2.5817450000000002</v>
      </c>
      <c r="AJ24" s="31">
        <v>6.9000000000000006E-2</v>
      </c>
      <c r="AL24" s="31"/>
    </row>
    <row r="25" spans="2:38">
      <c r="B25" t="s">
        <v>1396</v>
      </c>
      <c r="C25" t="s">
        <v>1532</v>
      </c>
      <c r="D25" t="s">
        <v>1533</v>
      </c>
      <c r="E25" t="s">
        <v>387</v>
      </c>
      <c r="G25">
        <v>0.13369800000000001</v>
      </c>
      <c r="H25">
        <v>0.137409</v>
      </c>
      <c r="I25">
        <v>0.14397599999999999</v>
      </c>
      <c r="J25">
        <v>0.15067900000000001</v>
      </c>
      <c r="K25">
        <v>0.15673599999999999</v>
      </c>
      <c r="L25">
        <v>0.16226599999999999</v>
      </c>
      <c r="M25">
        <v>0.167409</v>
      </c>
      <c r="N25">
        <v>0.172434</v>
      </c>
      <c r="O25">
        <v>0.177449</v>
      </c>
      <c r="P25">
        <v>0.182475</v>
      </c>
      <c r="Q25">
        <v>0.187723</v>
      </c>
      <c r="R25">
        <v>0.19309799999999999</v>
      </c>
      <c r="S25">
        <v>0.19889799999999999</v>
      </c>
      <c r="T25">
        <v>0.20539399999999999</v>
      </c>
      <c r="U25">
        <v>0.212843</v>
      </c>
      <c r="V25">
        <v>0.22076799999999999</v>
      </c>
      <c r="W25">
        <v>0.229071</v>
      </c>
      <c r="X25">
        <v>0.23766899999999999</v>
      </c>
      <c r="Y25">
        <v>0.24648500000000001</v>
      </c>
      <c r="Z25">
        <v>0.25504900000000003</v>
      </c>
      <c r="AA25">
        <v>0.26343</v>
      </c>
      <c r="AB25">
        <v>0.27135700000000001</v>
      </c>
      <c r="AC25">
        <v>0.27931400000000001</v>
      </c>
      <c r="AD25">
        <v>0.28775400000000001</v>
      </c>
      <c r="AE25">
        <v>0.297263</v>
      </c>
      <c r="AF25">
        <v>0.30643799999999999</v>
      </c>
      <c r="AG25">
        <v>0.31543599999999999</v>
      </c>
      <c r="AH25">
        <v>0.324457</v>
      </c>
      <c r="AI25">
        <v>0.33386100000000002</v>
      </c>
      <c r="AJ25" s="31">
        <v>3.3000000000000002E-2</v>
      </c>
      <c r="AL25" s="31"/>
    </row>
    <row r="26" spans="2:38">
      <c r="B26" t="s">
        <v>1393</v>
      </c>
      <c r="C26" t="s">
        <v>1534</v>
      </c>
      <c r="D26" t="s">
        <v>1535</v>
      </c>
      <c r="E26" t="s">
        <v>387</v>
      </c>
      <c r="G26">
        <v>6.8637000000000004E-2</v>
      </c>
      <c r="H26">
        <v>7.0838999999999999E-2</v>
      </c>
      <c r="I26">
        <v>7.5001999999999999E-2</v>
      </c>
      <c r="J26">
        <v>7.9927999999999999E-2</v>
      </c>
      <c r="K26">
        <v>8.4897E-2</v>
      </c>
      <c r="L26">
        <v>9.0053999999999995E-2</v>
      </c>
      <c r="M26">
        <v>9.5437999999999995E-2</v>
      </c>
      <c r="N26">
        <v>0.101327</v>
      </c>
      <c r="O26">
        <v>0.10775800000000001</v>
      </c>
      <c r="P26">
        <v>0.11468399999999999</v>
      </c>
      <c r="Q26">
        <v>0.122221</v>
      </c>
      <c r="R26">
        <v>0.13019600000000001</v>
      </c>
      <c r="S26">
        <v>0.13880200000000001</v>
      </c>
      <c r="T26">
        <v>0.148151</v>
      </c>
      <c r="U26">
        <v>0.15842999999999999</v>
      </c>
      <c r="V26">
        <v>0.16914799999999999</v>
      </c>
      <c r="W26">
        <v>0.18019099999999999</v>
      </c>
      <c r="X26">
        <v>0.19148599999999999</v>
      </c>
      <c r="Y26">
        <v>0.202959</v>
      </c>
      <c r="Z26">
        <v>0.214173</v>
      </c>
      <c r="AA26">
        <v>0.22521099999999999</v>
      </c>
      <c r="AB26">
        <v>0.23583100000000001</v>
      </c>
      <c r="AC26">
        <v>0.24649199999999999</v>
      </c>
      <c r="AD26">
        <v>0.25763999999999998</v>
      </c>
      <c r="AE26">
        <v>0.26986599999999999</v>
      </c>
      <c r="AF26">
        <v>0.28177200000000002</v>
      </c>
      <c r="AG26">
        <v>0.29350999999999999</v>
      </c>
      <c r="AH26">
        <v>0.30528</v>
      </c>
      <c r="AI26">
        <v>0.31744299999999998</v>
      </c>
      <c r="AJ26" s="31">
        <v>5.6000000000000001E-2</v>
      </c>
      <c r="AL26" s="31"/>
    </row>
    <row r="27" spans="2:38">
      <c r="B27" t="s">
        <v>363</v>
      </c>
      <c r="C27" t="s">
        <v>1536</v>
      </c>
      <c r="D27" t="s">
        <v>1537</v>
      </c>
      <c r="E27" t="s">
        <v>387</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117</v>
      </c>
    </row>
    <row r="28" spans="2:38">
      <c r="B28" t="s">
        <v>364</v>
      </c>
      <c r="C28" t="s">
        <v>1538</v>
      </c>
      <c r="D28" t="s">
        <v>1539</v>
      </c>
      <c r="E28" t="s">
        <v>387</v>
      </c>
      <c r="G28">
        <v>2.0940020000000001</v>
      </c>
      <c r="H28">
        <v>2.0990630000000001</v>
      </c>
      <c r="I28">
        <v>2.0990449999999998</v>
      </c>
      <c r="J28">
        <v>2.0833439999999999</v>
      </c>
      <c r="K28">
        <v>2.0720670000000001</v>
      </c>
      <c r="L28">
        <v>2.0556559999999999</v>
      </c>
      <c r="M28">
        <v>2.0461689999999999</v>
      </c>
      <c r="N28">
        <v>2.0451220000000001</v>
      </c>
      <c r="O28">
        <v>2.0518169999999998</v>
      </c>
      <c r="P28">
        <v>2.06474</v>
      </c>
      <c r="Q28">
        <v>2.0847169999999999</v>
      </c>
      <c r="R28">
        <v>2.1091660000000001</v>
      </c>
      <c r="S28">
        <v>2.140301</v>
      </c>
      <c r="T28">
        <v>2.1793450000000001</v>
      </c>
      <c r="U28">
        <v>2.227929</v>
      </c>
      <c r="V28">
        <v>2.2807300000000001</v>
      </c>
      <c r="W28">
        <v>2.3365300000000002</v>
      </c>
      <c r="X28">
        <v>2.3946619999999998</v>
      </c>
      <c r="Y28">
        <v>2.4544769999999998</v>
      </c>
      <c r="Z28">
        <v>2.5116779999999999</v>
      </c>
      <c r="AA28">
        <v>2.5668579999999999</v>
      </c>
      <c r="AB28">
        <v>2.6178539999999999</v>
      </c>
      <c r="AC28">
        <v>2.668828</v>
      </c>
      <c r="AD28">
        <v>2.7236720000000001</v>
      </c>
      <c r="AE28">
        <v>2.7874159999999999</v>
      </c>
      <c r="AF28">
        <v>2.8484069999999999</v>
      </c>
      <c r="AG28">
        <v>2.907915</v>
      </c>
      <c r="AH28">
        <v>2.9677500000000001</v>
      </c>
      <c r="AI28">
        <v>3.0309460000000001</v>
      </c>
      <c r="AJ28" s="31">
        <v>1.2999999999999999E-2</v>
      </c>
      <c r="AL28" s="31"/>
    </row>
    <row r="29" spans="2:38">
      <c r="B29" t="s">
        <v>365</v>
      </c>
      <c r="C29" t="s">
        <v>1540</v>
      </c>
      <c r="D29" t="s">
        <v>1541</v>
      </c>
      <c r="E29" t="s">
        <v>387</v>
      </c>
      <c r="G29">
        <v>8.4440000000000001E-2</v>
      </c>
      <c r="H29">
        <v>7.8244999999999995E-2</v>
      </c>
      <c r="I29">
        <v>7.1707999999999994E-2</v>
      </c>
      <c r="J29">
        <v>6.5062999999999996E-2</v>
      </c>
      <c r="K29">
        <v>5.8495999999999999E-2</v>
      </c>
      <c r="L29">
        <v>5.1991000000000002E-2</v>
      </c>
      <c r="M29">
        <v>4.5643999999999997E-2</v>
      </c>
      <c r="N29">
        <v>3.9710000000000002E-2</v>
      </c>
      <c r="O29">
        <v>3.4805999999999997E-2</v>
      </c>
      <c r="P29">
        <v>3.0196000000000001E-2</v>
      </c>
      <c r="Q29">
        <v>2.6155999999999999E-2</v>
      </c>
      <c r="R29">
        <v>2.2713000000000001E-2</v>
      </c>
      <c r="S29">
        <v>1.9885E-2</v>
      </c>
      <c r="T29">
        <v>1.7531000000000001E-2</v>
      </c>
      <c r="U29">
        <v>1.5620999999999999E-2</v>
      </c>
      <c r="V29">
        <v>1.4361000000000001E-2</v>
      </c>
      <c r="W29">
        <v>1.3289E-2</v>
      </c>
      <c r="X29">
        <v>1.2399E-2</v>
      </c>
      <c r="Y29">
        <v>1.1609E-2</v>
      </c>
      <c r="Z29">
        <v>1.0869999999999999E-2</v>
      </c>
      <c r="AA29">
        <v>1.0177E-2</v>
      </c>
      <c r="AB29">
        <v>9.5289999999999993E-3</v>
      </c>
      <c r="AC29">
        <v>8.9219999999999994E-3</v>
      </c>
      <c r="AD29">
        <v>8.3540000000000003E-3</v>
      </c>
      <c r="AE29">
        <v>7.8209999999999998E-3</v>
      </c>
      <c r="AF29">
        <v>7.3229999999999996E-3</v>
      </c>
      <c r="AG29">
        <v>6.8570000000000002E-3</v>
      </c>
      <c r="AH29">
        <v>6.4200000000000004E-3</v>
      </c>
      <c r="AI29">
        <v>6.0109999999999999E-3</v>
      </c>
      <c r="AJ29" s="31">
        <v>-0.09</v>
      </c>
      <c r="AL29" s="31"/>
    </row>
    <row r="30" spans="2:38">
      <c r="B30" t="s">
        <v>366</v>
      </c>
      <c r="C30" t="s">
        <v>1542</v>
      </c>
      <c r="D30" t="s">
        <v>1543</v>
      </c>
      <c r="E30" t="s">
        <v>387</v>
      </c>
      <c r="G30">
        <v>2.2590000000000002E-3</v>
      </c>
      <c r="H30">
        <v>1.944E-3</v>
      </c>
      <c r="I30">
        <v>1.7600000000000001E-3</v>
      </c>
      <c r="J30">
        <v>1.6479999999999999E-3</v>
      </c>
      <c r="K30">
        <v>1.5430000000000001E-3</v>
      </c>
      <c r="L30">
        <v>1.4450000000000001E-3</v>
      </c>
      <c r="M30">
        <v>1.353E-3</v>
      </c>
      <c r="N30">
        <v>1.266E-3</v>
      </c>
      <c r="O30">
        <v>1.186E-3</v>
      </c>
      <c r="P30">
        <v>1.1100000000000001E-3</v>
      </c>
      <c r="Q30">
        <v>1.0399999999999999E-3</v>
      </c>
      <c r="R30">
        <v>9.7300000000000002E-4</v>
      </c>
      <c r="S30">
        <v>9.1100000000000003E-4</v>
      </c>
      <c r="T30">
        <v>8.5300000000000003E-4</v>
      </c>
      <c r="U30">
        <v>7.9900000000000001E-4</v>
      </c>
      <c r="V30">
        <v>7.4799999999999997E-4</v>
      </c>
      <c r="W30">
        <v>6.9999999999999999E-4</v>
      </c>
      <c r="X30">
        <v>6.5600000000000001E-4</v>
      </c>
      <c r="Y30">
        <v>6.1399999999999996E-4</v>
      </c>
      <c r="Z30">
        <v>5.7499999999999999E-4</v>
      </c>
      <c r="AA30">
        <v>5.3799999999999996E-4</v>
      </c>
      <c r="AB30">
        <v>5.04E-4</v>
      </c>
      <c r="AC30">
        <v>4.7199999999999998E-4</v>
      </c>
      <c r="AD30">
        <v>4.4200000000000001E-4</v>
      </c>
      <c r="AE30">
        <v>4.1399999999999998E-4</v>
      </c>
      <c r="AF30">
        <v>3.8699999999999997E-4</v>
      </c>
      <c r="AG30">
        <v>3.6299999999999999E-4</v>
      </c>
      <c r="AH30">
        <v>3.4000000000000002E-4</v>
      </c>
      <c r="AI30">
        <v>3.1799999999999998E-4</v>
      </c>
      <c r="AJ30" s="31">
        <v>-6.8000000000000005E-2</v>
      </c>
      <c r="AL30" s="31"/>
    </row>
    <row r="31" spans="2:38">
      <c r="B31" t="s">
        <v>367</v>
      </c>
      <c r="C31" t="s">
        <v>1544</v>
      </c>
      <c r="D31" t="s">
        <v>1545</v>
      </c>
      <c r="E31" t="s">
        <v>387</v>
      </c>
      <c r="G31">
        <v>1.5181E-2</v>
      </c>
      <c r="H31">
        <v>1.2968E-2</v>
      </c>
      <c r="I31">
        <v>1.1150999999999999E-2</v>
      </c>
      <c r="J31">
        <v>9.6790000000000001E-3</v>
      </c>
      <c r="K31">
        <v>8.7530000000000004E-3</v>
      </c>
      <c r="L31">
        <v>8.1770000000000002E-3</v>
      </c>
      <c r="M31">
        <v>7.6559999999999996E-3</v>
      </c>
      <c r="N31">
        <v>7.1679999999999999E-3</v>
      </c>
      <c r="O31">
        <v>6.7120000000000001E-3</v>
      </c>
      <c r="P31">
        <v>6.2839999999999997E-3</v>
      </c>
      <c r="Q31">
        <v>5.8840000000000003E-3</v>
      </c>
      <c r="R31">
        <v>5.509E-3</v>
      </c>
      <c r="S31">
        <v>5.1580000000000003E-3</v>
      </c>
      <c r="T31">
        <v>4.829E-3</v>
      </c>
      <c r="U31">
        <v>4.522E-3</v>
      </c>
      <c r="V31">
        <v>4.2339999999999999E-3</v>
      </c>
      <c r="W31">
        <v>3.9639999999999996E-3</v>
      </c>
      <c r="X31">
        <v>3.7109999999999999E-3</v>
      </c>
      <c r="Y31">
        <v>3.4749999999999998E-3</v>
      </c>
      <c r="Z31">
        <v>3.2539999999999999E-3</v>
      </c>
      <c r="AA31">
        <v>3.0460000000000001E-3</v>
      </c>
      <c r="AB31">
        <v>2.8519999999999999E-3</v>
      </c>
      <c r="AC31">
        <v>2.6710000000000002E-3</v>
      </c>
      <c r="AD31">
        <v>2.5010000000000002E-3</v>
      </c>
      <c r="AE31">
        <v>2.3410000000000002E-3</v>
      </c>
      <c r="AF31">
        <v>2.1919999999999999E-3</v>
      </c>
      <c r="AG31">
        <v>2.052E-3</v>
      </c>
      <c r="AH31">
        <v>1.9220000000000001E-3</v>
      </c>
      <c r="AI31">
        <v>1.799E-3</v>
      </c>
      <c r="AJ31" s="31">
        <v>-7.2999999999999995E-2</v>
      </c>
      <c r="AL31" s="31"/>
    </row>
    <row r="32" spans="2:38">
      <c r="B32" t="s">
        <v>368</v>
      </c>
      <c r="C32" t="s">
        <v>1546</v>
      </c>
      <c r="D32" t="s">
        <v>1547</v>
      </c>
      <c r="E32" t="s">
        <v>387</v>
      </c>
      <c r="G32">
        <v>2.9725000000000001E-2</v>
      </c>
      <c r="H32">
        <v>2.5337999999999999E-2</v>
      </c>
      <c r="I32">
        <v>2.1677999999999999E-2</v>
      </c>
      <c r="J32">
        <v>1.8672999999999999E-2</v>
      </c>
      <c r="K32">
        <v>1.6624E-2</v>
      </c>
      <c r="L32">
        <v>1.5348000000000001E-2</v>
      </c>
      <c r="M32">
        <v>1.4264000000000001E-2</v>
      </c>
      <c r="N32">
        <v>1.3356E-2</v>
      </c>
      <c r="O32">
        <v>1.2505E-2</v>
      </c>
      <c r="P32">
        <v>1.1708E-2</v>
      </c>
      <c r="Q32">
        <v>1.0962E-2</v>
      </c>
      <c r="R32">
        <v>1.0264000000000001E-2</v>
      </c>
      <c r="S32">
        <v>9.6100000000000005E-3</v>
      </c>
      <c r="T32">
        <v>8.9980000000000008E-3</v>
      </c>
      <c r="U32">
        <v>8.4250000000000002E-3</v>
      </c>
      <c r="V32">
        <v>7.8879999999999992E-3</v>
      </c>
      <c r="W32">
        <v>7.3860000000000002E-3</v>
      </c>
      <c r="X32">
        <v>6.9150000000000001E-3</v>
      </c>
      <c r="Y32">
        <v>6.4749999999999999E-3</v>
      </c>
      <c r="Z32">
        <v>6.0619999999999997E-3</v>
      </c>
      <c r="AA32">
        <v>5.6759999999999996E-3</v>
      </c>
      <c r="AB32">
        <v>5.3140000000000001E-3</v>
      </c>
      <c r="AC32">
        <v>4.9760000000000004E-3</v>
      </c>
      <c r="AD32">
        <v>4.6589999999999999E-3</v>
      </c>
      <c r="AE32">
        <v>4.3620000000000004E-3</v>
      </c>
      <c r="AF32">
        <v>4.084E-3</v>
      </c>
      <c r="AG32">
        <v>3.8240000000000001E-3</v>
      </c>
      <c r="AH32">
        <v>3.5799999999999998E-3</v>
      </c>
      <c r="AI32">
        <v>3.3519999999999999E-3</v>
      </c>
      <c r="AJ32" s="31">
        <v>-7.4999999999999997E-2</v>
      </c>
      <c r="AL32" s="31"/>
    </row>
    <row r="33" spans="2:38">
      <c r="B33" t="s">
        <v>369</v>
      </c>
      <c r="C33" t="s">
        <v>1548</v>
      </c>
      <c r="D33" t="s">
        <v>1549</v>
      </c>
      <c r="E33" t="s">
        <v>387</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117</v>
      </c>
    </row>
    <row r="34" spans="2:38">
      <c r="B34" t="s">
        <v>370</v>
      </c>
      <c r="C34" t="s">
        <v>1550</v>
      </c>
      <c r="D34" t="s">
        <v>1551</v>
      </c>
      <c r="E34" t="s">
        <v>387</v>
      </c>
      <c r="G34">
        <v>4.8450000000000003E-3</v>
      </c>
      <c r="H34">
        <v>4.8209999999999998E-3</v>
      </c>
      <c r="I34">
        <v>5.0639999999999999E-3</v>
      </c>
      <c r="J34">
        <v>5.5009999999999998E-3</v>
      </c>
      <c r="K34">
        <v>6.0899999999999999E-3</v>
      </c>
      <c r="L34">
        <v>6.7840000000000001E-3</v>
      </c>
      <c r="M34">
        <v>7.5620000000000001E-3</v>
      </c>
      <c r="N34">
        <v>8.43E-3</v>
      </c>
      <c r="O34">
        <v>9.3760000000000007E-3</v>
      </c>
      <c r="P34">
        <v>1.039E-2</v>
      </c>
      <c r="Q34">
        <v>1.1476E-2</v>
      </c>
      <c r="R34">
        <v>1.2619E-2</v>
      </c>
      <c r="S34">
        <v>1.3831E-2</v>
      </c>
      <c r="T34">
        <v>1.512E-2</v>
      </c>
      <c r="U34">
        <v>1.6497000000000001E-2</v>
      </c>
      <c r="V34">
        <v>1.7932E-2</v>
      </c>
      <c r="W34">
        <v>1.9418999999999999E-2</v>
      </c>
      <c r="X34">
        <v>2.0948000000000001E-2</v>
      </c>
      <c r="Y34">
        <v>2.2506999999999999E-2</v>
      </c>
      <c r="Z34">
        <v>2.4063999999999999E-2</v>
      </c>
      <c r="AA34">
        <v>2.5616E-2</v>
      </c>
      <c r="AB34">
        <v>2.7136E-2</v>
      </c>
      <c r="AC34">
        <v>2.8650999999999999E-2</v>
      </c>
      <c r="AD34">
        <v>3.0193999999999999E-2</v>
      </c>
      <c r="AE34">
        <v>3.1822000000000003E-2</v>
      </c>
      <c r="AF34">
        <v>3.3427999999999999E-2</v>
      </c>
      <c r="AG34">
        <v>3.5032000000000001E-2</v>
      </c>
      <c r="AH34">
        <v>3.6641E-2</v>
      </c>
      <c r="AI34">
        <v>3.8272E-2</v>
      </c>
      <c r="AJ34" s="31">
        <v>7.6999999999999999E-2</v>
      </c>
      <c r="AL34" s="31"/>
    </row>
    <row r="35" spans="2:38">
      <c r="B35" t="s">
        <v>371</v>
      </c>
      <c r="C35" t="s">
        <v>1552</v>
      </c>
      <c r="D35" t="s">
        <v>1553</v>
      </c>
      <c r="E35" t="s">
        <v>387</v>
      </c>
      <c r="G35">
        <v>5.5231130000000004</v>
      </c>
      <c r="H35">
        <v>5.4077729999999997</v>
      </c>
      <c r="I35">
        <v>5.330012</v>
      </c>
      <c r="J35">
        <v>5.2630679999999996</v>
      </c>
      <c r="K35">
        <v>5.2222799999999996</v>
      </c>
      <c r="L35">
        <v>5.1954840000000004</v>
      </c>
      <c r="M35">
        <v>5.1954520000000004</v>
      </c>
      <c r="N35">
        <v>5.2270209999999997</v>
      </c>
      <c r="O35">
        <v>5.2870020000000002</v>
      </c>
      <c r="P35">
        <v>5.370069</v>
      </c>
      <c r="Q35">
        <v>5.4787270000000001</v>
      </c>
      <c r="R35">
        <v>5.6054789999999999</v>
      </c>
      <c r="S35">
        <v>5.755331</v>
      </c>
      <c r="T35">
        <v>5.9311550000000004</v>
      </c>
      <c r="U35">
        <v>6.1383539999999996</v>
      </c>
      <c r="V35">
        <v>6.3576899999999998</v>
      </c>
      <c r="W35">
        <v>6.5845520000000004</v>
      </c>
      <c r="X35">
        <v>6.8173859999999999</v>
      </c>
      <c r="Y35">
        <v>7.0544060000000002</v>
      </c>
      <c r="Z35">
        <v>7.2815099999999999</v>
      </c>
      <c r="AA35">
        <v>7.5014839999999996</v>
      </c>
      <c r="AB35">
        <v>7.7075589999999998</v>
      </c>
      <c r="AC35">
        <v>7.9149380000000003</v>
      </c>
      <c r="AD35">
        <v>8.1373709999999999</v>
      </c>
      <c r="AE35">
        <v>8.3918309999999998</v>
      </c>
      <c r="AF35">
        <v>8.6365409999999994</v>
      </c>
      <c r="AG35">
        <v>8.8757269999999995</v>
      </c>
      <c r="AH35">
        <v>9.1157579999999996</v>
      </c>
      <c r="AI35">
        <v>9.3661790000000007</v>
      </c>
      <c r="AJ35" s="31">
        <v>1.9E-2</v>
      </c>
      <c r="AL35" s="31"/>
    </row>
    <row r="36" spans="2:38">
      <c r="B36" t="s">
        <v>385</v>
      </c>
      <c r="C36" t="s">
        <v>1554</v>
      </c>
      <c r="D36" t="s">
        <v>1555</v>
      </c>
      <c r="E36" t="s">
        <v>387</v>
      </c>
      <c r="G36">
        <v>55.236404</v>
      </c>
      <c r="H36">
        <v>53.140037999999997</v>
      </c>
      <c r="I36">
        <v>51.293602</v>
      </c>
      <c r="J36">
        <v>49.357944000000003</v>
      </c>
      <c r="K36">
        <v>47.554400999999999</v>
      </c>
      <c r="L36">
        <v>45.718525</v>
      </c>
      <c r="M36">
        <v>44.118423</v>
      </c>
      <c r="N36">
        <v>42.761414000000002</v>
      </c>
      <c r="O36">
        <v>41.599761999999998</v>
      </c>
      <c r="P36">
        <v>40.593589999999999</v>
      </c>
      <c r="Q36">
        <v>39.748024000000001</v>
      </c>
      <c r="R36">
        <v>39.011864000000003</v>
      </c>
      <c r="S36">
        <v>38.418762000000001</v>
      </c>
      <c r="T36">
        <v>37.980975999999998</v>
      </c>
      <c r="U36">
        <v>37.717917999999997</v>
      </c>
      <c r="V36">
        <v>37.531180999999997</v>
      </c>
      <c r="W36">
        <v>37.395721000000002</v>
      </c>
      <c r="X36">
        <v>37.299923</v>
      </c>
      <c r="Y36">
        <v>37.234656999999999</v>
      </c>
      <c r="Z36">
        <v>37.139442000000003</v>
      </c>
      <c r="AA36">
        <v>37.025604000000001</v>
      </c>
      <c r="AB36">
        <v>36.868118000000003</v>
      </c>
      <c r="AC36">
        <v>36.725921999999997</v>
      </c>
      <c r="AD36">
        <v>36.646431</v>
      </c>
      <c r="AE36">
        <v>36.684916999999999</v>
      </c>
      <c r="AF36">
        <v>36.691840999999997</v>
      </c>
      <c r="AG36">
        <v>36.681488000000002</v>
      </c>
      <c r="AH36">
        <v>36.675410999999997</v>
      </c>
      <c r="AI36">
        <v>36.710124999999998</v>
      </c>
      <c r="AJ36" s="31">
        <v>-1.4E-2</v>
      </c>
      <c r="AL36" s="31"/>
    </row>
    <row r="37" spans="2:38">
      <c r="B37" t="s">
        <v>335</v>
      </c>
    </row>
    <row r="38" spans="2:38">
      <c r="B38" t="s">
        <v>373</v>
      </c>
    </row>
    <row r="39" spans="2:38">
      <c r="B39" t="s">
        <v>358</v>
      </c>
      <c r="C39" t="s">
        <v>1556</v>
      </c>
      <c r="D39" t="s">
        <v>1557</v>
      </c>
      <c r="E39" t="s">
        <v>387</v>
      </c>
      <c r="G39">
        <v>83.97287</v>
      </c>
      <c r="H39">
        <v>86.591308999999995</v>
      </c>
      <c r="I39">
        <v>89.322051999999999</v>
      </c>
      <c r="J39">
        <v>91.845519999999993</v>
      </c>
      <c r="K39">
        <v>94.241669000000002</v>
      </c>
      <c r="L39">
        <v>95.709709000000004</v>
      </c>
      <c r="M39">
        <v>96.870627999999996</v>
      </c>
      <c r="N39">
        <v>97.866966000000005</v>
      </c>
      <c r="O39">
        <v>98.577652</v>
      </c>
      <c r="P39">
        <v>99.051108999999997</v>
      </c>
      <c r="Q39">
        <v>99.305396999999999</v>
      </c>
      <c r="R39">
        <v>99.384590000000003</v>
      </c>
      <c r="S39">
        <v>99.399269000000004</v>
      </c>
      <c r="T39">
        <v>99.449905000000001</v>
      </c>
      <c r="U39">
        <v>99.533790999999994</v>
      </c>
      <c r="V39">
        <v>99.649413999999993</v>
      </c>
      <c r="W39">
        <v>99.815132000000006</v>
      </c>
      <c r="X39">
        <v>100.010498</v>
      </c>
      <c r="Y39">
        <v>100.26570100000001</v>
      </c>
      <c r="Z39">
        <v>100.496956</v>
      </c>
      <c r="AA39">
        <v>100.719612</v>
      </c>
      <c r="AB39">
        <v>100.939255</v>
      </c>
      <c r="AC39">
        <v>101.13732899999999</v>
      </c>
      <c r="AD39">
        <v>101.40701300000001</v>
      </c>
      <c r="AE39">
        <v>101.647255</v>
      </c>
      <c r="AF39">
        <v>101.892754</v>
      </c>
      <c r="AG39">
        <v>102.077606</v>
      </c>
      <c r="AH39">
        <v>102.301033</v>
      </c>
      <c r="AI39">
        <v>102.57225800000001</v>
      </c>
      <c r="AJ39" s="31">
        <v>7.0000000000000001E-3</v>
      </c>
      <c r="AL39" s="31"/>
    </row>
    <row r="40" spans="2:38">
      <c r="B40" t="s">
        <v>359</v>
      </c>
      <c r="C40" t="s">
        <v>1558</v>
      </c>
      <c r="D40" t="s">
        <v>1559</v>
      </c>
      <c r="E40" t="s">
        <v>387</v>
      </c>
      <c r="G40">
        <v>0.52666299999999999</v>
      </c>
      <c r="H40">
        <v>0.47602299999999997</v>
      </c>
      <c r="I40">
        <v>0.42490800000000001</v>
      </c>
      <c r="J40">
        <v>0.38086199999999998</v>
      </c>
      <c r="K40">
        <v>0.34490700000000002</v>
      </c>
      <c r="L40">
        <v>0.311031</v>
      </c>
      <c r="M40">
        <v>0.278507</v>
      </c>
      <c r="N40">
        <v>0.24740000000000001</v>
      </c>
      <c r="O40">
        <v>0.21782899999999999</v>
      </c>
      <c r="P40">
        <v>0.189997</v>
      </c>
      <c r="Q40">
        <v>0.163995</v>
      </c>
      <c r="R40">
        <v>0.14014199999999999</v>
      </c>
      <c r="S40">
        <v>0.118488</v>
      </c>
      <c r="T40">
        <v>9.9340999999999999E-2</v>
      </c>
      <c r="U40">
        <v>8.2621E-2</v>
      </c>
      <c r="V40">
        <v>6.8324999999999997E-2</v>
      </c>
      <c r="W40">
        <v>5.6474999999999997E-2</v>
      </c>
      <c r="X40">
        <v>4.6781999999999997E-2</v>
      </c>
      <c r="Y40">
        <v>3.9136999999999998E-2</v>
      </c>
      <c r="Z40">
        <v>3.3218999999999999E-2</v>
      </c>
      <c r="AA40">
        <v>2.8556999999999999E-2</v>
      </c>
      <c r="AB40">
        <v>2.4872999999999999E-2</v>
      </c>
      <c r="AC40">
        <v>2.1923999999999999E-2</v>
      </c>
      <c r="AD40">
        <v>1.967E-2</v>
      </c>
      <c r="AE40">
        <v>1.7888000000000001E-2</v>
      </c>
      <c r="AF40">
        <v>1.6293999999999999E-2</v>
      </c>
      <c r="AG40">
        <v>1.4864E-2</v>
      </c>
      <c r="AH40">
        <v>1.3586000000000001E-2</v>
      </c>
      <c r="AI40">
        <v>1.2444E-2</v>
      </c>
      <c r="AJ40" s="31">
        <v>-0.125</v>
      </c>
      <c r="AL40" s="31"/>
    </row>
    <row r="41" spans="2:38">
      <c r="B41" t="s">
        <v>374</v>
      </c>
      <c r="C41" t="s">
        <v>1560</v>
      </c>
      <c r="D41" t="s">
        <v>1561</v>
      </c>
      <c r="E41" t="s">
        <v>387</v>
      </c>
      <c r="G41">
        <v>84.499534999999995</v>
      </c>
      <c r="H41">
        <v>87.067329000000001</v>
      </c>
      <c r="I41">
        <v>89.746964000000006</v>
      </c>
      <c r="J41">
        <v>92.226378999999994</v>
      </c>
      <c r="K41">
        <v>94.586578000000003</v>
      </c>
      <c r="L41">
        <v>96.020736999999997</v>
      </c>
      <c r="M41">
        <v>97.149131999999994</v>
      </c>
      <c r="N41">
        <v>98.114365000000006</v>
      </c>
      <c r="O41">
        <v>98.795479</v>
      </c>
      <c r="P41">
        <v>99.241104000000007</v>
      </c>
      <c r="Q41">
        <v>99.469391000000002</v>
      </c>
      <c r="R41">
        <v>99.524733999999995</v>
      </c>
      <c r="S41">
        <v>99.517753999999996</v>
      </c>
      <c r="T41">
        <v>99.549248000000006</v>
      </c>
      <c r="U41">
        <v>99.616409000000004</v>
      </c>
      <c r="V41">
        <v>99.717742999999999</v>
      </c>
      <c r="W41">
        <v>99.871605000000002</v>
      </c>
      <c r="X41">
        <v>100.057281</v>
      </c>
      <c r="Y41">
        <v>100.30484</v>
      </c>
      <c r="Z41">
        <v>100.530174</v>
      </c>
      <c r="AA41">
        <v>100.748169</v>
      </c>
      <c r="AB41">
        <v>100.964127</v>
      </c>
      <c r="AC41">
        <v>101.159256</v>
      </c>
      <c r="AD41">
        <v>101.426682</v>
      </c>
      <c r="AE41">
        <v>101.66514599999999</v>
      </c>
      <c r="AF41">
        <v>101.90904999999999</v>
      </c>
      <c r="AG41">
        <v>102.092468</v>
      </c>
      <c r="AH41">
        <v>102.314621</v>
      </c>
      <c r="AI41">
        <v>102.58470199999999</v>
      </c>
      <c r="AJ41" s="31">
        <v>7.0000000000000001E-3</v>
      </c>
      <c r="AL41" s="31"/>
    </row>
    <row r="42" spans="2:38">
      <c r="B42" t="s">
        <v>375</v>
      </c>
    </row>
    <row r="43" spans="2:38">
      <c r="B43" t="s">
        <v>362</v>
      </c>
      <c r="C43" t="s">
        <v>1562</v>
      </c>
      <c r="D43" t="s">
        <v>1563</v>
      </c>
      <c r="E43" t="s">
        <v>387</v>
      </c>
      <c r="G43">
        <v>13.162470000000001</v>
      </c>
      <c r="H43">
        <v>12.179224</v>
      </c>
      <c r="I43">
        <v>11.320261</v>
      </c>
      <c r="J43">
        <v>10.432677</v>
      </c>
      <c r="K43">
        <v>9.6362159999999992</v>
      </c>
      <c r="L43">
        <v>8.8684220000000007</v>
      </c>
      <c r="M43">
        <v>8.172307</v>
      </c>
      <c r="N43">
        <v>7.5669320000000004</v>
      </c>
      <c r="O43">
        <v>7.0374990000000004</v>
      </c>
      <c r="P43">
        <v>6.5835350000000004</v>
      </c>
      <c r="Q43">
        <v>6.1968730000000001</v>
      </c>
      <c r="R43">
        <v>5.8738489999999999</v>
      </c>
      <c r="S43">
        <v>5.6154599999999997</v>
      </c>
      <c r="T43">
        <v>5.4209829999999997</v>
      </c>
      <c r="U43">
        <v>5.2785830000000002</v>
      </c>
      <c r="V43">
        <v>5.1777110000000004</v>
      </c>
      <c r="W43">
        <v>5.112978</v>
      </c>
      <c r="X43">
        <v>5.0727289999999998</v>
      </c>
      <c r="Y43">
        <v>5.0517630000000002</v>
      </c>
      <c r="Z43">
        <v>5.0381419999999997</v>
      </c>
      <c r="AA43">
        <v>5.0318680000000002</v>
      </c>
      <c r="AB43">
        <v>5.0324410000000004</v>
      </c>
      <c r="AC43">
        <v>5.0378150000000002</v>
      </c>
      <c r="AD43">
        <v>5.0565119999999997</v>
      </c>
      <c r="AE43">
        <v>5.0759270000000001</v>
      </c>
      <c r="AF43">
        <v>5.0979070000000002</v>
      </c>
      <c r="AG43">
        <v>5.114109</v>
      </c>
      <c r="AH43">
        <v>5.1376010000000001</v>
      </c>
      <c r="AI43">
        <v>5.1685270000000001</v>
      </c>
      <c r="AJ43" s="31">
        <v>-3.3000000000000002E-2</v>
      </c>
      <c r="AL43" s="31"/>
    </row>
    <row r="44" spans="2:38">
      <c r="B44" t="s">
        <v>1402</v>
      </c>
      <c r="C44" t="s">
        <v>1564</v>
      </c>
      <c r="D44" t="s">
        <v>1106</v>
      </c>
      <c r="E44" t="s">
        <v>387</v>
      </c>
      <c r="G44">
        <v>3.7030000000000001E-3</v>
      </c>
      <c r="H44">
        <v>3.8600000000000001E-3</v>
      </c>
      <c r="I44">
        <v>4.0629999999999998E-3</v>
      </c>
      <c r="J44">
        <v>4.254E-3</v>
      </c>
      <c r="K44">
        <v>4.411E-3</v>
      </c>
      <c r="L44">
        <v>4.5370000000000002E-3</v>
      </c>
      <c r="M44">
        <v>4.6309999999999997E-3</v>
      </c>
      <c r="N44">
        <v>4.6990000000000001E-3</v>
      </c>
      <c r="O44">
        <v>4.7390000000000002E-3</v>
      </c>
      <c r="P44">
        <v>4.7549999999999997E-3</v>
      </c>
      <c r="Q44">
        <v>4.7470000000000004E-3</v>
      </c>
      <c r="R44">
        <v>4.7159999999999997E-3</v>
      </c>
      <c r="S44">
        <v>4.6620000000000003E-3</v>
      </c>
      <c r="T44">
        <v>4.5880000000000001E-3</v>
      </c>
      <c r="U44">
        <v>4.4970000000000001E-3</v>
      </c>
      <c r="V44">
        <v>4.385E-3</v>
      </c>
      <c r="W44">
        <v>4.2500000000000003E-3</v>
      </c>
      <c r="X44">
        <v>4.0959999999999998E-3</v>
      </c>
      <c r="Y44">
        <v>3.9240000000000004E-3</v>
      </c>
      <c r="Z44">
        <v>3.7369999999999999E-3</v>
      </c>
      <c r="AA44">
        <v>3.5370000000000002E-3</v>
      </c>
      <c r="AB44">
        <v>3.3279999999999998E-3</v>
      </c>
      <c r="AC44">
        <v>3.1099999999999999E-3</v>
      </c>
      <c r="AD44">
        <v>2.8869999999999998E-3</v>
      </c>
      <c r="AE44">
        <v>2.6580000000000002E-3</v>
      </c>
      <c r="AF44">
        <v>2.4269999999999999E-3</v>
      </c>
      <c r="AG44">
        <v>2.1930000000000001E-3</v>
      </c>
      <c r="AH44">
        <v>1.957E-3</v>
      </c>
      <c r="AI44">
        <v>1.717E-3</v>
      </c>
      <c r="AJ44" s="31">
        <v>-2.7E-2</v>
      </c>
    </row>
    <row r="45" spans="2:38">
      <c r="B45" t="s">
        <v>1400</v>
      </c>
      <c r="C45" t="s">
        <v>1565</v>
      </c>
      <c r="D45" t="s">
        <v>1106</v>
      </c>
      <c r="E45" t="s">
        <v>387</v>
      </c>
      <c r="G45">
        <v>7.2588E-2</v>
      </c>
      <c r="H45">
        <v>0.143895</v>
      </c>
      <c r="I45">
        <v>0.247086</v>
      </c>
      <c r="J45">
        <v>0.37705499999999997</v>
      </c>
      <c r="K45">
        <v>0.53026099999999998</v>
      </c>
      <c r="L45">
        <v>0.69836500000000001</v>
      </c>
      <c r="M45">
        <v>0.88094700000000004</v>
      </c>
      <c r="N45">
        <v>1.078524</v>
      </c>
      <c r="O45">
        <v>1.286143</v>
      </c>
      <c r="P45">
        <v>1.5028330000000001</v>
      </c>
      <c r="Q45">
        <v>1.7267479999999999</v>
      </c>
      <c r="R45">
        <v>1.957039</v>
      </c>
      <c r="S45">
        <v>2.1958120000000001</v>
      </c>
      <c r="T45">
        <v>2.4456470000000001</v>
      </c>
      <c r="U45">
        <v>2.7055850000000001</v>
      </c>
      <c r="V45">
        <v>2.9749140000000001</v>
      </c>
      <c r="W45">
        <v>3.25406</v>
      </c>
      <c r="X45">
        <v>3.5413579999999998</v>
      </c>
      <c r="Y45">
        <v>3.8381159999999999</v>
      </c>
      <c r="Z45">
        <v>4.139297</v>
      </c>
      <c r="AA45">
        <v>4.4454180000000001</v>
      </c>
      <c r="AB45">
        <v>4.7565809999999997</v>
      </c>
      <c r="AC45">
        <v>5.0713590000000002</v>
      </c>
      <c r="AD45">
        <v>5.3965630000000004</v>
      </c>
      <c r="AE45">
        <v>5.7247779999999997</v>
      </c>
      <c r="AF45">
        <v>6.05837</v>
      </c>
      <c r="AG45">
        <v>6.3917599999999997</v>
      </c>
      <c r="AH45">
        <v>6.7332539999999996</v>
      </c>
      <c r="AI45">
        <v>7.0839730000000003</v>
      </c>
      <c r="AJ45" s="31">
        <v>0.17799999999999999</v>
      </c>
      <c r="AL45" s="31"/>
    </row>
    <row r="46" spans="2:38">
      <c r="B46" t="s">
        <v>1398</v>
      </c>
      <c r="C46" t="s">
        <v>1566</v>
      </c>
      <c r="D46" t="s">
        <v>1106</v>
      </c>
      <c r="E46" t="s">
        <v>387</v>
      </c>
      <c r="G46">
        <v>4.1449E-2</v>
      </c>
      <c r="H46">
        <v>5.7634999999999999E-2</v>
      </c>
      <c r="I46">
        <v>7.8458E-2</v>
      </c>
      <c r="J46">
        <v>0.10303900000000001</v>
      </c>
      <c r="K46">
        <v>0.13026699999999999</v>
      </c>
      <c r="L46">
        <v>0.159192</v>
      </c>
      <c r="M46">
        <v>0.18985199999999999</v>
      </c>
      <c r="N46">
        <v>0.22237799999999999</v>
      </c>
      <c r="O46">
        <v>0.25599</v>
      </c>
      <c r="P46">
        <v>0.29058200000000001</v>
      </c>
      <c r="Q46">
        <v>0.32589699999999999</v>
      </c>
      <c r="R46">
        <v>0.36181999999999997</v>
      </c>
      <c r="S46">
        <v>0.398752</v>
      </c>
      <c r="T46">
        <v>0.437135</v>
      </c>
      <c r="U46">
        <v>0.47684599999999999</v>
      </c>
      <c r="V46">
        <v>0.517822</v>
      </c>
      <c r="W46">
        <v>0.56014399999999998</v>
      </c>
      <c r="X46">
        <v>0.60358400000000001</v>
      </c>
      <c r="Y46">
        <v>0.64836199999999999</v>
      </c>
      <c r="Z46">
        <v>0.69373300000000004</v>
      </c>
      <c r="AA46">
        <v>0.73980999999999997</v>
      </c>
      <c r="AB46">
        <v>0.78660699999999995</v>
      </c>
      <c r="AC46">
        <v>0.83390399999999998</v>
      </c>
      <c r="AD46">
        <v>0.88275199999999998</v>
      </c>
      <c r="AE46">
        <v>0.93203199999999997</v>
      </c>
      <c r="AF46">
        <v>0.98212600000000005</v>
      </c>
      <c r="AG46">
        <v>1.0321910000000001</v>
      </c>
      <c r="AH46">
        <v>1.08348</v>
      </c>
      <c r="AI46">
        <v>1.136166</v>
      </c>
      <c r="AJ46" s="31">
        <v>0.126</v>
      </c>
      <c r="AL46" s="31"/>
    </row>
    <row r="47" spans="2:38">
      <c r="B47" t="s">
        <v>1396</v>
      </c>
      <c r="C47" t="s">
        <v>1567</v>
      </c>
      <c r="D47" t="s">
        <v>1568</v>
      </c>
      <c r="E47" t="s">
        <v>387</v>
      </c>
      <c r="G47">
        <v>0.19003100000000001</v>
      </c>
      <c r="H47">
        <v>0.19597899999999999</v>
      </c>
      <c r="I47">
        <v>0.20338800000000001</v>
      </c>
      <c r="J47">
        <v>0.232598</v>
      </c>
      <c r="K47">
        <v>0.26170900000000002</v>
      </c>
      <c r="L47">
        <v>0.28961100000000001</v>
      </c>
      <c r="M47">
        <v>0.31624000000000002</v>
      </c>
      <c r="N47">
        <v>0.34196700000000002</v>
      </c>
      <c r="O47">
        <v>0.36633300000000002</v>
      </c>
      <c r="P47">
        <v>0.38955299999999998</v>
      </c>
      <c r="Q47">
        <v>0.41159000000000001</v>
      </c>
      <c r="R47">
        <v>0.43248599999999998</v>
      </c>
      <c r="S47">
        <v>0.45264100000000002</v>
      </c>
      <c r="T47">
        <v>0.47244900000000001</v>
      </c>
      <c r="U47">
        <v>0.49194399999999999</v>
      </c>
      <c r="V47">
        <v>0.51121399999999995</v>
      </c>
      <c r="W47">
        <v>0.53047100000000003</v>
      </c>
      <c r="X47">
        <v>0.54966800000000005</v>
      </c>
      <c r="Y47">
        <v>0.56905600000000001</v>
      </c>
      <c r="Z47">
        <v>0.588341</v>
      </c>
      <c r="AA47">
        <v>0.60767000000000004</v>
      </c>
      <c r="AB47">
        <v>0.62711099999999997</v>
      </c>
      <c r="AC47">
        <v>0.64659900000000003</v>
      </c>
      <c r="AD47">
        <v>0.66672399999999998</v>
      </c>
      <c r="AE47">
        <v>0.68695499999999998</v>
      </c>
      <c r="AF47">
        <v>0.707507</v>
      </c>
      <c r="AG47">
        <v>0.72800500000000001</v>
      </c>
      <c r="AH47">
        <v>0.748969</v>
      </c>
      <c r="AI47">
        <v>0.770486</v>
      </c>
      <c r="AJ47" s="31">
        <v>5.0999999999999997E-2</v>
      </c>
      <c r="AL47" s="31"/>
    </row>
    <row r="48" spans="2:38">
      <c r="B48" t="s">
        <v>1393</v>
      </c>
      <c r="C48" t="s">
        <v>1569</v>
      </c>
      <c r="D48" t="s">
        <v>1570</v>
      </c>
      <c r="E48" t="s">
        <v>387</v>
      </c>
      <c r="G48">
        <v>1.1013E-2</v>
      </c>
      <c r="H48">
        <v>1.6417000000000001E-2</v>
      </c>
      <c r="I48">
        <v>2.4326E-2</v>
      </c>
      <c r="J48">
        <v>3.4889999999999997E-2</v>
      </c>
      <c r="K48">
        <v>4.8247999999999999E-2</v>
      </c>
      <c r="L48">
        <v>6.3668000000000002E-2</v>
      </c>
      <c r="M48">
        <v>8.0962999999999993E-2</v>
      </c>
      <c r="N48">
        <v>0.100134</v>
      </c>
      <c r="O48">
        <v>0.12080100000000001</v>
      </c>
      <c r="P48">
        <v>0.14289099999999999</v>
      </c>
      <c r="Q48">
        <v>0.166211</v>
      </c>
      <c r="R48">
        <v>0.19062899999999999</v>
      </c>
      <c r="S48">
        <v>0.21623500000000001</v>
      </c>
      <c r="T48">
        <v>0.243168</v>
      </c>
      <c r="U48">
        <v>0.27132899999999999</v>
      </c>
      <c r="V48">
        <v>0.30064800000000003</v>
      </c>
      <c r="W48">
        <v>0.331146</v>
      </c>
      <c r="X48">
        <v>0.36265799999999998</v>
      </c>
      <c r="Y48">
        <v>0.39525199999999999</v>
      </c>
      <c r="Z48">
        <v>0.42854300000000001</v>
      </c>
      <c r="AA48">
        <v>0.46252799999999999</v>
      </c>
      <c r="AB48">
        <v>0.49717699999999998</v>
      </c>
      <c r="AC48">
        <v>0.53234599999999999</v>
      </c>
      <c r="AD48">
        <v>0.56852899999999995</v>
      </c>
      <c r="AE48">
        <v>0.60517799999999999</v>
      </c>
      <c r="AF48">
        <v>0.64248300000000003</v>
      </c>
      <c r="AG48">
        <v>0.68004399999999998</v>
      </c>
      <c r="AH48">
        <v>0.71839399999999998</v>
      </c>
      <c r="AI48">
        <v>0.757633</v>
      </c>
      <c r="AJ48" s="31">
        <v>0.16300000000000001</v>
      </c>
      <c r="AL48" s="31"/>
    </row>
    <row r="49" spans="1:38">
      <c r="B49" t="s">
        <v>363</v>
      </c>
      <c r="C49" t="s">
        <v>1571</v>
      </c>
      <c r="D49" t="s">
        <v>1572</v>
      </c>
      <c r="E49" t="s">
        <v>387</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117</v>
      </c>
    </row>
    <row r="50" spans="1:38">
      <c r="B50" t="s">
        <v>364</v>
      </c>
      <c r="C50" t="s">
        <v>1573</v>
      </c>
      <c r="D50" t="s">
        <v>1574</v>
      </c>
      <c r="E50" t="s">
        <v>387</v>
      </c>
      <c r="G50">
        <v>1.4879119999999999</v>
      </c>
      <c r="H50">
        <v>1.8146629999999999</v>
      </c>
      <c r="I50">
        <v>2.1407620000000001</v>
      </c>
      <c r="J50">
        <v>2.4838610000000001</v>
      </c>
      <c r="K50">
        <v>2.822991</v>
      </c>
      <c r="L50">
        <v>3.1212719999999998</v>
      </c>
      <c r="M50">
        <v>3.3920370000000002</v>
      </c>
      <c r="N50">
        <v>3.6403780000000001</v>
      </c>
      <c r="O50">
        <v>3.8646980000000002</v>
      </c>
      <c r="P50">
        <v>4.069013</v>
      </c>
      <c r="Q50">
        <v>4.2541650000000004</v>
      </c>
      <c r="R50">
        <v>4.4216379999999997</v>
      </c>
      <c r="S50">
        <v>4.576524</v>
      </c>
      <c r="T50">
        <v>4.7235469999999999</v>
      </c>
      <c r="U50">
        <v>4.8642300000000001</v>
      </c>
      <c r="V50">
        <v>4.9996369999999999</v>
      </c>
      <c r="W50">
        <v>5.1323740000000004</v>
      </c>
      <c r="X50">
        <v>5.2624029999999999</v>
      </c>
      <c r="Y50">
        <v>5.3924770000000004</v>
      </c>
      <c r="Z50">
        <v>5.5196199999999997</v>
      </c>
      <c r="AA50">
        <v>5.6451539999999998</v>
      </c>
      <c r="AB50">
        <v>5.7697919999999998</v>
      </c>
      <c r="AC50">
        <v>5.8929679999999998</v>
      </c>
      <c r="AD50">
        <v>6.0206480000000004</v>
      </c>
      <c r="AE50">
        <v>6.1476749999999996</v>
      </c>
      <c r="AF50">
        <v>6.2759289999999996</v>
      </c>
      <c r="AG50">
        <v>6.4017200000000001</v>
      </c>
      <c r="AH50">
        <v>6.5306540000000002</v>
      </c>
      <c r="AI50">
        <v>6.6636280000000001</v>
      </c>
      <c r="AJ50" s="31">
        <v>5.5E-2</v>
      </c>
      <c r="AL50" s="31"/>
    </row>
    <row r="51" spans="1:38">
      <c r="B51" t="s">
        <v>365</v>
      </c>
      <c r="C51" t="s">
        <v>1575</v>
      </c>
      <c r="D51" t="s">
        <v>1576</v>
      </c>
      <c r="E51" t="s">
        <v>387</v>
      </c>
      <c r="G51">
        <v>2.7307000000000001E-2</v>
      </c>
      <c r="H51">
        <v>2.538E-2</v>
      </c>
      <c r="I51">
        <v>2.3747000000000001E-2</v>
      </c>
      <c r="J51">
        <v>2.2165000000000001E-2</v>
      </c>
      <c r="K51">
        <v>2.0631E-2</v>
      </c>
      <c r="L51">
        <v>1.9140999999999998E-2</v>
      </c>
      <c r="M51">
        <v>1.7766000000000001E-2</v>
      </c>
      <c r="N51">
        <v>1.6636999999999999E-2</v>
      </c>
      <c r="O51">
        <v>1.5591000000000001E-2</v>
      </c>
      <c r="P51">
        <v>1.4572999999999999E-2</v>
      </c>
      <c r="Q51">
        <v>1.3602E-2</v>
      </c>
      <c r="R51">
        <v>1.268E-2</v>
      </c>
      <c r="S51">
        <v>1.1816E-2</v>
      </c>
      <c r="T51">
        <v>1.1003000000000001E-2</v>
      </c>
      <c r="U51">
        <v>1.0246999999999999E-2</v>
      </c>
      <c r="V51">
        <v>9.6509999999999999E-3</v>
      </c>
      <c r="W51">
        <v>9.0790000000000003E-3</v>
      </c>
      <c r="X51">
        <v>8.5800000000000008E-3</v>
      </c>
      <c r="Y51">
        <v>8.1089999999999999E-3</v>
      </c>
      <c r="Z51">
        <v>7.6639999999999998E-3</v>
      </c>
      <c r="AA51">
        <v>7.2430000000000003E-3</v>
      </c>
      <c r="AB51">
        <v>6.8459999999999997E-3</v>
      </c>
      <c r="AC51">
        <v>6.4700000000000001E-3</v>
      </c>
      <c r="AD51">
        <v>6.1149999999999998E-3</v>
      </c>
      <c r="AE51">
        <v>5.7800000000000004E-3</v>
      </c>
      <c r="AF51">
        <v>5.463E-3</v>
      </c>
      <c r="AG51">
        <v>5.1640000000000002E-3</v>
      </c>
      <c r="AH51">
        <v>4.8809999999999999E-3</v>
      </c>
      <c r="AI51">
        <v>4.6129999999999999E-3</v>
      </c>
      <c r="AJ51" s="31">
        <v>-6.2E-2</v>
      </c>
      <c r="AL51" s="31"/>
    </row>
    <row r="52" spans="1:38">
      <c r="B52" t="s">
        <v>366</v>
      </c>
      <c r="C52" t="s">
        <v>1577</v>
      </c>
      <c r="D52" t="s">
        <v>1578</v>
      </c>
      <c r="E52" t="s">
        <v>387</v>
      </c>
      <c r="G52">
        <v>2.1069000000000001E-2</v>
      </c>
      <c r="H52">
        <v>1.942E-2</v>
      </c>
      <c r="I52">
        <v>1.8349000000000001E-2</v>
      </c>
      <c r="J52">
        <v>1.7337999999999999E-2</v>
      </c>
      <c r="K52">
        <v>1.6382000000000001E-2</v>
      </c>
      <c r="L52">
        <v>1.5479E-2</v>
      </c>
      <c r="M52">
        <v>1.4626E-2</v>
      </c>
      <c r="N52">
        <v>1.3821E-2</v>
      </c>
      <c r="O52">
        <v>1.3058999999999999E-2</v>
      </c>
      <c r="P52">
        <v>1.234E-2</v>
      </c>
      <c r="Q52">
        <v>1.1660999999999999E-2</v>
      </c>
      <c r="R52">
        <v>1.1018999999999999E-2</v>
      </c>
      <c r="S52">
        <v>1.0413E-2</v>
      </c>
      <c r="T52">
        <v>9.8399999999999998E-3</v>
      </c>
      <c r="U52">
        <v>9.299E-3</v>
      </c>
      <c r="V52">
        <v>8.7869999999999997E-3</v>
      </c>
      <c r="W52">
        <v>8.3040000000000006E-3</v>
      </c>
      <c r="X52">
        <v>7.8480000000000008E-3</v>
      </c>
      <c r="Y52">
        <v>7.417E-3</v>
      </c>
      <c r="Z52">
        <v>7.0089999999999996E-3</v>
      </c>
      <c r="AA52">
        <v>6.6239999999999997E-3</v>
      </c>
      <c r="AB52">
        <v>6.2599999999999999E-3</v>
      </c>
      <c r="AC52">
        <v>5.9160000000000003E-3</v>
      </c>
      <c r="AD52">
        <v>5.5919999999999997E-3</v>
      </c>
      <c r="AE52">
        <v>5.2849999999999998E-3</v>
      </c>
      <c r="AF52">
        <v>4.9950000000000003E-3</v>
      </c>
      <c r="AG52">
        <v>4.7210000000000004E-3</v>
      </c>
      <c r="AH52">
        <v>4.4619999999999998E-3</v>
      </c>
      <c r="AI52">
        <v>4.2170000000000003E-3</v>
      </c>
      <c r="AJ52" s="31">
        <v>-5.6000000000000001E-2</v>
      </c>
      <c r="AL52" s="31"/>
    </row>
    <row r="53" spans="1:38">
      <c r="B53" t="s">
        <v>367</v>
      </c>
      <c r="C53" t="s">
        <v>1579</v>
      </c>
      <c r="D53" t="s">
        <v>1580</v>
      </c>
      <c r="E53" t="s">
        <v>387</v>
      </c>
      <c r="G53">
        <v>5.5518999999999999E-2</v>
      </c>
      <c r="H53">
        <v>4.9865E-2</v>
      </c>
      <c r="I53">
        <v>4.4665000000000003E-2</v>
      </c>
      <c r="J53">
        <v>4.0508000000000002E-2</v>
      </c>
      <c r="K53">
        <v>3.746E-2</v>
      </c>
      <c r="L53">
        <v>3.5242999999999997E-2</v>
      </c>
      <c r="M53">
        <v>3.3300999999999997E-2</v>
      </c>
      <c r="N53">
        <v>3.1466000000000001E-2</v>
      </c>
      <c r="O53">
        <v>2.9732999999999999E-2</v>
      </c>
      <c r="P53">
        <v>2.8094999999999998E-2</v>
      </c>
      <c r="Q53">
        <v>2.6547999999999999E-2</v>
      </c>
      <c r="R53">
        <v>2.5087000000000002E-2</v>
      </c>
      <c r="S53">
        <v>2.3706000000000001E-2</v>
      </c>
      <c r="T53">
        <v>2.2401999999999998E-2</v>
      </c>
      <c r="U53">
        <v>2.1169E-2</v>
      </c>
      <c r="V53">
        <v>2.0004999999999998E-2</v>
      </c>
      <c r="W53">
        <v>1.8905000000000002E-2</v>
      </c>
      <c r="X53">
        <v>1.7864999999999999E-2</v>
      </c>
      <c r="Y53">
        <v>1.6882999999999999E-2</v>
      </c>
      <c r="Z53">
        <v>1.5955E-2</v>
      </c>
      <c r="AA53">
        <v>1.5077999999999999E-2</v>
      </c>
      <c r="AB53">
        <v>1.4250000000000001E-2</v>
      </c>
      <c r="AC53">
        <v>1.3467E-2</v>
      </c>
      <c r="AD53">
        <v>1.2728E-2</v>
      </c>
      <c r="AE53">
        <v>1.2029E-2</v>
      </c>
      <c r="AF53">
        <v>1.1369000000000001E-2</v>
      </c>
      <c r="AG53">
        <v>1.0744999999999999E-2</v>
      </c>
      <c r="AH53">
        <v>1.0155000000000001E-2</v>
      </c>
      <c r="AI53">
        <v>9.5980000000000006E-3</v>
      </c>
      <c r="AJ53" s="31">
        <v>-6.0999999999999999E-2</v>
      </c>
      <c r="AL53" s="31"/>
    </row>
    <row r="54" spans="1:38">
      <c r="B54" t="s">
        <v>368</v>
      </c>
      <c r="C54" t="s">
        <v>1581</v>
      </c>
      <c r="D54" t="s">
        <v>1582</v>
      </c>
      <c r="E54" t="s">
        <v>387</v>
      </c>
      <c r="G54">
        <v>4.9424999999999997E-2</v>
      </c>
      <c r="H54">
        <v>4.5553999999999997E-2</v>
      </c>
      <c r="I54">
        <v>4.3041999999999997E-2</v>
      </c>
      <c r="J54">
        <v>4.0668999999999997E-2</v>
      </c>
      <c r="K54">
        <v>3.8427000000000003E-2</v>
      </c>
      <c r="L54">
        <v>3.6310000000000002E-2</v>
      </c>
      <c r="M54">
        <v>3.4308999999999999E-2</v>
      </c>
      <c r="N54">
        <v>3.2419000000000003E-2</v>
      </c>
      <c r="O54">
        <v>3.0634000000000002E-2</v>
      </c>
      <c r="P54">
        <v>2.8947000000000001E-2</v>
      </c>
      <c r="Q54">
        <v>2.7354E-2</v>
      </c>
      <c r="R54">
        <v>2.5847999999999999E-2</v>
      </c>
      <c r="S54">
        <v>2.4426E-2</v>
      </c>
      <c r="T54">
        <v>2.3081999999999998E-2</v>
      </c>
      <c r="U54">
        <v>2.1812000000000002E-2</v>
      </c>
      <c r="V54">
        <v>2.0612999999999999E-2</v>
      </c>
      <c r="W54">
        <v>1.9479E-2</v>
      </c>
      <c r="X54">
        <v>1.8408999999999998E-2</v>
      </c>
      <c r="Y54">
        <v>1.7396999999999999E-2</v>
      </c>
      <c r="Z54">
        <v>1.6441000000000001E-2</v>
      </c>
      <c r="AA54">
        <v>1.5538E-2</v>
      </c>
      <c r="AB54">
        <v>1.4683999999999999E-2</v>
      </c>
      <c r="AC54">
        <v>1.3878E-2</v>
      </c>
      <c r="AD54">
        <v>1.3115999999999999E-2</v>
      </c>
      <c r="AE54">
        <v>1.2396000000000001E-2</v>
      </c>
      <c r="AF54">
        <v>1.1716000000000001E-2</v>
      </c>
      <c r="AG54">
        <v>1.1073E-2</v>
      </c>
      <c r="AH54">
        <v>1.0466E-2</v>
      </c>
      <c r="AI54">
        <v>9.8919999999999998E-3</v>
      </c>
      <c r="AJ54" s="31">
        <v>-5.6000000000000001E-2</v>
      </c>
      <c r="AL54" s="31"/>
    </row>
    <row r="55" spans="1:38">
      <c r="B55" t="s">
        <v>369</v>
      </c>
      <c r="C55" t="s">
        <v>1583</v>
      </c>
      <c r="D55" t="s">
        <v>1584</v>
      </c>
      <c r="E55" t="s">
        <v>387</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117</v>
      </c>
    </row>
    <row r="56" spans="1:38">
      <c r="B56" t="s">
        <v>370</v>
      </c>
      <c r="C56" t="s">
        <v>1585</v>
      </c>
      <c r="D56" t="s">
        <v>1586</v>
      </c>
      <c r="E56" t="s">
        <v>387</v>
      </c>
      <c r="G56">
        <v>2.3E-5</v>
      </c>
      <c r="H56">
        <v>6.8999999999999997E-5</v>
      </c>
      <c r="I56">
        <v>1.4200000000000001E-4</v>
      </c>
      <c r="J56">
        <v>2.42E-4</v>
      </c>
      <c r="K56">
        <v>3.6900000000000002E-4</v>
      </c>
      <c r="L56">
        <v>5.1900000000000004E-4</v>
      </c>
      <c r="M56">
        <v>6.9099999999999999E-4</v>
      </c>
      <c r="N56">
        <v>8.8500000000000004E-4</v>
      </c>
      <c r="O56">
        <v>1.098E-3</v>
      </c>
      <c r="P56">
        <v>1.3290000000000001E-3</v>
      </c>
      <c r="Q56">
        <v>1.575E-3</v>
      </c>
      <c r="R56">
        <v>1.8339999999999999E-3</v>
      </c>
      <c r="S56">
        <v>2.1069999999999999E-3</v>
      </c>
      <c r="T56">
        <v>2.3939999999999999E-3</v>
      </c>
      <c r="U56">
        <v>2.6940000000000002E-3</v>
      </c>
      <c r="V56">
        <v>3.006E-3</v>
      </c>
      <c r="W56">
        <v>3.3310000000000002E-3</v>
      </c>
      <c r="X56">
        <v>3.6670000000000001E-3</v>
      </c>
      <c r="Y56">
        <v>4.0159999999999996E-3</v>
      </c>
      <c r="Z56">
        <v>4.3730000000000002E-3</v>
      </c>
      <c r="AA56">
        <v>4.738E-3</v>
      </c>
      <c r="AB56">
        <v>5.1120000000000002E-3</v>
      </c>
      <c r="AC56">
        <v>5.4939999999999998E-3</v>
      </c>
      <c r="AD56">
        <v>5.8859999999999997E-3</v>
      </c>
      <c r="AE56">
        <v>6.2839999999999997E-3</v>
      </c>
      <c r="AF56">
        <v>6.6899999999999998E-3</v>
      </c>
      <c r="AG56">
        <v>7.1009999999999997E-3</v>
      </c>
      <c r="AH56">
        <v>7.5209999999999999E-3</v>
      </c>
      <c r="AI56">
        <v>7.9509999999999997E-3</v>
      </c>
      <c r="AJ56" s="31">
        <v>0.23300000000000001</v>
      </c>
      <c r="AL56" s="31"/>
    </row>
    <row r="57" spans="1:38">
      <c r="B57" t="s">
        <v>376</v>
      </c>
      <c r="C57" t="s">
        <v>1587</v>
      </c>
      <c r="D57" t="s">
        <v>1588</v>
      </c>
      <c r="E57" t="s">
        <v>387</v>
      </c>
      <c r="G57">
        <v>15.122508</v>
      </c>
      <c r="H57">
        <v>14.551963000000001</v>
      </c>
      <c r="I57">
        <v>14.148291</v>
      </c>
      <c r="J57">
        <v>13.789296999999999</v>
      </c>
      <c r="K57">
        <v>13.547373</v>
      </c>
      <c r="L57">
        <v>13.311757999999999</v>
      </c>
      <c r="M57">
        <v>13.137670999999999</v>
      </c>
      <c r="N57">
        <v>13.050241</v>
      </c>
      <c r="O57">
        <v>13.026318</v>
      </c>
      <c r="P57">
        <v>13.068447000000001</v>
      </c>
      <c r="Q57">
        <v>13.166968000000001</v>
      </c>
      <c r="R57">
        <v>13.318645999999999</v>
      </c>
      <c r="S57">
        <v>13.532553999999999</v>
      </c>
      <c r="T57">
        <v>13.816238</v>
      </c>
      <c r="U57">
        <v>14.158236</v>
      </c>
      <c r="V57">
        <v>14.548389999999999</v>
      </c>
      <c r="W57">
        <v>14.984522</v>
      </c>
      <c r="X57">
        <v>15.452866</v>
      </c>
      <c r="Y57">
        <v>15.952771</v>
      </c>
      <c r="Z57">
        <v>16.462855999999999</v>
      </c>
      <c r="AA57">
        <v>16.985206999999999</v>
      </c>
      <c r="AB57">
        <v>17.520188999999998</v>
      </c>
      <c r="AC57">
        <v>18.063326</v>
      </c>
      <c r="AD57">
        <v>18.638051999999998</v>
      </c>
      <c r="AE57">
        <v>19.216975999999999</v>
      </c>
      <c r="AF57">
        <v>19.806982000000001</v>
      </c>
      <c r="AG57">
        <v>20.388824</v>
      </c>
      <c r="AH57">
        <v>20.991790999999999</v>
      </c>
      <c r="AI57">
        <v>21.618402</v>
      </c>
      <c r="AJ57" s="31">
        <v>1.2999999999999999E-2</v>
      </c>
      <c r="AL57" s="31"/>
    </row>
    <row r="58" spans="1:38">
      <c r="B58" t="s">
        <v>386</v>
      </c>
      <c r="C58" t="s">
        <v>1589</v>
      </c>
      <c r="D58" t="s">
        <v>1590</v>
      </c>
      <c r="E58" t="s">
        <v>387</v>
      </c>
      <c r="G58">
        <v>99.622039999999998</v>
      </c>
      <c r="H58">
        <v>101.619293</v>
      </c>
      <c r="I58">
        <v>103.895256</v>
      </c>
      <c r="J58">
        <v>106.01567799999999</v>
      </c>
      <c r="K58">
        <v>108.133949</v>
      </c>
      <c r="L58">
        <v>109.332497</v>
      </c>
      <c r="M58">
        <v>110.286804</v>
      </c>
      <c r="N58">
        <v>111.164604</v>
      </c>
      <c r="O58">
        <v>111.821793</v>
      </c>
      <c r="P58">
        <v>112.309555</v>
      </c>
      <c r="Q58">
        <v>112.63636</v>
      </c>
      <c r="R58">
        <v>112.843384</v>
      </c>
      <c r="S58">
        <v>113.050308</v>
      </c>
      <c r="T58">
        <v>113.365486</v>
      </c>
      <c r="U58">
        <v>113.774643</v>
      </c>
      <c r="V58">
        <v>114.266136</v>
      </c>
      <c r="W58">
        <v>114.85612500000001</v>
      </c>
      <c r="X58">
        <v>115.510147</v>
      </c>
      <c r="Y58">
        <v>116.257614</v>
      </c>
      <c r="Z58">
        <v>116.993027</v>
      </c>
      <c r="AA58">
        <v>117.73337600000001</v>
      </c>
      <c r="AB58">
        <v>118.484314</v>
      </c>
      <c r="AC58">
        <v>119.22257999999999</v>
      </c>
      <c r="AD58">
        <v>120.064735</v>
      </c>
      <c r="AE58">
        <v>120.882126</v>
      </c>
      <c r="AF58">
        <v>121.71603399999999</v>
      </c>
      <c r="AG58">
        <v>122.48129299999999</v>
      </c>
      <c r="AH58">
        <v>123.30641199999999</v>
      </c>
      <c r="AI58">
        <v>124.203102</v>
      </c>
      <c r="AJ58" s="31">
        <v>8.0000000000000002E-3</v>
      </c>
      <c r="AL58" s="31"/>
    </row>
    <row r="59" spans="1:38">
      <c r="B59" t="s">
        <v>300</v>
      </c>
      <c r="C59" t="s">
        <v>1591</v>
      </c>
      <c r="D59" t="s">
        <v>1592</v>
      </c>
      <c r="E59" t="s">
        <v>387</v>
      </c>
      <c r="G59">
        <v>154.85844399999999</v>
      </c>
      <c r="H59">
        <v>154.75933800000001</v>
      </c>
      <c r="I59">
        <v>155.18885800000001</v>
      </c>
      <c r="J59">
        <v>155.373627</v>
      </c>
      <c r="K59">
        <v>155.688354</v>
      </c>
      <c r="L59">
        <v>155.05102500000001</v>
      </c>
      <c r="M59">
        <v>154.40522799999999</v>
      </c>
      <c r="N59">
        <v>153.92602500000001</v>
      </c>
      <c r="O59">
        <v>153.42155500000001</v>
      </c>
      <c r="P59">
        <v>152.90313699999999</v>
      </c>
      <c r="Q59">
        <v>152.38438400000001</v>
      </c>
      <c r="R59">
        <v>151.855255</v>
      </c>
      <c r="S59">
        <v>151.46906999999999</v>
      </c>
      <c r="T59">
        <v>151.34646599999999</v>
      </c>
      <c r="U59">
        <v>151.49255400000001</v>
      </c>
      <c r="V59">
        <v>151.79731799999999</v>
      </c>
      <c r="W59">
        <v>152.251846</v>
      </c>
      <c r="X59">
        <v>152.81007399999999</v>
      </c>
      <c r="Y59">
        <v>153.492279</v>
      </c>
      <c r="Z59">
        <v>154.13247699999999</v>
      </c>
      <c r="AA59">
        <v>154.758972</v>
      </c>
      <c r="AB59">
        <v>155.35243199999999</v>
      </c>
      <c r="AC59">
        <v>155.94850199999999</v>
      </c>
      <c r="AD59">
        <v>156.71116599999999</v>
      </c>
      <c r="AE59">
        <v>157.567047</v>
      </c>
      <c r="AF59">
        <v>158.40786700000001</v>
      </c>
      <c r="AG59">
        <v>159.162781</v>
      </c>
      <c r="AH59">
        <v>159.98182700000001</v>
      </c>
      <c r="AI59">
        <v>160.91322299999999</v>
      </c>
      <c r="AJ59" s="31">
        <v>1E-3</v>
      </c>
      <c r="AL59" s="31"/>
    </row>
    <row r="60" spans="1:38">
      <c r="B60" s="1" t="s">
        <v>311</v>
      </c>
    </row>
    <row r="61" spans="1:38" ht="30">
      <c r="A61" s="57" t="s">
        <v>113</v>
      </c>
      <c r="B61" t="s">
        <v>313</v>
      </c>
      <c r="C61" t="s">
        <v>1593</v>
      </c>
      <c r="D61" t="s">
        <v>1594</v>
      </c>
      <c r="E61" t="s">
        <v>387</v>
      </c>
      <c r="G61">
        <v>51.837432999999997</v>
      </c>
      <c r="H61">
        <v>53.552582000000001</v>
      </c>
      <c r="I61">
        <v>54.945126000000002</v>
      </c>
      <c r="J61">
        <v>56.519489</v>
      </c>
      <c r="K61">
        <v>58.240616000000003</v>
      </c>
      <c r="L61">
        <v>59.414616000000002</v>
      </c>
      <c r="M61">
        <v>60.508510999999999</v>
      </c>
      <c r="N61">
        <v>61.372760999999997</v>
      </c>
      <c r="O61">
        <v>62.082912</v>
      </c>
      <c r="P61">
        <v>62.734546999999999</v>
      </c>
      <c r="Q61">
        <v>63.473190000000002</v>
      </c>
      <c r="R61">
        <v>64.143776000000003</v>
      </c>
      <c r="S61">
        <v>64.758094999999997</v>
      </c>
      <c r="T61">
        <v>65.349152000000004</v>
      </c>
      <c r="U61">
        <v>65.876694000000001</v>
      </c>
      <c r="V61">
        <v>66.393310999999997</v>
      </c>
      <c r="W61">
        <v>66.921218999999994</v>
      </c>
      <c r="X61">
        <v>67.367889000000005</v>
      </c>
      <c r="Y61">
        <v>67.924987999999999</v>
      </c>
      <c r="Z61">
        <v>68.537970999999999</v>
      </c>
      <c r="AA61">
        <v>69.110213999999999</v>
      </c>
      <c r="AB61">
        <v>69.618706000000003</v>
      </c>
      <c r="AC61">
        <v>70.083259999999996</v>
      </c>
      <c r="AD61">
        <v>70.546218999999994</v>
      </c>
      <c r="AE61">
        <v>71.129585000000006</v>
      </c>
      <c r="AF61">
        <v>71.808875999999998</v>
      </c>
      <c r="AG61">
        <v>72.428055000000001</v>
      </c>
      <c r="AH61">
        <v>73.064812000000003</v>
      </c>
      <c r="AI61">
        <v>73.959739999999996</v>
      </c>
      <c r="AJ61" s="31">
        <v>1.2999999999999999E-2</v>
      </c>
      <c r="AL61" s="31"/>
    </row>
    <row r="62" spans="1:38">
      <c r="A62" s="57" t="s">
        <v>114</v>
      </c>
      <c r="B62" t="s">
        <v>327</v>
      </c>
      <c r="C62" t="s">
        <v>1595</v>
      </c>
      <c r="D62" t="s">
        <v>1596</v>
      </c>
      <c r="E62" t="s">
        <v>387</v>
      </c>
      <c r="G62">
        <v>34.891967999999999</v>
      </c>
      <c r="H62">
        <v>35.168990999999998</v>
      </c>
      <c r="I62">
        <v>35.052208</v>
      </c>
      <c r="J62">
        <v>35.02919</v>
      </c>
      <c r="K62">
        <v>35.253203999999997</v>
      </c>
      <c r="L62">
        <v>35.736431000000003</v>
      </c>
      <c r="M62">
        <v>36.061832000000003</v>
      </c>
      <c r="N62">
        <v>36.300452999999997</v>
      </c>
      <c r="O62">
        <v>36.439003</v>
      </c>
      <c r="P62">
        <v>36.547404999999998</v>
      </c>
      <c r="Q62">
        <v>36.754508999999999</v>
      </c>
      <c r="R62">
        <v>36.943119000000003</v>
      </c>
      <c r="S62">
        <v>37.138553999999999</v>
      </c>
      <c r="T62">
        <v>37.359737000000003</v>
      </c>
      <c r="U62">
        <v>37.576214</v>
      </c>
      <c r="V62">
        <v>37.831867000000003</v>
      </c>
      <c r="W62">
        <v>38.125079999999997</v>
      </c>
      <c r="X62">
        <v>38.407192000000002</v>
      </c>
      <c r="Y62">
        <v>38.739745999999997</v>
      </c>
      <c r="Z62">
        <v>39.126434000000003</v>
      </c>
      <c r="AA62">
        <v>39.505885999999997</v>
      </c>
      <c r="AB62">
        <v>39.890366</v>
      </c>
      <c r="AC62">
        <v>40.266209000000003</v>
      </c>
      <c r="AD62">
        <v>40.637608</v>
      </c>
      <c r="AE62">
        <v>41.071300999999998</v>
      </c>
      <c r="AF62">
        <v>41.550395999999999</v>
      </c>
      <c r="AG62">
        <v>41.990127999999999</v>
      </c>
      <c r="AH62">
        <v>42.417248000000001</v>
      </c>
      <c r="AI62">
        <v>42.984264000000003</v>
      </c>
      <c r="AJ62" s="31">
        <v>7.0000000000000001E-3</v>
      </c>
      <c r="AL62" s="31"/>
    </row>
    <row r="63" spans="1:38">
      <c r="A63" s="57" t="s">
        <v>257</v>
      </c>
      <c r="B63" t="s">
        <v>308</v>
      </c>
      <c r="C63" t="s">
        <v>1597</v>
      </c>
      <c r="D63" t="s">
        <v>1598</v>
      </c>
      <c r="E63" t="s">
        <v>387</v>
      </c>
      <c r="G63">
        <v>8.3999999999999995E-5</v>
      </c>
      <c r="H63">
        <v>6.7080000000000004E-3</v>
      </c>
      <c r="I63">
        <v>1.3285E-2</v>
      </c>
      <c r="J63">
        <v>1.9629000000000001E-2</v>
      </c>
      <c r="K63">
        <v>2.6211000000000002E-2</v>
      </c>
      <c r="L63">
        <v>3.2514000000000001E-2</v>
      </c>
      <c r="M63">
        <v>3.8731000000000002E-2</v>
      </c>
      <c r="N63">
        <v>4.5527999999999999E-2</v>
      </c>
      <c r="O63">
        <v>5.0928000000000001E-2</v>
      </c>
      <c r="P63">
        <v>5.7020000000000001E-2</v>
      </c>
      <c r="Q63">
        <v>6.4143000000000006E-2</v>
      </c>
      <c r="R63">
        <v>7.2323999999999999E-2</v>
      </c>
      <c r="S63">
        <v>8.1765000000000004E-2</v>
      </c>
      <c r="T63">
        <v>9.2765E-2</v>
      </c>
      <c r="U63">
        <v>0.10559499999999999</v>
      </c>
      <c r="V63">
        <v>0.120675</v>
      </c>
      <c r="W63">
        <v>0.13833400000000001</v>
      </c>
      <c r="X63">
        <v>0.15865799999999999</v>
      </c>
      <c r="Y63">
        <v>0.18237</v>
      </c>
      <c r="Z63">
        <v>0.20966899999999999</v>
      </c>
      <c r="AA63">
        <v>0.240319</v>
      </c>
      <c r="AB63">
        <v>0.274447</v>
      </c>
      <c r="AC63">
        <v>0.311973</v>
      </c>
      <c r="AD63">
        <v>0.35320699999999999</v>
      </c>
      <c r="AE63">
        <v>0.398536</v>
      </c>
      <c r="AF63">
        <v>0.44746200000000003</v>
      </c>
      <c r="AG63">
        <v>0.49844500000000003</v>
      </c>
      <c r="AH63">
        <v>0.55161499999999997</v>
      </c>
      <c r="AI63">
        <v>0.608325</v>
      </c>
      <c r="AJ63" s="31">
        <v>0.374</v>
      </c>
      <c r="AL63" s="31"/>
    </row>
    <row r="64" spans="1:38" ht="30">
      <c r="A64" s="57" t="s">
        <v>112</v>
      </c>
      <c r="B64" t="s">
        <v>307</v>
      </c>
      <c r="C64" t="s">
        <v>1599</v>
      </c>
      <c r="D64" t="s">
        <v>1600</v>
      </c>
      <c r="E64" t="s">
        <v>387</v>
      </c>
      <c r="G64">
        <v>8.2449999999999996E-2</v>
      </c>
      <c r="H64">
        <v>7.7089000000000005E-2</v>
      </c>
      <c r="I64">
        <v>7.1639999999999995E-2</v>
      </c>
      <c r="J64">
        <v>6.3702999999999996E-2</v>
      </c>
      <c r="K64">
        <v>5.5662000000000003E-2</v>
      </c>
      <c r="L64">
        <v>4.8924000000000002E-2</v>
      </c>
      <c r="M64">
        <v>4.4137999999999997E-2</v>
      </c>
      <c r="N64">
        <v>3.9933000000000003E-2</v>
      </c>
      <c r="O64">
        <v>3.5755000000000002E-2</v>
      </c>
      <c r="P64">
        <v>3.1772000000000002E-2</v>
      </c>
      <c r="Q64">
        <v>2.8242E-2</v>
      </c>
      <c r="R64">
        <v>2.5179E-2</v>
      </c>
      <c r="S64">
        <v>2.2497E-2</v>
      </c>
      <c r="T64">
        <v>2.0257000000000001E-2</v>
      </c>
      <c r="U64">
        <v>1.8169999999999999E-2</v>
      </c>
      <c r="V64">
        <v>1.6233999999999998E-2</v>
      </c>
      <c r="W64">
        <v>1.4560999999999999E-2</v>
      </c>
      <c r="X64">
        <v>1.3184E-2</v>
      </c>
      <c r="Y64">
        <v>1.2031999999999999E-2</v>
      </c>
      <c r="Z64">
        <v>1.0985E-2</v>
      </c>
      <c r="AA64">
        <v>1.0017E-2</v>
      </c>
      <c r="AB64">
        <v>9.1240000000000002E-3</v>
      </c>
      <c r="AC64">
        <v>8.3020000000000004E-3</v>
      </c>
      <c r="AD64">
        <v>7.5230000000000002E-3</v>
      </c>
      <c r="AE64">
        <v>6.6150000000000002E-3</v>
      </c>
      <c r="AF64">
        <v>5.5129999999999997E-3</v>
      </c>
      <c r="AG64">
        <v>4.535E-3</v>
      </c>
      <c r="AH64">
        <v>3.5980000000000001E-3</v>
      </c>
      <c r="AI64">
        <v>2.885E-3</v>
      </c>
      <c r="AJ64" s="31">
        <v>-0.113</v>
      </c>
      <c r="AL64" s="31"/>
    </row>
    <row r="65" spans="1:38" ht="30">
      <c r="A65" s="57" t="s">
        <v>113</v>
      </c>
      <c r="B65" t="s">
        <v>378</v>
      </c>
      <c r="C65" t="s">
        <v>1601</v>
      </c>
      <c r="D65" t="s">
        <v>1602</v>
      </c>
      <c r="E65" t="s">
        <v>387</v>
      </c>
      <c r="G65">
        <v>15.403013</v>
      </c>
      <c r="H65">
        <v>14.512478</v>
      </c>
      <c r="I65">
        <v>13.420999</v>
      </c>
      <c r="J65">
        <v>12.663916</v>
      </c>
      <c r="K65">
        <v>11.983299000000001</v>
      </c>
      <c r="L65">
        <v>11.651821</v>
      </c>
      <c r="M65">
        <v>11.413193</v>
      </c>
      <c r="N65">
        <v>11.413360000000001</v>
      </c>
      <c r="O65">
        <v>11.435084</v>
      </c>
      <c r="P65">
        <v>11.508266000000001</v>
      </c>
      <c r="Q65">
        <v>11.655806999999999</v>
      </c>
      <c r="R65">
        <v>11.866078</v>
      </c>
      <c r="S65">
        <v>12.125061000000001</v>
      </c>
      <c r="T65">
        <v>12.461931</v>
      </c>
      <c r="U65">
        <v>12.83783</v>
      </c>
      <c r="V65">
        <v>13.268098</v>
      </c>
      <c r="W65">
        <v>13.730530999999999</v>
      </c>
      <c r="X65">
        <v>14.204848999999999</v>
      </c>
      <c r="Y65">
        <v>14.705157</v>
      </c>
      <c r="Z65">
        <v>15.216683</v>
      </c>
      <c r="AA65">
        <v>15.704331</v>
      </c>
      <c r="AB65">
        <v>16.166798</v>
      </c>
      <c r="AC65">
        <v>16.583172000000001</v>
      </c>
      <c r="AD65">
        <v>16.974043000000002</v>
      </c>
      <c r="AE65">
        <v>17.359660999999999</v>
      </c>
      <c r="AF65">
        <v>17.706692</v>
      </c>
      <c r="AG65">
        <v>18.008407999999999</v>
      </c>
      <c r="AH65">
        <v>18.289162000000001</v>
      </c>
      <c r="AI65">
        <v>18.612151999999998</v>
      </c>
      <c r="AJ65" s="31">
        <v>7.0000000000000001E-3</v>
      </c>
      <c r="AL65" s="31"/>
    </row>
    <row r="66" spans="1:38">
      <c r="A66" t="s">
        <v>111</v>
      </c>
      <c r="B66" t="s">
        <v>379</v>
      </c>
      <c r="C66" t="s">
        <v>1603</v>
      </c>
      <c r="D66" t="s">
        <v>1604</v>
      </c>
      <c r="E66" t="s">
        <v>387</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117</v>
      </c>
      <c r="AL66" s="31"/>
    </row>
    <row r="67" spans="1:38">
      <c r="A67" t="s">
        <v>115</v>
      </c>
      <c r="B67" t="s">
        <v>380</v>
      </c>
      <c r="C67" t="s">
        <v>1605</v>
      </c>
      <c r="D67" t="s">
        <v>1606</v>
      </c>
      <c r="E67" t="s">
        <v>387</v>
      </c>
      <c r="G67">
        <v>0</v>
      </c>
      <c r="H67">
        <v>1.3337999999999999E-2</v>
      </c>
      <c r="I67">
        <v>2.6377000000000001E-2</v>
      </c>
      <c r="J67">
        <v>3.8581999999999998E-2</v>
      </c>
      <c r="K67">
        <v>5.0548000000000003E-2</v>
      </c>
      <c r="L67">
        <v>6.1259000000000001E-2</v>
      </c>
      <c r="M67">
        <v>7.1051000000000003E-2</v>
      </c>
      <c r="N67">
        <v>8.1114000000000006E-2</v>
      </c>
      <c r="O67">
        <v>8.7440000000000004E-2</v>
      </c>
      <c r="P67">
        <v>9.4113000000000002E-2</v>
      </c>
      <c r="Q67">
        <v>0.101629</v>
      </c>
      <c r="R67">
        <v>0.109989</v>
      </c>
      <c r="S67">
        <v>0.11933299999999999</v>
      </c>
      <c r="T67">
        <v>0.12994800000000001</v>
      </c>
      <c r="U67">
        <v>0.141874</v>
      </c>
      <c r="V67">
        <v>0.15543799999999999</v>
      </c>
      <c r="W67">
        <v>0.17083799999999999</v>
      </c>
      <c r="X67">
        <v>0.18793699999999999</v>
      </c>
      <c r="Y67">
        <v>0.207395</v>
      </c>
      <c r="Z67">
        <v>0.22913</v>
      </c>
      <c r="AA67">
        <v>0.25268299999999999</v>
      </c>
      <c r="AB67">
        <v>0.27793699999999999</v>
      </c>
      <c r="AC67">
        <v>0.30441600000000002</v>
      </c>
      <c r="AD67">
        <v>0.33215099999999997</v>
      </c>
      <c r="AE67">
        <v>0.36110799999999998</v>
      </c>
      <c r="AF67">
        <v>0.39080700000000002</v>
      </c>
      <c r="AG67">
        <v>0.41994799999999999</v>
      </c>
      <c r="AH67">
        <v>0.44891300000000001</v>
      </c>
      <c r="AI67">
        <v>0.478823</v>
      </c>
      <c r="AJ67" t="s">
        <v>117</v>
      </c>
      <c r="AL67" s="31"/>
    </row>
    <row r="68" spans="1:38">
      <c r="A68" t="s">
        <v>115</v>
      </c>
      <c r="B68" t="s">
        <v>381</v>
      </c>
      <c r="C68" t="s">
        <v>1607</v>
      </c>
      <c r="D68" t="s">
        <v>1608</v>
      </c>
      <c r="E68" t="s">
        <v>387</v>
      </c>
      <c r="G68">
        <v>0</v>
      </c>
      <c r="H68">
        <v>1.2283000000000001E-2</v>
      </c>
      <c r="I68">
        <v>2.4154999999999999E-2</v>
      </c>
      <c r="J68">
        <v>3.5478999999999997E-2</v>
      </c>
      <c r="K68">
        <v>4.6723000000000001E-2</v>
      </c>
      <c r="L68">
        <v>5.6980999999999997E-2</v>
      </c>
      <c r="M68">
        <v>6.6602999999999996E-2</v>
      </c>
      <c r="N68">
        <v>7.6688000000000006E-2</v>
      </c>
      <c r="O68">
        <v>8.3451999999999998E-2</v>
      </c>
      <c r="P68">
        <v>9.0574000000000002E-2</v>
      </c>
      <c r="Q68">
        <v>9.8388000000000003E-2</v>
      </c>
      <c r="R68">
        <v>0.10684399999999999</v>
      </c>
      <c r="S68">
        <v>0.116024</v>
      </c>
      <c r="T68">
        <v>0.12606100000000001</v>
      </c>
      <c r="U68">
        <v>0.137016</v>
      </c>
      <c r="V68">
        <v>0.14915400000000001</v>
      </c>
      <c r="W68">
        <v>0.162688</v>
      </c>
      <c r="X68">
        <v>0.177428</v>
      </c>
      <c r="Y68">
        <v>0.19400999999999999</v>
      </c>
      <c r="Z68">
        <v>0.21232699999999999</v>
      </c>
      <c r="AA68">
        <v>0.23197799999999999</v>
      </c>
      <c r="AB68">
        <v>0.25281700000000001</v>
      </c>
      <c r="AC68">
        <v>0.27457399999999998</v>
      </c>
      <c r="AD68">
        <v>0.29727799999999999</v>
      </c>
      <c r="AE68">
        <v>0.32111299999999998</v>
      </c>
      <c r="AF68">
        <v>0.34559699999999999</v>
      </c>
      <c r="AG68">
        <v>0.36972500000000003</v>
      </c>
      <c r="AH68">
        <v>0.39377099999999998</v>
      </c>
      <c r="AI68">
        <v>0.41885099999999997</v>
      </c>
      <c r="AJ68" t="s">
        <v>117</v>
      </c>
      <c r="AL68" s="31"/>
    </row>
    <row r="69" spans="1:38" ht="30">
      <c r="A69" s="57" t="s">
        <v>258</v>
      </c>
      <c r="B69" t="s">
        <v>382</v>
      </c>
      <c r="C69" t="s">
        <v>1609</v>
      </c>
      <c r="D69" t="s">
        <v>1610</v>
      </c>
      <c r="E69" t="s">
        <v>387</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t="s">
        <v>117</v>
      </c>
    </row>
    <row r="70" spans="1:38">
      <c r="B70" t="s">
        <v>383</v>
      </c>
      <c r="C70" t="s">
        <v>1611</v>
      </c>
      <c r="D70" t="s">
        <v>1612</v>
      </c>
      <c r="E70" t="s">
        <v>387</v>
      </c>
      <c r="G70">
        <v>102.214951</v>
      </c>
      <c r="H70">
        <v>103.34345999999999</v>
      </c>
      <c r="I70">
        <v>103.55378</v>
      </c>
      <c r="J70">
        <v>104.36998699999999</v>
      </c>
      <c r="K70">
        <v>105.656265</v>
      </c>
      <c r="L70">
        <v>107.002548</v>
      </c>
      <c r="M70">
        <v>108.204063</v>
      </c>
      <c r="N70">
        <v>109.329842</v>
      </c>
      <c r="O70">
        <v>110.214569</v>
      </c>
      <c r="P70">
        <v>111.063705</v>
      </c>
      <c r="Q70">
        <v>112.175911</v>
      </c>
      <c r="R70">
        <v>113.26731100000001</v>
      </c>
      <c r="S70">
        <v>114.361328</v>
      </c>
      <c r="T70">
        <v>115.539856</v>
      </c>
      <c r="U70">
        <v>116.693398</v>
      </c>
      <c r="V70">
        <v>117.934776</v>
      </c>
      <c r="W70">
        <v>119.26325199999999</v>
      </c>
      <c r="X70">
        <v>120.517143</v>
      </c>
      <c r="Y70">
        <v>121.965698</v>
      </c>
      <c r="Z70">
        <v>123.543205</v>
      </c>
      <c r="AA70">
        <v>125.055435</v>
      </c>
      <c r="AB70">
        <v>126.490196</v>
      </c>
      <c r="AC70">
        <v>127.831902</v>
      </c>
      <c r="AD70">
        <v>129.14802599999999</v>
      </c>
      <c r="AE70">
        <v>130.647919</v>
      </c>
      <c r="AF70">
        <v>132.25534099999999</v>
      </c>
      <c r="AG70">
        <v>133.71923799999999</v>
      </c>
      <c r="AH70">
        <v>135.16911300000001</v>
      </c>
      <c r="AI70">
        <v>137.065033</v>
      </c>
      <c r="AJ70" s="31">
        <v>1.0999999999999999E-2</v>
      </c>
      <c r="AL70" s="31"/>
    </row>
  </sheetData>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C126A-C2A6-4670-851B-3B89F16A39C4}">
  <dimension ref="A1:AJ265"/>
  <sheetViews>
    <sheetView workbookViewId="0"/>
  </sheetViews>
  <sheetFormatPr defaultRowHeight="15" customHeight="1"/>
  <cols>
    <col min="1" max="1" width="28.85546875" customWidth="1"/>
    <col min="2" max="2" width="67.85546875" customWidth="1"/>
  </cols>
  <sheetData>
    <row r="1" spans="1:35">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c r="AI1" t="s">
        <v>1079</v>
      </c>
    </row>
    <row r="2" spans="1:35"/>
    <row r="3" spans="1:35"/>
    <row r="4" spans="1:35"/>
    <row r="5" spans="1:35"/>
    <row r="6" spans="1:35"/>
    <row r="7" spans="1:35"/>
    <row r="8" spans="1:35"/>
    <row r="9" spans="1:35"/>
    <row r="10" spans="1:35">
      <c r="A10" t="s">
        <v>421</v>
      </c>
    </row>
    <row r="11" spans="1:35">
      <c r="A11" t="s">
        <v>1613</v>
      </c>
    </row>
    <row r="12" spans="1:35">
      <c r="A12" t="s">
        <v>1614</v>
      </c>
    </row>
    <row r="13" spans="1:35">
      <c r="A13" t="s">
        <v>302</v>
      </c>
    </row>
    <row r="14" spans="1:35">
      <c r="B14" t="s">
        <v>303</v>
      </c>
      <c r="C14" t="s">
        <v>351</v>
      </c>
      <c r="D14" t="s">
        <v>352</v>
      </c>
      <c r="E14">
        <v>2021</v>
      </c>
      <c r="F14">
        <v>2022</v>
      </c>
      <c r="G14">
        <v>2023</v>
      </c>
      <c r="H14">
        <v>2024</v>
      </c>
      <c r="I14">
        <v>2025</v>
      </c>
      <c r="J14">
        <v>2026</v>
      </c>
      <c r="K14">
        <v>2027</v>
      </c>
      <c r="L14">
        <v>2028</v>
      </c>
      <c r="M14">
        <v>2029</v>
      </c>
      <c r="N14">
        <v>2030</v>
      </c>
      <c r="O14">
        <v>2031</v>
      </c>
      <c r="P14">
        <v>2032</v>
      </c>
      <c r="Q14">
        <v>2033</v>
      </c>
      <c r="R14">
        <v>2034</v>
      </c>
      <c r="S14">
        <v>2035</v>
      </c>
      <c r="T14">
        <v>2036</v>
      </c>
      <c r="U14">
        <v>2037</v>
      </c>
      <c r="V14">
        <v>2038</v>
      </c>
      <c r="W14">
        <v>2039</v>
      </c>
      <c r="X14">
        <v>2040</v>
      </c>
      <c r="Y14">
        <v>2041</v>
      </c>
      <c r="Z14">
        <v>2042</v>
      </c>
      <c r="AA14">
        <v>2043</v>
      </c>
      <c r="AB14">
        <v>2044</v>
      </c>
      <c r="AC14">
        <v>2045</v>
      </c>
      <c r="AD14">
        <v>2046</v>
      </c>
      <c r="AE14">
        <v>2047</v>
      </c>
      <c r="AF14">
        <v>2048</v>
      </c>
      <c r="AG14">
        <v>2049</v>
      </c>
      <c r="AH14">
        <v>2050</v>
      </c>
      <c r="AI14" t="s">
        <v>1079</v>
      </c>
    </row>
    <row r="15" spans="1:35">
      <c r="A15" t="s">
        <v>123</v>
      </c>
      <c r="B15" t="s">
        <v>1615</v>
      </c>
      <c r="C15" t="s">
        <v>1616</v>
      </c>
      <c r="D15" t="s">
        <v>452</v>
      </c>
      <c r="F15">
        <v>12.017455999999999</v>
      </c>
      <c r="G15">
        <v>10.14246</v>
      </c>
      <c r="H15">
        <v>9.7339230000000008</v>
      </c>
      <c r="I15">
        <v>9.0686060000000008</v>
      </c>
      <c r="J15">
        <v>8.9594869999999993</v>
      </c>
      <c r="K15">
        <v>8.856579</v>
      </c>
      <c r="L15">
        <v>8.813898</v>
      </c>
      <c r="M15">
        <v>8.8683580000000006</v>
      </c>
      <c r="N15">
        <v>8.8719950000000001</v>
      </c>
      <c r="O15">
        <v>8.9797820000000002</v>
      </c>
      <c r="P15">
        <v>9.0441269999999996</v>
      </c>
      <c r="Q15">
        <v>9.0927849999999992</v>
      </c>
      <c r="R15">
        <v>9.1587720000000008</v>
      </c>
      <c r="S15">
        <v>9.2225079999999995</v>
      </c>
      <c r="T15">
        <v>9.2706079999999993</v>
      </c>
      <c r="U15">
        <v>9.3243840000000002</v>
      </c>
      <c r="V15">
        <v>9.3767549999999993</v>
      </c>
      <c r="W15">
        <v>9.4235419999999994</v>
      </c>
      <c r="X15">
        <v>9.478612</v>
      </c>
      <c r="Y15">
        <v>9.5699330000000007</v>
      </c>
      <c r="Z15">
        <v>9.5845690000000001</v>
      </c>
      <c r="AA15">
        <v>9.658633</v>
      </c>
      <c r="AB15">
        <v>9.6491509999999998</v>
      </c>
      <c r="AC15">
        <v>9.7206390000000003</v>
      </c>
      <c r="AD15">
        <v>9.8630030000000009</v>
      </c>
      <c r="AE15">
        <v>9.8843599999999991</v>
      </c>
      <c r="AF15">
        <v>9.9074570000000008</v>
      </c>
      <c r="AG15">
        <v>9.9567200000000007</v>
      </c>
      <c r="AH15">
        <v>9.9689460000000008</v>
      </c>
      <c r="AI15" s="31">
        <v>-7.0000000000000001E-3</v>
      </c>
    </row>
    <row r="16" spans="1:35">
      <c r="A16" t="s">
        <v>122</v>
      </c>
    </row>
    <row r="17" spans="1:35">
      <c r="A17" t="s">
        <v>424</v>
      </c>
      <c r="B17" t="s">
        <v>1617</v>
      </c>
      <c r="C17" t="s">
        <v>1618</v>
      </c>
      <c r="D17" t="s">
        <v>453</v>
      </c>
      <c r="F17">
        <v>0.83399999999999996</v>
      </c>
      <c r="G17">
        <v>0.84161200000000003</v>
      </c>
      <c r="H17">
        <v>0.84922399999999998</v>
      </c>
      <c r="I17">
        <v>0.85819500000000004</v>
      </c>
      <c r="J17">
        <v>0.85914699999999999</v>
      </c>
      <c r="K17">
        <v>0.85999800000000004</v>
      </c>
      <c r="L17">
        <v>0.86075900000000005</v>
      </c>
      <c r="M17">
        <v>0.86144100000000001</v>
      </c>
      <c r="N17">
        <v>0.86205399999999999</v>
      </c>
      <c r="O17">
        <v>0.86260499999999996</v>
      </c>
      <c r="P17">
        <v>0.86310500000000001</v>
      </c>
      <c r="Q17">
        <v>0.86355800000000005</v>
      </c>
      <c r="R17">
        <v>0.86397199999999996</v>
      </c>
      <c r="S17">
        <v>0.86434999999999995</v>
      </c>
      <c r="T17">
        <v>0.86469700000000005</v>
      </c>
      <c r="U17">
        <v>0.86501700000000004</v>
      </c>
      <c r="V17">
        <v>0.86531199999999997</v>
      </c>
      <c r="W17">
        <v>0.86558500000000005</v>
      </c>
      <c r="X17">
        <v>0.86587999999999998</v>
      </c>
      <c r="Y17">
        <v>0.86617599999999995</v>
      </c>
      <c r="Z17">
        <v>0.86647099999999999</v>
      </c>
      <c r="AA17">
        <v>0.86676699999999995</v>
      </c>
      <c r="AB17">
        <v>0.867062</v>
      </c>
      <c r="AC17">
        <v>0.86735799999999996</v>
      </c>
      <c r="AD17">
        <v>0.86765400000000004</v>
      </c>
      <c r="AE17">
        <v>0.86795</v>
      </c>
      <c r="AF17">
        <v>0.86824599999999996</v>
      </c>
      <c r="AG17">
        <v>0.86854200000000004</v>
      </c>
      <c r="AH17">
        <v>0.868838</v>
      </c>
      <c r="AI17" s="31">
        <v>1E-3</v>
      </c>
    </row>
    <row r="18" spans="1:35">
      <c r="A18" t="s">
        <v>425</v>
      </c>
      <c r="B18" t="s">
        <v>1619</v>
      </c>
      <c r="C18" t="s">
        <v>1620</v>
      </c>
      <c r="D18" t="s">
        <v>453</v>
      </c>
      <c r="F18">
        <v>0.75600000000000001</v>
      </c>
      <c r="G18">
        <v>0.77562600000000004</v>
      </c>
      <c r="H18">
        <v>0.79525100000000004</v>
      </c>
      <c r="I18">
        <v>0.81487699999999996</v>
      </c>
      <c r="J18">
        <v>0.81492500000000001</v>
      </c>
      <c r="K18">
        <v>0.81497399999999998</v>
      </c>
      <c r="L18">
        <v>0.81501900000000005</v>
      </c>
      <c r="M18">
        <v>0.81506400000000001</v>
      </c>
      <c r="N18">
        <v>0.81510800000000005</v>
      </c>
      <c r="O18">
        <v>0.81515000000000004</v>
      </c>
      <c r="P18">
        <v>0.81519399999999997</v>
      </c>
      <c r="Q18">
        <v>0.81523599999999996</v>
      </c>
      <c r="R18">
        <v>0.81527899999999998</v>
      </c>
      <c r="S18">
        <v>0.81532099999999996</v>
      </c>
      <c r="T18">
        <v>0.81536399999999998</v>
      </c>
      <c r="U18">
        <v>0.81540500000000005</v>
      </c>
      <c r="V18">
        <v>0.81544499999999998</v>
      </c>
      <c r="W18">
        <v>0.81548399999999999</v>
      </c>
      <c r="X18">
        <v>0.81552400000000003</v>
      </c>
      <c r="Y18">
        <v>0.81556399999999996</v>
      </c>
      <c r="Z18">
        <v>0.815604</v>
      </c>
      <c r="AA18">
        <v>0.81564499999999995</v>
      </c>
      <c r="AB18">
        <v>0.81568499999999999</v>
      </c>
      <c r="AC18">
        <v>0.81572500000000003</v>
      </c>
      <c r="AD18">
        <v>0.81576499999999996</v>
      </c>
      <c r="AE18">
        <v>0.815805</v>
      </c>
      <c r="AF18">
        <v>0.81584500000000004</v>
      </c>
      <c r="AG18">
        <v>0.81588499999999997</v>
      </c>
      <c r="AH18">
        <v>0.81592600000000004</v>
      </c>
      <c r="AI18" s="31">
        <v>3.0000000000000001E-3</v>
      </c>
    </row>
    <row r="19" spans="1:35">
      <c r="A19" t="s">
        <v>121</v>
      </c>
    </row>
    <row r="20" spans="1:35">
      <c r="A20" t="s">
        <v>426</v>
      </c>
    </row>
    <row r="21" spans="1:35">
      <c r="A21" t="s">
        <v>427</v>
      </c>
      <c r="B21" t="s">
        <v>1621</v>
      </c>
      <c r="C21" t="s">
        <v>1622</v>
      </c>
      <c r="D21" t="s">
        <v>416</v>
      </c>
      <c r="F21">
        <v>333.105164</v>
      </c>
      <c r="G21">
        <v>334.47210699999999</v>
      </c>
      <c r="H21">
        <v>336.07922400000001</v>
      </c>
      <c r="I21">
        <v>337.73690800000003</v>
      </c>
      <c r="J21">
        <v>339.40451000000002</v>
      </c>
      <c r="K21">
        <v>341.08764600000001</v>
      </c>
      <c r="L21">
        <v>342.780823</v>
      </c>
      <c r="M21">
        <v>344.47436499999998</v>
      </c>
      <c r="N21">
        <v>346.16894500000001</v>
      </c>
      <c r="O21">
        <v>347.834564</v>
      </c>
      <c r="P21">
        <v>349.46328699999998</v>
      </c>
      <c r="Q21">
        <v>351.054169</v>
      </c>
      <c r="R21">
        <v>352.59783900000002</v>
      </c>
      <c r="S21">
        <v>354.08975199999998</v>
      </c>
      <c r="T21">
        <v>355.52593999999999</v>
      </c>
      <c r="U21">
        <v>356.90637199999998</v>
      </c>
      <c r="V21">
        <v>358.23675500000002</v>
      </c>
      <c r="W21">
        <v>359.52005000000003</v>
      </c>
      <c r="X21">
        <v>360.76068099999998</v>
      </c>
      <c r="Y21">
        <v>361.96594199999998</v>
      </c>
      <c r="Z21">
        <v>363.143372</v>
      </c>
      <c r="AA21">
        <v>364.29699699999998</v>
      </c>
      <c r="AB21">
        <v>365.429688</v>
      </c>
      <c r="AC21">
        <v>366.54235799999998</v>
      </c>
      <c r="AD21">
        <v>367.63687099999999</v>
      </c>
      <c r="AE21">
        <v>368.719696</v>
      </c>
      <c r="AF21">
        <v>369.79351800000001</v>
      </c>
      <c r="AG21">
        <v>370.85867300000001</v>
      </c>
      <c r="AH21">
        <v>371.91851800000001</v>
      </c>
      <c r="AI21" s="31">
        <v>4.0000000000000001E-3</v>
      </c>
    </row>
    <row r="22" spans="1:35">
      <c r="A22" t="s">
        <v>428</v>
      </c>
      <c r="B22" t="s">
        <v>1623</v>
      </c>
      <c r="C22" t="s">
        <v>1624</v>
      </c>
      <c r="D22" t="s">
        <v>416</v>
      </c>
      <c r="F22">
        <v>38.694321000000002</v>
      </c>
      <c r="G22">
        <v>39.102600000000002</v>
      </c>
      <c r="H22">
        <v>39.509079</v>
      </c>
      <c r="I22">
        <v>39.913521000000003</v>
      </c>
      <c r="J22">
        <v>40.315201000000002</v>
      </c>
      <c r="K22">
        <v>40.713901999999997</v>
      </c>
      <c r="L22">
        <v>41.109200000000001</v>
      </c>
      <c r="M22">
        <v>41.500670999999997</v>
      </c>
      <c r="N22">
        <v>41.888100000000001</v>
      </c>
      <c r="O22">
        <v>42.271000000000001</v>
      </c>
      <c r="P22">
        <v>42.649299999999997</v>
      </c>
      <c r="Q22">
        <v>43.022799999999997</v>
      </c>
      <c r="R22">
        <v>43.391499000000003</v>
      </c>
      <c r="S22">
        <v>43.755501000000002</v>
      </c>
      <c r="T22">
        <v>44.114730999999999</v>
      </c>
      <c r="U22">
        <v>44.469397999999998</v>
      </c>
      <c r="V22">
        <v>44.819481000000003</v>
      </c>
      <c r="W22">
        <v>45.165298</v>
      </c>
      <c r="X22">
        <v>45.506802</v>
      </c>
      <c r="Y22">
        <v>45.843879999999999</v>
      </c>
      <c r="Z22">
        <v>46.176898999999999</v>
      </c>
      <c r="AA22">
        <v>46.505600000000001</v>
      </c>
      <c r="AB22">
        <v>46.831772000000001</v>
      </c>
      <c r="AC22">
        <v>47.156199999999998</v>
      </c>
      <c r="AD22">
        <v>47.479069000000003</v>
      </c>
      <c r="AE22">
        <v>47.800800000000002</v>
      </c>
      <c r="AF22">
        <v>48.121670000000002</v>
      </c>
      <c r="AG22">
        <v>48.442321999999997</v>
      </c>
      <c r="AH22">
        <v>48.763081</v>
      </c>
      <c r="AI22" s="31">
        <v>8.0000000000000002E-3</v>
      </c>
    </row>
    <row r="23" spans="1:35">
      <c r="A23" t="s">
        <v>1625</v>
      </c>
      <c r="B23" t="s">
        <v>1626</v>
      </c>
      <c r="C23" t="s">
        <v>1627</v>
      </c>
      <c r="D23" t="s">
        <v>416</v>
      </c>
      <c r="F23">
        <v>211.18936199999999</v>
      </c>
      <c r="G23">
        <v>212.813278</v>
      </c>
      <c r="H23">
        <v>214.37699900000001</v>
      </c>
      <c r="I23">
        <v>215.94142199999999</v>
      </c>
      <c r="J23">
        <v>217.513779</v>
      </c>
      <c r="K23">
        <v>219.08682300000001</v>
      </c>
      <c r="L23">
        <v>220.646591</v>
      </c>
      <c r="M23">
        <v>222.169174</v>
      </c>
      <c r="N23">
        <v>223.635864</v>
      </c>
      <c r="O23">
        <v>225.026138</v>
      </c>
      <c r="P23">
        <v>226.368347</v>
      </c>
      <c r="Q23">
        <v>227.658051</v>
      </c>
      <c r="R23">
        <v>228.89286799999999</v>
      </c>
      <c r="S23">
        <v>230.07032799999999</v>
      </c>
      <c r="T23">
        <v>231.18978899999999</v>
      </c>
      <c r="U23">
        <v>232.25276199999999</v>
      </c>
      <c r="V23">
        <v>233.26014699999999</v>
      </c>
      <c r="W23">
        <v>234.21229600000001</v>
      </c>
      <c r="X23">
        <v>235.110443</v>
      </c>
      <c r="Y23">
        <v>235.95292699999999</v>
      </c>
      <c r="Z23">
        <v>236.741455</v>
      </c>
      <c r="AA23">
        <v>237.476685</v>
      </c>
      <c r="AB23">
        <v>238.15965299999999</v>
      </c>
      <c r="AC23">
        <v>238.78855899999999</v>
      </c>
      <c r="AD23">
        <v>239.34922800000001</v>
      </c>
      <c r="AE23">
        <v>239.846619</v>
      </c>
      <c r="AF23">
        <v>240.30192600000001</v>
      </c>
      <c r="AG23">
        <v>240.737549</v>
      </c>
      <c r="AH23">
        <v>241.16894500000001</v>
      </c>
      <c r="AI23" s="31">
        <v>5.0000000000000001E-3</v>
      </c>
    </row>
    <row r="24" spans="1:35">
      <c r="A24" t="s">
        <v>1628</v>
      </c>
      <c r="B24" t="s">
        <v>1629</v>
      </c>
      <c r="C24" t="s">
        <v>1630</v>
      </c>
      <c r="D24" t="s">
        <v>416</v>
      </c>
      <c r="F24">
        <v>593.35406499999999</v>
      </c>
      <c r="G24">
        <v>594.89343299999996</v>
      </c>
      <c r="H24">
        <v>596.012878</v>
      </c>
      <c r="I24">
        <v>597.10223399999995</v>
      </c>
      <c r="J24">
        <v>598.16387899999995</v>
      </c>
      <c r="K24">
        <v>599.16955600000006</v>
      </c>
      <c r="L24">
        <v>600.12353499999995</v>
      </c>
      <c r="M24">
        <v>601.03643799999998</v>
      </c>
      <c r="N24">
        <v>601.92193599999996</v>
      </c>
      <c r="O24">
        <v>602.79125999999997</v>
      </c>
      <c r="P24">
        <v>603.64050299999997</v>
      </c>
      <c r="Q24">
        <v>604.45330799999999</v>
      </c>
      <c r="R24">
        <v>605.215149</v>
      </c>
      <c r="S24">
        <v>605.91265899999996</v>
      </c>
      <c r="T24">
        <v>606.54968299999996</v>
      </c>
      <c r="U24">
        <v>607.13714600000003</v>
      </c>
      <c r="V24">
        <v>607.67242399999998</v>
      </c>
      <c r="W24">
        <v>608.15136700000005</v>
      </c>
      <c r="X24">
        <v>608.57037400000002</v>
      </c>
      <c r="Y24">
        <v>608.92956500000003</v>
      </c>
      <c r="Z24">
        <v>609.22717299999999</v>
      </c>
      <c r="AA24">
        <v>609.459656</v>
      </c>
      <c r="AB24">
        <v>609.62506099999996</v>
      </c>
      <c r="AC24">
        <v>609.71997099999999</v>
      </c>
      <c r="AD24">
        <v>609.73303199999998</v>
      </c>
      <c r="AE24">
        <v>609.66314699999998</v>
      </c>
      <c r="AF24">
        <v>609.52264400000001</v>
      </c>
      <c r="AG24">
        <v>609.32611099999997</v>
      </c>
      <c r="AH24">
        <v>609.08605999999997</v>
      </c>
      <c r="AI24" s="31">
        <v>1E-3</v>
      </c>
    </row>
    <row r="25" spans="1:35">
      <c r="A25" t="s">
        <v>1631</v>
      </c>
      <c r="B25" t="s">
        <v>1632</v>
      </c>
      <c r="C25" t="s">
        <v>1633</v>
      </c>
      <c r="D25" t="s">
        <v>416</v>
      </c>
      <c r="F25">
        <v>125.59050000000001</v>
      </c>
      <c r="G25">
        <v>125.10549899999999</v>
      </c>
      <c r="H25">
        <v>124.587502</v>
      </c>
      <c r="I25">
        <v>124.038498</v>
      </c>
      <c r="J25">
        <v>123.461304</v>
      </c>
      <c r="K25">
        <v>122.858299</v>
      </c>
      <c r="L25">
        <v>122.231796</v>
      </c>
      <c r="M25">
        <v>121.584999</v>
      </c>
      <c r="N25">
        <v>120.91950199999999</v>
      </c>
      <c r="O25">
        <v>120.237801</v>
      </c>
      <c r="P25">
        <v>119.54180100000001</v>
      </c>
      <c r="Q25">
        <v>118.832497</v>
      </c>
      <c r="R25">
        <v>118.113297</v>
      </c>
      <c r="S25">
        <v>117.385002</v>
      </c>
      <c r="T25">
        <v>116.648499</v>
      </c>
      <c r="U25">
        <v>115.9058</v>
      </c>
      <c r="V25">
        <v>115.157799</v>
      </c>
      <c r="W25">
        <v>114.4058</v>
      </c>
      <c r="X25">
        <v>113.650497</v>
      </c>
      <c r="Y25">
        <v>112.893997</v>
      </c>
      <c r="Z25">
        <v>112.136803</v>
      </c>
      <c r="AA25">
        <v>111.37979900000001</v>
      </c>
      <c r="AB25">
        <v>110.624802</v>
      </c>
      <c r="AC25">
        <v>109.871002</v>
      </c>
      <c r="AD25">
        <v>109.120003</v>
      </c>
      <c r="AE25">
        <v>108.371803</v>
      </c>
      <c r="AF25">
        <v>107.62599899999999</v>
      </c>
      <c r="AG25">
        <v>106.882301</v>
      </c>
      <c r="AH25">
        <v>106.140297</v>
      </c>
      <c r="AI25" s="31">
        <v>-6.0000000000000001E-3</v>
      </c>
    </row>
    <row r="26" spans="1:35">
      <c r="A26" t="s">
        <v>1634</v>
      </c>
      <c r="B26" t="s">
        <v>1635</v>
      </c>
      <c r="C26" t="s">
        <v>1636</v>
      </c>
      <c r="D26" t="s">
        <v>416</v>
      </c>
      <c r="F26">
        <v>31.123239999999999</v>
      </c>
      <c r="G26">
        <v>31.552336</v>
      </c>
      <c r="H26">
        <v>31.987663000000001</v>
      </c>
      <c r="I26">
        <v>32.409657000000003</v>
      </c>
      <c r="J26">
        <v>32.829383999999997</v>
      </c>
      <c r="K26">
        <v>33.245941000000002</v>
      </c>
      <c r="L26">
        <v>33.658962000000002</v>
      </c>
      <c r="M26">
        <v>34.068351999999997</v>
      </c>
      <c r="N26">
        <v>34.474316000000002</v>
      </c>
      <c r="O26">
        <v>34.877040999999998</v>
      </c>
      <c r="P26">
        <v>35.276363000000003</v>
      </c>
      <c r="Q26">
        <v>35.672787</v>
      </c>
      <c r="R26">
        <v>36.066764999999997</v>
      </c>
      <c r="S26">
        <v>36.458548999999998</v>
      </c>
      <c r="T26">
        <v>36.848582999999998</v>
      </c>
      <c r="U26">
        <v>37.237124999999999</v>
      </c>
      <c r="V26">
        <v>37.624454</v>
      </c>
      <c r="W26">
        <v>38.010421999999998</v>
      </c>
      <c r="X26">
        <v>38.394981000000001</v>
      </c>
      <c r="Y26">
        <v>38.777881999999998</v>
      </c>
      <c r="Z26">
        <v>39.158962000000002</v>
      </c>
      <c r="AA26">
        <v>39.537841999999998</v>
      </c>
      <c r="AB26">
        <v>39.914402000000003</v>
      </c>
      <c r="AC26">
        <v>40.288212000000001</v>
      </c>
      <c r="AD26">
        <v>40.659004000000003</v>
      </c>
      <c r="AE26">
        <v>41.026546000000003</v>
      </c>
      <c r="AF26">
        <v>41.390678000000001</v>
      </c>
      <c r="AG26">
        <v>41.751362</v>
      </c>
      <c r="AH26">
        <v>42.10857</v>
      </c>
      <c r="AI26" s="31">
        <v>1.0999999999999999E-2</v>
      </c>
    </row>
    <row r="27" spans="1:35">
      <c r="A27" t="s">
        <v>1637</v>
      </c>
      <c r="B27" t="s">
        <v>1638</v>
      </c>
      <c r="C27" t="s">
        <v>1639</v>
      </c>
      <c r="D27" t="s">
        <v>416</v>
      </c>
      <c r="F27">
        <v>51.338450999999999</v>
      </c>
      <c r="G27">
        <v>51.348171000000001</v>
      </c>
      <c r="H27">
        <v>51.347050000000003</v>
      </c>
      <c r="I27">
        <v>51.337631000000002</v>
      </c>
      <c r="J27">
        <v>51.319881000000002</v>
      </c>
      <c r="K27">
        <v>51.29213</v>
      </c>
      <c r="L27">
        <v>51.253830000000001</v>
      </c>
      <c r="M27">
        <v>51.20438</v>
      </c>
      <c r="N27">
        <v>51.143799000000001</v>
      </c>
      <c r="O27">
        <v>51.07423</v>
      </c>
      <c r="P27">
        <v>50.995398999999999</v>
      </c>
      <c r="Q27">
        <v>50.903751</v>
      </c>
      <c r="R27">
        <v>50.795448</v>
      </c>
      <c r="S27">
        <v>50.667171000000003</v>
      </c>
      <c r="T27">
        <v>50.518929</v>
      </c>
      <c r="U27">
        <v>50.352901000000003</v>
      </c>
      <c r="V27">
        <v>50.169829999999997</v>
      </c>
      <c r="W27">
        <v>49.970500999999999</v>
      </c>
      <c r="X27">
        <v>49.755482000000001</v>
      </c>
      <c r="Y27">
        <v>49.523800000000001</v>
      </c>
      <c r="Z27">
        <v>49.275317999999999</v>
      </c>
      <c r="AA27">
        <v>49.011378999999998</v>
      </c>
      <c r="AB27">
        <v>48.733330000000002</v>
      </c>
      <c r="AC27">
        <v>48.442248999999997</v>
      </c>
      <c r="AD27">
        <v>48.137829000000004</v>
      </c>
      <c r="AE27">
        <v>47.819248000000002</v>
      </c>
      <c r="AF27">
        <v>47.487099000000001</v>
      </c>
      <c r="AG27">
        <v>47.141972000000003</v>
      </c>
      <c r="AH27">
        <v>46.783932</v>
      </c>
      <c r="AI27" s="31">
        <v>-3.0000000000000001E-3</v>
      </c>
    </row>
    <row r="28" spans="1:35">
      <c r="A28" t="s">
        <v>1640</v>
      </c>
      <c r="B28" t="s">
        <v>1641</v>
      </c>
      <c r="C28" t="s">
        <v>1642</v>
      </c>
      <c r="D28" t="s">
        <v>416</v>
      </c>
      <c r="F28">
        <v>145.765793</v>
      </c>
      <c r="G28">
        <v>145.581299</v>
      </c>
      <c r="H28">
        <v>145.35380599999999</v>
      </c>
      <c r="I28">
        <v>145.098007</v>
      </c>
      <c r="J28">
        <v>144.80479399999999</v>
      </c>
      <c r="K28">
        <v>144.464493</v>
      </c>
      <c r="L28">
        <v>144.09150700000001</v>
      </c>
      <c r="M28">
        <v>143.69850199999999</v>
      </c>
      <c r="N28">
        <v>143.296494</v>
      </c>
      <c r="O28">
        <v>142.87550400000001</v>
      </c>
      <c r="P28">
        <v>142.430801</v>
      </c>
      <c r="Q28">
        <v>141.97500600000001</v>
      </c>
      <c r="R28">
        <v>141.520996</v>
      </c>
      <c r="S28">
        <v>141.079498</v>
      </c>
      <c r="T28">
        <v>140.645996</v>
      </c>
      <c r="U28">
        <v>140.21350100000001</v>
      </c>
      <c r="V28">
        <v>139.788498</v>
      </c>
      <c r="W28">
        <v>139.376801</v>
      </c>
      <c r="X28">
        <v>138.984802</v>
      </c>
      <c r="Y28">
        <v>138.612503</v>
      </c>
      <c r="Z28">
        <v>138.25649999999999</v>
      </c>
      <c r="AA28">
        <v>137.91400100000001</v>
      </c>
      <c r="AB28">
        <v>137.58230599999999</v>
      </c>
      <c r="AC28">
        <v>137.25950599999999</v>
      </c>
      <c r="AD28">
        <v>136.95030199999999</v>
      </c>
      <c r="AE28">
        <v>136.65379300000001</v>
      </c>
      <c r="AF28">
        <v>136.36480700000001</v>
      </c>
      <c r="AG28">
        <v>136.078506</v>
      </c>
      <c r="AH28">
        <v>135.788803</v>
      </c>
      <c r="AI28" s="31">
        <v>-3.0000000000000001E-3</v>
      </c>
    </row>
    <row r="29" spans="1:35">
      <c r="A29" t="s">
        <v>1643</v>
      </c>
      <c r="B29" t="s">
        <v>1644</v>
      </c>
      <c r="C29" t="s">
        <v>1645</v>
      </c>
      <c r="D29" t="s">
        <v>416</v>
      </c>
      <c r="F29">
        <v>196.40559400000001</v>
      </c>
      <c r="G29">
        <v>196.88909899999999</v>
      </c>
      <c r="H29">
        <v>197.34137000000001</v>
      </c>
      <c r="I29">
        <v>197.77439899999999</v>
      </c>
      <c r="J29">
        <v>198.13687100000001</v>
      </c>
      <c r="K29">
        <v>198.47818000000001</v>
      </c>
      <c r="L29">
        <v>198.80619799999999</v>
      </c>
      <c r="M29">
        <v>199.13061500000001</v>
      </c>
      <c r="N29">
        <v>199.45709199999999</v>
      </c>
      <c r="O29">
        <v>199.80789200000001</v>
      </c>
      <c r="P29">
        <v>200.15795900000001</v>
      </c>
      <c r="Q29">
        <v>200.50091599999999</v>
      </c>
      <c r="R29">
        <v>200.82986500000001</v>
      </c>
      <c r="S29">
        <v>201.143112</v>
      </c>
      <c r="T29">
        <v>201.48429899999999</v>
      </c>
      <c r="U29">
        <v>201.810699</v>
      </c>
      <c r="V29">
        <v>202.12439000000001</v>
      </c>
      <c r="W29">
        <v>202.427155</v>
      </c>
      <c r="X29">
        <v>202.71910099999999</v>
      </c>
      <c r="Y29">
        <v>202.99388099999999</v>
      </c>
      <c r="Z29">
        <v>203.25671399999999</v>
      </c>
      <c r="AA29">
        <v>203.50079299999999</v>
      </c>
      <c r="AB29">
        <v>203.71812399999999</v>
      </c>
      <c r="AC29">
        <v>203.905441</v>
      </c>
      <c r="AD29">
        <v>204.02444499999999</v>
      </c>
      <c r="AE29">
        <v>204.116028</v>
      </c>
      <c r="AF29">
        <v>204.18514999999999</v>
      </c>
      <c r="AG29">
        <v>204.23820499999999</v>
      </c>
      <c r="AH29">
        <v>204.278717</v>
      </c>
      <c r="AI29" s="31">
        <v>1E-3</v>
      </c>
    </row>
    <row r="30" spans="1:35">
      <c r="A30" t="s">
        <v>435</v>
      </c>
      <c r="B30" t="s">
        <v>1646</v>
      </c>
      <c r="C30" t="s">
        <v>1647</v>
      </c>
      <c r="D30" t="s">
        <v>416</v>
      </c>
      <c r="F30">
        <v>1448.8129879999999</v>
      </c>
      <c r="G30">
        <v>1452.4229740000001</v>
      </c>
      <c r="H30">
        <v>1455.5429690000001</v>
      </c>
      <c r="I30">
        <v>1458.1979980000001</v>
      </c>
      <c r="J30">
        <v>1460.3530270000001</v>
      </c>
      <c r="K30">
        <v>1461.9849850000001</v>
      </c>
      <c r="L30">
        <v>1463.160034</v>
      </c>
      <c r="M30">
        <v>1463.9399410000001</v>
      </c>
      <c r="N30">
        <v>1464.36499</v>
      </c>
      <c r="O30">
        <v>1464.4229740000001</v>
      </c>
      <c r="P30">
        <v>1464.084961</v>
      </c>
      <c r="Q30">
        <v>1463.36499</v>
      </c>
      <c r="R30">
        <v>1462.290039</v>
      </c>
      <c r="S30">
        <v>1460.878052</v>
      </c>
      <c r="T30">
        <v>1459.1080320000001</v>
      </c>
      <c r="U30">
        <v>1456.968018</v>
      </c>
      <c r="V30">
        <v>1454.4930420000001</v>
      </c>
      <c r="W30">
        <v>1451.7030030000001</v>
      </c>
      <c r="X30">
        <v>1448.623047</v>
      </c>
      <c r="Y30">
        <v>1445.244995</v>
      </c>
      <c r="Z30">
        <v>1441.5550539999999</v>
      </c>
      <c r="AA30">
        <v>1437.5629879999999</v>
      </c>
      <c r="AB30">
        <v>1433.2829589999999</v>
      </c>
      <c r="AC30">
        <v>1428.718018</v>
      </c>
      <c r="AD30">
        <v>1423.849976</v>
      </c>
      <c r="AE30">
        <v>1418.6829829999999</v>
      </c>
      <c r="AF30">
        <v>1413.23999</v>
      </c>
      <c r="AG30">
        <v>1407.5550539999999</v>
      </c>
      <c r="AH30">
        <v>1401.650024</v>
      </c>
      <c r="AI30" s="31">
        <v>-1E-3</v>
      </c>
    </row>
    <row r="31" spans="1:35">
      <c r="A31" t="s">
        <v>1648</v>
      </c>
      <c r="B31" t="s">
        <v>1649</v>
      </c>
      <c r="C31" t="s">
        <v>1650</v>
      </c>
      <c r="D31" t="s">
        <v>416</v>
      </c>
      <c r="F31">
        <v>1408.3000489999999</v>
      </c>
      <c r="G31">
        <v>1421.3079829999999</v>
      </c>
      <c r="H31">
        <v>1434.0699460000001</v>
      </c>
      <c r="I31">
        <v>1446.5550539999999</v>
      </c>
      <c r="J31">
        <v>1458.8000489999999</v>
      </c>
      <c r="K31">
        <v>1470.8129879999999</v>
      </c>
      <c r="L31">
        <v>1482.5529790000001</v>
      </c>
      <c r="M31">
        <v>1493.959961</v>
      </c>
      <c r="N31">
        <v>1504.9930420000001</v>
      </c>
      <c r="O31">
        <v>1515.6979980000001</v>
      </c>
      <c r="P31">
        <v>1526.094971</v>
      </c>
      <c r="Q31">
        <v>1536.123047</v>
      </c>
      <c r="R31">
        <v>1545.714966</v>
      </c>
      <c r="S31">
        <v>1554.8199460000001</v>
      </c>
      <c r="T31">
        <v>1563.4499510000001</v>
      </c>
      <c r="U31">
        <v>1571.625</v>
      </c>
      <c r="V31">
        <v>1579.3630370000001</v>
      </c>
      <c r="W31">
        <v>1586.6579589999999</v>
      </c>
      <c r="X31">
        <v>1593.51001</v>
      </c>
      <c r="Y31">
        <v>1599.8929439999999</v>
      </c>
      <c r="Z31">
        <v>1605.8129879999999</v>
      </c>
      <c r="AA31">
        <v>1611.3079829999999</v>
      </c>
      <c r="AB31">
        <v>1616.420044</v>
      </c>
      <c r="AC31">
        <v>1621.1850589999999</v>
      </c>
      <c r="AD31">
        <v>1625.5830080000001</v>
      </c>
      <c r="AE31">
        <v>1629.593018</v>
      </c>
      <c r="AF31">
        <v>1633.2380370000001</v>
      </c>
      <c r="AG31">
        <v>1636.5429690000001</v>
      </c>
      <c r="AH31">
        <v>1639.525024</v>
      </c>
      <c r="AI31" s="31">
        <v>5.0000000000000001E-3</v>
      </c>
    </row>
    <row r="32" spans="1:35">
      <c r="A32" t="s">
        <v>1651</v>
      </c>
      <c r="B32" t="s">
        <v>1652</v>
      </c>
      <c r="C32" t="s">
        <v>1653</v>
      </c>
      <c r="D32" t="s">
        <v>416</v>
      </c>
      <c r="F32">
        <v>1245.615967</v>
      </c>
      <c r="G32">
        <v>1259.7116699999999</v>
      </c>
      <c r="H32">
        <v>1273.62915</v>
      </c>
      <c r="I32">
        <v>1287.3408199999999</v>
      </c>
      <c r="J32">
        <v>1300.336182</v>
      </c>
      <c r="K32">
        <v>1313.135254</v>
      </c>
      <c r="L32">
        <v>1325.7388920000001</v>
      </c>
      <c r="M32">
        <v>1338.14978</v>
      </c>
      <c r="N32">
        <v>1350.362183</v>
      </c>
      <c r="O32">
        <v>1361.7928469999999</v>
      </c>
      <c r="P32">
        <v>1373.0439449999999</v>
      </c>
      <c r="Q32">
        <v>1384.1104740000001</v>
      </c>
      <c r="R32">
        <v>1394.9650879999999</v>
      </c>
      <c r="S32">
        <v>1405.6123050000001</v>
      </c>
      <c r="T32">
        <v>1415.5485839999999</v>
      </c>
      <c r="U32">
        <v>1425.296143</v>
      </c>
      <c r="V32">
        <v>1434.834351</v>
      </c>
      <c r="W32">
        <v>1444.1679690000001</v>
      </c>
      <c r="X32">
        <v>1453.3126219999999</v>
      </c>
      <c r="Y32">
        <v>1461.786987</v>
      </c>
      <c r="Z32">
        <v>1470.0507809999999</v>
      </c>
      <c r="AA32">
        <v>1478.1164550000001</v>
      </c>
      <c r="AB32">
        <v>1485.9938959999999</v>
      </c>
      <c r="AC32">
        <v>1493.684814</v>
      </c>
      <c r="AD32">
        <v>1500.5679929999999</v>
      </c>
      <c r="AE32">
        <v>1507.2523189999999</v>
      </c>
      <c r="AF32">
        <v>1513.752197</v>
      </c>
      <c r="AG32">
        <v>1520.0760499999999</v>
      </c>
      <c r="AH32">
        <v>1526.2166749999999</v>
      </c>
      <c r="AI32" s="31">
        <v>7.0000000000000001E-3</v>
      </c>
    </row>
    <row r="33" spans="1:35">
      <c r="A33" t="s">
        <v>1654</v>
      </c>
      <c r="B33" t="s">
        <v>1655</v>
      </c>
      <c r="C33" t="s">
        <v>1656</v>
      </c>
      <c r="D33" t="s">
        <v>416</v>
      </c>
      <c r="F33">
        <v>261.10183699999999</v>
      </c>
      <c r="G33">
        <v>266.300995</v>
      </c>
      <c r="H33">
        <v>271.39819299999999</v>
      </c>
      <c r="I33">
        <v>276.418274</v>
      </c>
      <c r="J33">
        <v>280.84103399999998</v>
      </c>
      <c r="K33">
        <v>285.21560699999998</v>
      </c>
      <c r="L33">
        <v>289.57656900000001</v>
      </c>
      <c r="M33">
        <v>293.90484600000002</v>
      </c>
      <c r="N33">
        <v>298.09335299999998</v>
      </c>
      <c r="O33">
        <v>301.73696899999999</v>
      </c>
      <c r="P33">
        <v>305.35867300000001</v>
      </c>
      <c r="Q33">
        <v>308.96170000000001</v>
      </c>
      <c r="R33">
        <v>312.54541</v>
      </c>
      <c r="S33">
        <v>316.10913099999999</v>
      </c>
      <c r="T33">
        <v>319.498199</v>
      </c>
      <c r="U33">
        <v>322.86215199999998</v>
      </c>
      <c r="V33">
        <v>326.19833399999999</v>
      </c>
      <c r="W33">
        <v>329.50210600000003</v>
      </c>
      <c r="X33">
        <v>332.77383400000002</v>
      </c>
      <c r="Y33">
        <v>335.88980099999998</v>
      </c>
      <c r="Z33">
        <v>338.96798699999999</v>
      </c>
      <c r="AA33">
        <v>342.00610399999999</v>
      </c>
      <c r="AB33">
        <v>345.00186200000002</v>
      </c>
      <c r="AC33">
        <v>347.957672</v>
      </c>
      <c r="AD33">
        <v>350.72204599999998</v>
      </c>
      <c r="AE33">
        <v>353.440674</v>
      </c>
      <c r="AF33">
        <v>356.113495</v>
      </c>
      <c r="AG33">
        <v>358.73825099999999</v>
      </c>
      <c r="AH33">
        <v>361.31408699999997</v>
      </c>
      <c r="AI33" s="31">
        <v>1.2E-2</v>
      </c>
    </row>
    <row r="34" spans="1:35">
      <c r="A34" t="s">
        <v>432</v>
      </c>
      <c r="B34" t="s">
        <v>1657</v>
      </c>
      <c r="C34" t="s">
        <v>1658</v>
      </c>
      <c r="D34" t="s">
        <v>416</v>
      </c>
      <c r="F34">
        <v>1406.816284</v>
      </c>
      <c r="G34">
        <v>1440.4285890000001</v>
      </c>
      <c r="H34">
        <v>1474.159302</v>
      </c>
      <c r="I34">
        <v>1508.036865</v>
      </c>
      <c r="J34">
        <v>1543.6094969999999</v>
      </c>
      <c r="K34">
        <v>1579.3232419999999</v>
      </c>
      <c r="L34">
        <v>1615.1782229999999</v>
      </c>
      <c r="M34">
        <v>1651.1739500000001</v>
      </c>
      <c r="N34">
        <v>1687.309937</v>
      </c>
      <c r="O34">
        <v>1725.00647</v>
      </c>
      <c r="P34">
        <v>1762.836914</v>
      </c>
      <c r="Q34">
        <v>1800.7958980000001</v>
      </c>
      <c r="R34">
        <v>1838.8767089999999</v>
      </c>
      <c r="S34">
        <v>1877.0699460000001</v>
      </c>
      <c r="T34">
        <v>1916.586182</v>
      </c>
      <c r="U34">
        <v>1956.201904</v>
      </c>
      <c r="V34">
        <v>1995.9060059999999</v>
      </c>
      <c r="W34">
        <v>2035.682129</v>
      </c>
      <c r="X34">
        <v>2075.5166020000001</v>
      </c>
      <c r="Y34">
        <v>2116.3789059999999</v>
      </c>
      <c r="Z34">
        <v>2157.2849120000001</v>
      </c>
      <c r="AA34">
        <v>2198.218018</v>
      </c>
      <c r="AB34">
        <v>2239.1657709999999</v>
      </c>
      <c r="AC34">
        <v>2280.1120609999998</v>
      </c>
      <c r="AD34">
        <v>2321.6833499999998</v>
      </c>
      <c r="AE34">
        <v>2363.233643</v>
      </c>
      <c r="AF34">
        <v>2404.77124</v>
      </c>
      <c r="AG34">
        <v>2446.304932</v>
      </c>
      <c r="AH34">
        <v>2487.8393550000001</v>
      </c>
      <c r="AI34" s="31">
        <v>2.1000000000000001E-2</v>
      </c>
    </row>
    <row r="35" spans="1:35">
      <c r="A35" t="s">
        <v>1659</v>
      </c>
      <c r="B35" t="s">
        <v>1660</v>
      </c>
      <c r="C35" t="s">
        <v>1661</v>
      </c>
      <c r="D35" t="s">
        <v>416</v>
      </c>
      <c r="F35">
        <v>215.50250199999999</v>
      </c>
      <c r="G35">
        <v>216.787003</v>
      </c>
      <c r="H35">
        <v>218.005798</v>
      </c>
      <c r="I35">
        <v>219.15980500000001</v>
      </c>
      <c r="J35">
        <v>220.245499</v>
      </c>
      <c r="K35">
        <v>221.26480100000001</v>
      </c>
      <c r="L35">
        <v>222.22030599999999</v>
      </c>
      <c r="M35">
        <v>223.115005</v>
      </c>
      <c r="N35">
        <v>223.951797</v>
      </c>
      <c r="O35">
        <v>224.729996</v>
      </c>
      <c r="P35">
        <v>225.447495</v>
      </c>
      <c r="Q35">
        <v>226.105301</v>
      </c>
      <c r="R35">
        <v>226.704498</v>
      </c>
      <c r="S35">
        <v>227.24650600000001</v>
      </c>
      <c r="T35">
        <v>227.72830200000001</v>
      </c>
      <c r="U35">
        <v>228.15029899999999</v>
      </c>
      <c r="V35">
        <v>228.515503</v>
      </c>
      <c r="W35">
        <v>228.82730100000001</v>
      </c>
      <c r="X35">
        <v>229.087006</v>
      </c>
      <c r="Y35">
        <v>229.29299900000001</v>
      </c>
      <c r="Z35">
        <v>229.44380200000001</v>
      </c>
      <c r="AA35">
        <v>229.54299900000001</v>
      </c>
      <c r="AB35">
        <v>229.59530599999999</v>
      </c>
      <c r="AC35">
        <v>229.60000600000001</v>
      </c>
      <c r="AD35">
        <v>229.541</v>
      </c>
      <c r="AE35">
        <v>229.420807</v>
      </c>
      <c r="AF35">
        <v>229.26629600000001</v>
      </c>
      <c r="AG35">
        <v>229.10699500000001</v>
      </c>
      <c r="AH35">
        <v>228.962997</v>
      </c>
      <c r="AI35" s="31">
        <v>2E-3</v>
      </c>
    </row>
    <row r="36" spans="1:35">
      <c r="A36" t="s">
        <v>1662</v>
      </c>
      <c r="B36" t="s">
        <v>1663</v>
      </c>
      <c r="C36" t="s">
        <v>1664</v>
      </c>
      <c r="D36" t="s">
        <v>416</v>
      </c>
      <c r="F36">
        <v>239.305511</v>
      </c>
      <c r="G36">
        <v>242.13305700000001</v>
      </c>
      <c r="H36">
        <v>244.95889299999999</v>
      </c>
      <c r="I36">
        <v>247.68708799999999</v>
      </c>
      <c r="J36">
        <v>250.28230300000001</v>
      </c>
      <c r="K36">
        <v>252.77761799999999</v>
      </c>
      <c r="L36">
        <v>255.17982499999999</v>
      </c>
      <c r="M36">
        <v>257.50900300000001</v>
      </c>
      <c r="N36">
        <v>259.78024299999998</v>
      </c>
      <c r="O36">
        <v>261.96649200000002</v>
      </c>
      <c r="P36">
        <v>264.080872</v>
      </c>
      <c r="Q36">
        <v>266.13140900000002</v>
      </c>
      <c r="R36">
        <v>268.12866200000002</v>
      </c>
      <c r="S36">
        <v>270.08139</v>
      </c>
      <c r="T36">
        <v>271.964966</v>
      </c>
      <c r="U36">
        <v>273.805634</v>
      </c>
      <c r="V36">
        <v>275.60214200000001</v>
      </c>
      <c r="W36">
        <v>277.35290500000002</v>
      </c>
      <c r="X36">
        <v>279.05569500000001</v>
      </c>
      <c r="Y36">
        <v>280.68167099999999</v>
      </c>
      <c r="Z36">
        <v>282.26147500000002</v>
      </c>
      <c r="AA36">
        <v>283.79553199999998</v>
      </c>
      <c r="AB36">
        <v>285.28445399999998</v>
      </c>
      <c r="AC36">
        <v>286.727417</v>
      </c>
      <c r="AD36">
        <v>288.09207199999997</v>
      </c>
      <c r="AE36">
        <v>289.408478</v>
      </c>
      <c r="AF36">
        <v>290.681061</v>
      </c>
      <c r="AG36">
        <v>291.913025</v>
      </c>
      <c r="AH36">
        <v>293.10772700000001</v>
      </c>
      <c r="AI36" s="31">
        <v>7.0000000000000001E-3</v>
      </c>
    </row>
    <row r="37" spans="1:35">
      <c r="A37" t="s">
        <v>120</v>
      </c>
    </row>
    <row r="38" spans="1:35">
      <c r="A38" t="s">
        <v>440</v>
      </c>
    </row>
    <row r="39" spans="1:35">
      <c r="A39" t="s">
        <v>422</v>
      </c>
    </row>
    <row r="40" spans="1:35">
      <c r="A40" t="s">
        <v>427</v>
      </c>
      <c r="B40" t="s">
        <v>1665</v>
      </c>
      <c r="C40" t="s">
        <v>1666</v>
      </c>
      <c r="D40" t="s">
        <v>387</v>
      </c>
      <c r="F40">
        <v>710.078979</v>
      </c>
      <c r="G40">
        <v>745.46997099999999</v>
      </c>
      <c r="H40">
        <v>746.32006799999999</v>
      </c>
      <c r="I40">
        <v>755.33380099999999</v>
      </c>
      <c r="J40">
        <v>772.24121100000002</v>
      </c>
      <c r="K40">
        <v>788.825378</v>
      </c>
      <c r="L40">
        <v>803.36663799999997</v>
      </c>
      <c r="M40">
        <v>815.28930700000001</v>
      </c>
      <c r="N40">
        <v>824.81445299999996</v>
      </c>
      <c r="O40">
        <v>834.85772699999995</v>
      </c>
      <c r="P40">
        <v>848.97833300000002</v>
      </c>
      <c r="Q40">
        <v>865.444885</v>
      </c>
      <c r="R40">
        <v>881.70617700000003</v>
      </c>
      <c r="S40">
        <v>898.18823199999997</v>
      </c>
      <c r="T40">
        <v>916.51141399999995</v>
      </c>
      <c r="U40">
        <v>936.63476600000001</v>
      </c>
      <c r="V40">
        <v>957.63073699999995</v>
      </c>
      <c r="W40">
        <v>978.95721400000002</v>
      </c>
      <c r="X40">
        <v>1003.341492</v>
      </c>
      <c r="Y40">
        <v>1027.651611</v>
      </c>
      <c r="Z40">
        <v>1052.540894</v>
      </c>
      <c r="AA40">
        <v>1078.3070070000001</v>
      </c>
      <c r="AB40">
        <v>1103.5081789999999</v>
      </c>
      <c r="AC40">
        <v>1128.1469729999999</v>
      </c>
      <c r="AD40">
        <v>1153.3220209999999</v>
      </c>
      <c r="AE40">
        <v>1180.4858400000001</v>
      </c>
      <c r="AF40">
        <v>1208.165649</v>
      </c>
      <c r="AG40">
        <v>1236.08728</v>
      </c>
      <c r="AH40">
        <v>1266.459961</v>
      </c>
      <c r="AI40" s="31">
        <v>2.1000000000000001E-2</v>
      </c>
    </row>
    <row r="41" spans="1:35">
      <c r="A41" t="s">
        <v>428</v>
      </c>
      <c r="B41" t="s">
        <v>1667</v>
      </c>
      <c r="C41" t="s">
        <v>1668</v>
      </c>
      <c r="D41" t="s">
        <v>387</v>
      </c>
      <c r="F41">
        <v>33.891998000000001</v>
      </c>
      <c r="G41">
        <v>36.630001</v>
      </c>
      <c r="H41">
        <v>37.250919000000003</v>
      </c>
      <c r="I41">
        <v>37.928448000000003</v>
      </c>
      <c r="J41">
        <v>38.582844000000001</v>
      </c>
      <c r="K41">
        <v>39.201327999999997</v>
      </c>
      <c r="L41">
        <v>39.822952000000001</v>
      </c>
      <c r="M41">
        <v>40.457236999999999</v>
      </c>
      <c r="N41">
        <v>41.099151999999997</v>
      </c>
      <c r="O41">
        <v>41.750576000000002</v>
      </c>
      <c r="P41">
        <v>42.408977999999998</v>
      </c>
      <c r="Q41">
        <v>43.071007000000002</v>
      </c>
      <c r="R41">
        <v>43.736645000000003</v>
      </c>
      <c r="S41">
        <v>44.405921999999997</v>
      </c>
      <c r="T41">
        <v>45.078777000000002</v>
      </c>
      <c r="U41">
        <v>45.755299000000001</v>
      </c>
      <c r="V41">
        <v>46.435478000000003</v>
      </c>
      <c r="W41">
        <v>47.119484</v>
      </c>
      <c r="X41">
        <v>47.807274</v>
      </c>
      <c r="Y41">
        <v>48.498725999999998</v>
      </c>
      <c r="Z41">
        <v>49.194065000000002</v>
      </c>
      <c r="AA41">
        <v>49.893104999999998</v>
      </c>
      <c r="AB41">
        <v>50.597079999999998</v>
      </c>
      <c r="AC41">
        <v>51.306601999999998</v>
      </c>
      <c r="AD41">
        <v>52.021793000000002</v>
      </c>
      <c r="AE41">
        <v>52.742984999999997</v>
      </c>
      <c r="AF41">
        <v>53.470382999999998</v>
      </c>
      <c r="AG41">
        <v>54.204514000000003</v>
      </c>
      <c r="AH41">
        <v>54.945633000000001</v>
      </c>
      <c r="AI41" s="31">
        <v>1.7000000000000001E-2</v>
      </c>
    </row>
    <row r="42" spans="1:35">
      <c r="A42" t="s">
        <v>1625</v>
      </c>
      <c r="B42" t="s">
        <v>1669</v>
      </c>
      <c r="C42" t="s">
        <v>1670</v>
      </c>
      <c r="D42" t="s">
        <v>387</v>
      </c>
      <c r="F42">
        <v>50.740718999999999</v>
      </c>
      <c r="G42">
        <v>56.534430999999998</v>
      </c>
      <c r="H42">
        <v>60.376579</v>
      </c>
      <c r="I42">
        <v>62.836734999999997</v>
      </c>
      <c r="J42">
        <v>65.337990000000005</v>
      </c>
      <c r="K42">
        <v>67.897064</v>
      </c>
      <c r="L42">
        <v>70.512161000000006</v>
      </c>
      <c r="M42">
        <v>73.204375999999996</v>
      </c>
      <c r="N42">
        <v>75.988669999999999</v>
      </c>
      <c r="O42">
        <v>78.861144999999993</v>
      </c>
      <c r="P42">
        <v>81.841094999999996</v>
      </c>
      <c r="Q42">
        <v>84.912086000000002</v>
      </c>
      <c r="R42">
        <v>88.077208999999996</v>
      </c>
      <c r="S42">
        <v>91.337661999999995</v>
      </c>
      <c r="T42">
        <v>94.683143999999999</v>
      </c>
      <c r="U42">
        <v>98.125945999999999</v>
      </c>
      <c r="V42">
        <v>101.669319</v>
      </c>
      <c r="W42">
        <v>105.31547500000001</v>
      </c>
      <c r="X42">
        <v>109.06652099999999</v>
      </c>
      <c r="Y42">
        <v>112.89244100000001</v>
      </c>
      <c r="Z42">
        <v>116.824089</v>
      </c>
      <c r="AA42">
        <v>120.86422</v>
      </c>
      <c r="AB42">
        <v>125.015038</v>
      </c>
      <c r="AC42">
        <v>129.27801500000001</v>
      </c>
      <c r="AD42">
        <v>133.62089499999999</v>
      </c>
      <c r="AE42">
        <v>138.07399000000001</v>
      </c>
      <c r="AF42">
        <v>142.646118</v>
      </c>
      <c r="AG42">
        <v>147.34742700000001</v>
      </c>
      <c r="AH42">
        <v>152.18673699999999</v>
      </c>
      <c r="AI42" s="31">
        <v>0.04</v>
      </c>
    </row>
    <row r="43" spans="1:35">
      <c r="A43" t="s">
        <v>1628</v>
      </c>
      <c r="B43" t="s">
        <v>1671</v>
      </c>
      <c r="C43" t="s">
        <v>1672</v>
      </c>
      <c r="D43" t="s">
        <v>387</v>
      </c>
      <c r="F43">
        <v>315.62841800000001</v>
      </c>
      <c r="G43">
        <v>422.74731400000002</v>
      </c>
      <c r="H43">
        <v>501.79760700000003</v>
      </c>
      <c r="I43">
        <v>547.62390100000005</v>
      </c>
      <c r="J43">
        <v>567.10003700000004</v>
      </c>
      <c r="K43">
        <v>580.01007100000004</v>
      </c>
      <c r="L43">
        <v>593.03802499999995</v>
      </c>
      <c r="M43">
        <v>606.25683600000002</v>
      </c>
      <c r="N43">
        <v>619.70391800000004</v>
      </c>
      <c r="O43">
        <v>633.394226</v>
      </c>
      <c r="P43">
        <v>647.34759499999996</v>
      </c>
      <c r="Q43">
        <v>661.58007799999996</v>
      </c>
      <c r="R43">
        <v>676.07147199999997</v>
      </c>
      <c r="S43">
        <v>690.78887899999995</v>
      </c>
      <c r="T43">
        <v>705.776794</v>
      </c>
      <c r="U43">
        <v>721.07025099999998</v>
      </c>
      <c r="V43">
        <v>736.65130599999998</v>
      </c>
      <c r="W43">
        <v>752.51965299999995</v>
      </c>
      <c r="X43">
        <v>768.69628899999998</v>
      </c>
      <c r="Y43">
        <v>785.15838599999995</v>
      </c>
      <c r="Z43">
        <v>801.90203899999995</v>
      </c>
      <c r="AA43">
        <v>818.92358400000001</v>
      </c>
      <c r="AB43">
        <v>836.21734600000002</v>
      </c>
      <c r="AC43">
        <v>853.78289800000005</v>
      </c>
      <c r="AD43">
        <v>871.62298599999997</v>
      </c>
      <c r="AE43">
        <v>889.74096699999996</v>
      </c>
      <c r="AF43">
        <v>908.15856900000006</v>
      </c>
      <c r="AG43">
        <v>926.90478499999995</v>
      </c>
      <c r="AH43">
        <v>945.99829099999999</v>
      </c>
      <c r="AI43" s="31">
        <v>0.04</v>
      </c>
    </row>
    <row r="44" spans="1:35">
      <c r="A44" t="s">
        <v>1631</v>
      </c>
      <c r="B44" t="s">
        <v>1673</v>
      </c>
      <c r="C44" t="s">
        <v>1674</v>
      </c>
      <c r="D44" t="s">
        <v>387</v>
      </c>
      <c r="F44">
        <v>26.969999000000001</v>
      </c>
      <c r="G44">
        <v>47.43</v>
      </c>
      <c r="H44">
        <v>59.271999000000001</v>
      </c>
      <c r="I44">
        <v>61.380001</v>
      </c>
      <c r="J44">
        <v>61.920161999999998</v>
      </c>
      <c r="K44">
        <v>62.41534</v>
      </c>
      <c r="L44">
        <v>62.870857000000001</v>
      </c>
      <c r="M44">
        <v>63.294476000000003</v>
      </c>
      <c r="N44">
        <v>63.689357999999999</v>
      </c>
      <c r="O44">
        <v>64.061240999999995</v>
      </c>
      <c r="P44">
        <v>64.419899000000001</v>
      </c>
      <c r="Q44">
        <v>64.773528999999996</v>
      </c>
      <c r="R44">
        <v>65.123833000000005</v>
      </c>
      <c r="S44">
        <v>65.470909000000006</v>
      </c>
      <c r="T44">
        <v>65.814910999999995</v>
      </c>
      <c r="U44">
        <v>66.156433000000007</v>
      </c>
      <c r="V44">
        <v>66.495697000000007</v>
      </c>
      <c r="W44">
        <v>66.832970000000003</v>
      </c>
      <c r="X44">
        <v>67.168334999999999</v>
      </c>
      <c r="Y44">
        <v>67.502707999999998</v>
      </c>
      <c r="Z44">
        <v>67.836005999999998</v>
      </c>
      <c r="AA44">
        <v>68.168655000000001</v>
      </c>
      <c r="AB44">
        <v>68.502373000000006</v>
      </c>
      <c r="AC44">
        <v>68.839500000000001</v>
      </c>
      <c r="AD44">
        <v>69.182654999999997</v>
      </c>
      <c r="AE44">
        <v>69.532364000000001</v>
      </c>
      <c r="AF44">
        <v>69.888549999999995</v>
      </c>
      <c r="AG44">
        <v>70.251152000000005</v>
      </c>
      <c r="AH44">
        <v>70.620002999999997</v>
      </c>
      <c r="AI44" s="31">
        <v>3.5000000000000003E-2</v>
      </c>
    </row>
    <row r="45" spans="1:35">
      <c r="A45" t="s">
        <v>1634</v>
      </c>
      <c r="B45" t="s">
        <v>1675</v>
      </c>
      <c r="C45" t="s">
        <v>1676</v>
      </c>
      <c r="D45" t="s">
        <v>387</v>
      </c>
      <c r="F45">
        <v>32.485492999999998</v>
      </c>
      <c r="G45">
        <v>45.917563999999999</v>
      </c>
      <c r="H45">
        <v>54.438347</v>
      </c>
      <c r="I45">
        <v>58.580399</v>
      </c>
      <c r="J45">
        <v>60.373111999999999</v>
      </c>
      <c r="K45">
        <v>62.175818999999997</v>
      </c>
      <c r="L45">
        <v>63.987071999999998</v>
      </c>
      <c r="M45">
        <v>65.816010000000006</v>
      </c>
      <c r="N45">
        <v>67.672150000000002</v>
      </c>
      <c r="O45">
        <v>69.540038999999993</v>
      </c>
      <c r="P45">
        <v>71.392394999999993</v>
      </c>
      <c r="Q45">
        <v>73.242050000000006</v>
      </c>
      <c r="R45">
        <v>75.092895999999996</v>
      </c>
      <c r="S45">
        <v>76.872742000000002</v>
      </c>
      <c r="T45">
        <v>78.633728000000005</v>
      </c>
      <c r="U45">
        <v>80.435424999999995</v>
      </c>
      <c r="V45">
        <v>82.260277000000002</v>
      </c>
      <c r="W45">
        <v>84.062126000000006</v>
      </c>
      <c r="X45">
        <v>85.845725999999999</v>
      </c>
      <c r="Y45">
        <v>87.640495000000001</v>
      </c>
      <c r="Z45">
        <v>89.452477000000002</v>
      </c>
      <c r="AA45">
        <v>91.281104999999997</v>
      </c>
      <c r="AB45">
        <v>93.125473</v>
      </c>
      <c r="AC45">
        <v>94.983176999999998</v>
      </c>
      <c r="AD45">
        <v>96.849968000000004</v>
      </c>
      <c r="AE45">
        <v>98.726249999999993</v>
      </c>
      <c r="AF45">
        <v>100.62426000000001</v>
      </c>
      <c r="AG45">
        <v>102.54549400000001</v>
      </c>
      <c r="AH45">
        <v>104.48915100000001</v>
      </c>
      <c r="AI45" s="31">
        <v>4.2999999999999997E-2</v>
      </c>
    </row>
    <row r="46" spans="1:35">
      <c r="A46" t="s">
        <v>1637</v>
      </c>
      <c r="B46" t="s">
        <v>1677</v>
      </c>
      <c r="C46" t="s">
        <v>1678</v>
      </c>
      <c r="D46" t="s">
        <v>387</v>
      </c>
      <c r="F46">
        <v>7.1724589999999999</v>
      </c>
      <c r="G46">
        <v>8.457884</v>
      </c>
      <c r="H46">
        <v>9.5488759999999999</v>
      </c>
      <c r="I46">
        <v>10.326612000000001</v>
      </c>
      <c r="J46">
        <v>10.693877000000001</v>
      </c>
      <c r="K46">
        <v>10.870692</v>
      </c>
      <c r="L46">
        <v>11.037345</v>
      </c>
      <c r="M46">
        <v>11.193871</v>
      </c>
      <c r="N46">
        <v>11.34094</v>
      </c>
      <c r="O46">
        <v>11.454879</v>
      </c>
      <c r="P46">
        <v>11.523292</v>
      </c>
      <c r="Q46">
        <v>11.581455</v>
      </c>
      <c r="R46">
        <v>11.636729000000001</v>
      </c>
      <c r="S46">
        <v>11.687825999999999</v>
      </c>
      <c r="T46">
        <v>11.736679000000001</v>
      </c>
      <c r="U46">
        <v>11.776113</v>
      </c>
      <c r="V46">
        <v>11.806799</v>
      </c>
      <c r="W46">
        <v>11.835800000000001</v>
      </c>
      <c r="X46">
        <v>11.867737999999999</v>
      </c>
      <c r="Y46">
        <v>11.907171999999999</v>
      </c>
      <c r="Z46">
        <v>11.952139000000001</v>
      </c>
      <c r="AA46">
        <v>11.998142</v>
      </c>
      <c r="AB46">
        <v>12.043982</v>
      </c>
      <c r="AC46">
        <v>12.087415</v>
      </c>
      <c r="AD46">
        <v>12.125690000000001</v>
      </c>
      <c r="AE46">
        <v>12.1586</v>
      </c>
      <c r="AF46">
        <v>12.189465</v>
      </c>
      <c r="AG46">
        <v>12.221159999999999</v>
      </c>
      <c r="AH46">
        <v>12.255587</v>
      </c>
      <c r="AI46" s="31">
        <v>1.9E-2</v>
      </c>
    </row>
    <row r="47" spans="1:35">
      <c r="A47" t="s">
        <v>1640</v>
      </c>
      <c r="B47" t="s">
        <v>1679</v>
      </c>
      <c r="C47" t="s">
        <v>1680</v>
      </c>
      <c r="D47" t="s">
        <v>387</v>
      </c>
      <c r="F47">
        <v>96.943595999999999</v>
      </c>
      <c r="G47">
        <v>96.375838999999999</v>
      </c>
      <c r="H47">
        <v>98.188980000000001</v>
      </c>
      <c r="I47">
        <v>99.832595999999995</v>
      </c>
      <c r="J47">
        <v>101.372215</v>
      </c>
      <c r="K47">
        <v>102.851097</v>
      </c>
      <c r="L47">
        <v>104.335266</v>
      </c>
      <c r="M47">
        <v>105.832863</v>
      </c>
      <c r="N47">
        <v>107.348007</v>
      </c>
      <c r="O47">
        <v>108.917366</v>
      </c>
      <c r="P47">
        <v>110.521828</v>
      </c>
      <c r="Q47">
        <v>112.14489</v>
      </c>
      <c r="R47">
        <v>113.791878</v>
      </c>
      <c r="S47">
        <v>115.46772</v>
      </c>
      <c r="T47">
        <v>117.171211</v>
      </c>
      <c r="U47">
        <v>118.89960499999999</v>
      </c>
      <c r="V47">
        <v>120.656273</v>
      </c>
      <c r="W47">
        <v>122.44444300000001</v>
      </c>
      <c r="X47">
        <v>124.26765399999999</v>
      </c>
      <c r="Y47">
        <v>126.12685399999999</v>
      </c>
      <c r="Z47">
        <v>128.02136200000001</v>
      </c>
      <c r="AA47">
        <v>129.95013399999999</v>
      </c>
      <c r="AB47">
        <v>131.91334499999999</v>
      </c>
      <c r="AC47">
        <v>133.910202</v>
      </c>
      <c r="AD47">
        <v>135.94387800000001</v>
      </c>
      <c r="AE47">
        <v>138.014771</v>
      </c>
      <c r="AF47">
        <v>140.12088</v>
      </c>
      <c r="AG47">
        <v>142.26033000000001</v>
      </c>
      <c r="AH47">
        <v>144.430115</v>
      </c>
      <c r="AI47" s="31">
        <v>1.4E-2</v>
      </c>
    </row>
    <row r="48" spans="1:35">
      <c r="A48" t="s">
        <v>1643</v>
      </c>
      <c r="B48" t="s">
        <v>1681</v>
      </c>
      <c r="C48" t="s">
        <v>1682</v>
      </c>
      <c r="D48" t="s">
        <v>387</v>
      </c>
      <c r="F48">
        <v>5.5833570000000003</v>
      </c>
      <c r="G48">
        <v>6.899108</v>
      </c>
      <c r="H48">
        <v>8.7525999999999993</v>
      </c>
      <c r="I48">
        <v>10.320059000000001</v>
      </c>
      <c r="J48">
        <v>11.326893999999999</v>
      </c>
      <c r="K48">
        <v>11.649971000000001</v>
      </c>
      <c r="L48">
        <v>11.976704</v>
      </c>
      <c r="M48">
        <v>12.309505</v>
      </c>
      <c r="N48">
        <v>12.650805999999999</v>
      </c>
      <c r="O48">
        <v>13.010585000000001</v>
      </c>
      <c r="P48">
        <v>13.382293000000001</v>
      </c>
      <c r="Q48">
        <v>13.763350000000001</v>
      </c>
      <c r="R48">
        <v>14.154275999999999</v>
      </c>
      <c r="S48">
        <v>14.556096999999999</v>
      </c>
      <c r="T48">
        <v>14.956531</v>
      </c>
      <c r="U48">
        <v>15.366565</v>
      </c>
      <c r="V48">
        <v>15.786690999999999</v>
      </c>
      <c r="W48">
        <v>16.216818</v>
      </c>
      <c r="X48">
        <v>16.657633000000001</v>
      </c>
      <c r="Y48">
        <v>17.097104999999999</v>
      </c>
      <c r="Z48">
        <v>17.546858</v>
      </c>
      <c r="AA48">
        <v>18.007286000000001</v>
      </c>
      <c r="AB48">
        <v>18.478339999999999</v>
      </c>
      <c r="AC48">
        <v>18.960153999999999</v>
      </c>
      <c r="AD48">
        <v>19.440370999999999</v>
      </c>
      <c r="AE48">
        <v>19.930873999999999</v>
      </c>
      <c r="AF48">
        <v>20.432293000000001</v>
      </c>
      <c r="AG48">
        <v>20.944868</v>
      </c>
      <c r="AH48">
        <v>21.468855000000001</v>
      </c>
      <c r="AI48" s="31">
        <v>4.9000000000000002E-2</v>
      </c>
    </row>
    <row r="49" spans="1:35">
      <c r="A49" t="s">
        <v>435</v>
      </c>
      <c r="B49" t="s">
        <v>1683</v>
      </c>
      <c r="C49" t="s">
        <v>1684</v>
      </c>
      <c r="D49" t="s">
        <v>387</v>
      </c>
      <c r="F49">
        <v>445.94699100000003</v>
      </c>
      <c r="G49">
        <v>487.20901500000002</v>
      </c>
      <c r="H49">
        <v>523.71002199999998</v>
      </c>
      <c r="I49">
        <v>560.38824499999998</v>
      </c>
      <c r="J49">
        <v>597.47442599999999</v>
      </c>
      <c r="K49">
        <v>634.90472399999999</v>
      </c>
      <c r="L49">
        <v>672.73303199999998</v>
      </c>
      <c r="M49">
        <v>710.81597899999997</v>
      </c>
      <c r="N49">
        <v>748.88952600000005</v>
      </c>
      <c r="O49">
        <v>787.29797399999995</v>
      </c>
      <c r="P49">
        <v>826.023865</v>
      </c>
      <c r="Q49">
        <v>864.93164100000001</v>
      </c>
      <c r="R49">
        <v>904.114868</v>
      </c>
      <c r="S49">
        <v>943.79315199999996</v>
      </c>
      <c r="T49">
        <v>983.87207000000001</v>
      </c>
      <c r="U49">
        <v>1024.044312</v>
      </c>
      <c r="V49">
        <v>1064.332764</v>
      </c>
      <c r="W49">
        <v>1104.986206</v>
      </c>
      <c r="X49">
        <v>1146.439697</v>
      </c>
      <c r="Y49">
        <v>1189.1207280000001</v>
      </c>
      <c r="Z49">
        <v>1232.996216</v>
      </c>
      <c r="AA49">
        <v>1277.6727289999999</v>
      </c>
      <c r="AB49">
        <v>1322.664673</v>
      </c>
      <c r="AC49">
        <v>1367.44165</v>
      </c>
      <c r="AD49">
        <v>1411.900024</v>
      </c>
      <c r="AE49">
        <v>1456.2844239999999</v>
      </c>
      <c r="AF49">
        <v>1500.4047849999999</v>
      </c>
      <c r="AG49">
        <v>1543.762573</v>
      </c>
      <c r="AH49">
        <v>1585.8328859999999</v>
      </c>
      <c r="AI49" s="31">
        <v>4.5999999999999999E-2</v>
      </c>
    </row>
    <row r="50" spans="1:35">
      <c r="A50" t="s">
        <v>1648</v>
      </c>
      <c r="B50" t="s">
        <v>1685</v>
      </c>
      <c r="C50" t="s">
        <v>1686</v>
      </c>
      <c r="D50" t="s">
        <v>387</v>
      </c>
      <c r="F50">
        <v>64.328002999999995</v>
      </c>
      <c r="G50">
        <v>75.594002000000003</v>
      </c>
      <c r="H50">
        <v>81.957999999999998</v>
      </c>
      <c r="I50">
        <v>85.139999000000003</v>
      </c>
      <c r="J50">
        <v>93.982192999999995</v>
      </c>
      <c r="K50">
        <v>103.36318199999999</v>
      </c>
      <c r="L50">
        <v>113.16532100000001</v>
      </c>
      <c r="M50">
        <v>123.31379699999999</v>
      </c>
      <c r="N50">
        <v>133.73538199999999</v>
      </c>
      <c r="O50">
        <v>144.346588</v>
      </c>
      <c r="P50">
        <v>155.08763099999999</v>
      </c>
      <c r="Q50">
        <v>165.88197299999999</v>
      </c>
      <c r="R50">
        <v>176.64450099999999</v>
      </c>
      <c r="S50">
        <v>187.40939299999999</v>
      </c>
      <c r="T50">
        <v>198.268677</v>
      </c>
      <c r="U50">
        <v>209.41423</v>
      </c>
      <c r="V50">
        <v>220.845947</v>
      </c>
      <c r="W50">
        <v>232.543701</v>
      </c>
      <c r="X50">
        <v>244.48284899999999</v>
      </c>
      <c r="Y50">
        <v>256.64562999999998</v>
      </c>
      <c r="Z50">
        <v>269.010651</v>
      </c>
      <c r="AA50">
        <v>281.56417800000003</v>
      </c>
      <c r="AB50">
        <v>294.26825000000002</v>
      </c>
      <c r="AC50">
        <v>307.09204099999999</v>
      </c>
      <c r="AD50">
        <v>320.00271600000002</v>
      </c>
      <c r="AE50">
        <v>332.96649200000002</v>
      </c>
      <c r="AF50">
        <v>345.94287100000003</v>
      </c>
      <c r="AG50">
        <v>358.890961</v>
      </c>
      <c r="AH50">
        <v>371.77322400000003</v>
      </c>
      <c r="AI50" s="31">
        <v>6.5000000000000002E-2</v>
      </c>
    </row>
    <row r="51" spans="1:35">
      <c r="A51" t="s">
        <v>1651</v>
      </c>
      <c r="B51" t="s">
        <v>1687</v>
      </c>
      <c r="C51" t="s">
        <v>1688</v>
      </c>
      <c r="D51" t="s">
        <v>387</v>
      </c>
      <c r="F51">
        <v>121.340279</v>
      </c>
      <c r="G51">
        <v>154.57797199999999</v>
      </c>
      <c r="H51">
        <v>184.62844799999999</v>
      </c>
      <c r="I51">
        <v>208.98757900000001</v>
      </c>
      <c r="J51">
        <v>225.37876900000001</v>
      </c>
      <c r="K51">
        <v>238.34477200000001</v>
      </c>
      <c r="L51">
        <v>251.587997</v>
      </c>
      <c r="M51">
        <v>265.00787400000002</v>
      </c>
      <c r="N51">
        <v>278.52264400000001</v>
      </c>
      <c r="O51">
        <v>292.37914999999998</v>
      </c>
      <c r="P51">
        <v>306.63424700000002</v>
      </c>
      <c r="Q51">
        <v>321.28695699999997</v>
      </c>
      <c r="R51">
        <v>336.38125600000001</v>
      </c>
      <c r="S51">
        <v>351.955963</v>
      </c>
      <c r="T51">
        <v>367.83340500000003</v>
      </c>
      <c r="U51">
        <v>384.15817299999998</v>
      </c>
      <c r="V51">
        <v>400.97872899999999</v>
      </c>
      <c r="W51">
        <v>418.281586</v>
      </c>
      <c r="X51">
        <v>436.11956800000002</v>
      </c>
      <c r="Y51">
        <v>454.223206</v>
      </c>
      <c r="Z51">
        <v>472.74136399999998</v>
      </c>
      <c r="AA51">
        <v>491.70300300000002</v>
      </c>
      <c r="AB51">
        <v>511.12606799999998</v>
      </c>
      <c r="AC51">
        <v>530.98492399999998</v>
      </c>
      <c r="AD51">
        <v>550.75610400000005</v>
      </c>
      <c r="AE51">
        <v>570.81701699999996</v>
      </c>
      <c r="AF51">
        <v>591.32055700000001</v>
      </c>
      <c r="AG51">
        <v>612.31854199999998</v>
      </c>
      <c r="AH51">
        <v>633.87719700000002</v>
      </c>
      <c r="AI51" s="31">
        <v>6.0999999999999999E-2</v>
      </c>
    </row>
    <row r="52" spans="1:35">
      <c r="A52" t="s">
        <v>1654</v>
      </c>
      <c r="B52" t="s">
        <v>1689</v>
      </c>
      <c r="C52" t="s">
        <v>1690</v>
      </c>
      <c r="D52" t="s">
        <v>387</v>
      </c>
      <c r="F52">
        <v>25.162047999999999</v>
      </c>
      <c r="G52">
        <v>33.757781999999999</v>
      </c>
      <c r="H52">
        <v>43.291224999999997</v>
      </c>
      <c r="I52">
        <v>49.386383000000002</v>
      </c>
      <c r="J52">
        <v>51.574387000000002</v>
      </c>
      <c r="K52">
        <v>53.530833999999999</v>
      </c>
      <c r="L52">
        <v>55.570011000000001</v>
      </c>
      <c r="M52">
        <v>57.661495000000002</v>
      </c>
      <c r="N52">
        <v>59.811988999999997</v>
      </c>
      <c r="O52">
        <v>61.987437999999997</v>
      </c>
      <c r="P52">
        <v>64.196487000000005</v>
      </c>
      <c r="Q52">
        <v>66.463004999999995</v>
      </c>
      <c r="R52">
        <v>68.793846000000002</v>
      </c>
      <c r="S52">
        <v>71.198943999999997</v>
      </c>
      <c r="T52">
        <v>73.662277000000003</v>
      </c>
      <c r="U52">
        <v>76.193236999999996</v>
      </c>
      <c r="V52">
        <v>78.792975999999996</v>
      </c>
      <c r="W52">
        <v>81.454643000000004</v>
      </c>
      <c r="X52">
        <v>84.179428000000001</v>
      </c>
      <c r="Y52">
        <v>86.959701999999993</v>
      </c>
      <c r="Z52">
        <v>89.805481</v>
      </c>
      <c r="AA52">
        <v>92.720855999999998</v>
      </c>
      <c r="AB52">
        <v>95.706917000000004</v>
      </c>
      <c r="AC52">
        <v>98.766266000000002</v>
      </c>
      <c r="AD52">
        <v>101.88080600000001</v>
      </c>
      <c r="AE52">
        <v>105.06590300000001</v>
      </c>
      <c r="AF52">
        <v>108.32765999999999</v>
      </c>
      <c r="AG52">
        <v>111.667374</v>
      </c>
      <c r="AH52">
        <v>115.087654</v>
      </c>
      <c r="AI52" s="31">
        <v>5.6000000000000001E-2</v>
      </c>
    </row>
    <row r="53" spans="1:35">
      <c r="A53" t="s">
        <v>432</v>
      </c>
      <c r="B53" t="s">
        <v>1691</v>
      </c>
      <c r="C53" t="s">
        <v>1692</v>
      </c>
      <c r="D53" t="s">
        <v>387</v>
      </c>
      <c r="F53">
        <v>21.436751999999998</v>
      </c>
      <c r="G53">
        <v>27.598734</v>
      </c>
      <c r="H53">
        <v>35.583275</v>
      </c>
      <c r="I53">
        <v>40.530216000000003</v>
      </c>
      <c r="J53">
        <v>42.960293</v>
      </c>
      <c r="K53">
        <v>45.071503</v>
      </c>
      <c r="L53">
        <v>47.258926000000002</v>
      </c>
      <c r="M53">
        <v>49.535010999999997</v>
      </c>
      <c r="N53">
        <v>51.919395000000002</v>
      </c>
      <c r="O53">
        <v>54.415638000000001</v>
      </c>
      <c r="P53">
        <v>57.007767000000001</v>
      </c>
      <c r="Q53">
        <v>59.691803</v>
      </c>
      <c r="R53">
        <v>62.468406999999999</v>
      </c>
      <c r="S53">
        <v>65.338493</v>
      </c>
      <c r="T53">
        <v>68.332961999999995</v>
      </c>
      <c r="U53">
        <v>71.430465999999996</v>
      </c>
      <c r="V53">
        <v>74.628899000000004</v>
      </c>
      <c r="W53">
        <v>77.928932000000003</v>
      </c>
      <c r="X53">
        <v>81.334746999999993</v>
      </c>
      <c r="Y53">
        <v>84.875998999999993</v>
      </c>
      <c r="Z53">
        <v>88.529678000000004</v>
      </c>
      <c r="AA53">
        <v>92.295119999999997</v>
      </c>
      <c r="AB53">
        <v>96.174530000000004</v>
      </c>
      <c r="AC53">
        <v>100.172386</v>
      </c>
      <c r="AD53">
        <v>104.314087</v>
      </c>
      <c r="AE53">
        <v>108.579628</v>
      </c>
      <c r="AF53">
        <v>112.96938299999999</v>
      </c>
      <c r="AG53">
        <v>117.485657</v>
      </c>
      <c r="AH53">
        <v>122.13298</v>
      </c>
      <c r="AI53" s="31">
        <v>6.4000000000000001E-2</v>
      </c>
    </row>
    <row r="54" spans="1:35">
      <c r="A54" t="s">
        <v>1659</v>
      </c>
      <c r="B54" t="s">
        <v>1693</v>
      </c>
      <c r="C54" t="s">
        <v>1694</v>
      </c>
      <c r="D54" t="s">
        <v>387</v>
      </c>
      <c r="F54">
        <v>48.393002000000003</v>
      </c>
      <c r="G54">
        <v>52.212001999999998</v>
      </c>
      <c r="H54">
        <v>54.320999</v>
      </c>
      <c r="I54">
        <v>56.43</v>
      </c>
      <c r="J54">
        <v>57.815392000000003</v>
      </c>
      <c r="K54">
        <v>59.144066000000002</v>
      </c>
      <c r="L54">
        <v>60.473391999999997</v>
      </c>
      <c r="M54">
        <v>61.790427999999999</v>
      </c>
      <c r="N54">
        <v>63.030360999999999</v>
      </c>
      <c r="O54">
        <v>64.167816000000002</v>
      </c>
      <c r="P54">
        <v>65.257767000000001</v>
      </c>
      <c r="Q54">
        <v>66.297470000000004</v>
      </c>
      <c r="R54">
        <v>67.283569</v>
      </c>
      <c r="S54">
        <v>68.213134999999994</v>
      </c>
      <c r="T54">
        <v>69.085907000000006</v>
      </c>
      <c r="U54">
        <v>69.909248000000005</v>
      </c>
      <c r="V54">
        <v>70.688300999999996</v>
      </c>
      <c r="W54">
        <v>71.428200000000004</v>
      </c>
      <c r="X54">
        <v>72.133858000000004</v>
      </c>
      <c r="Y54">
        <v>72.808730999999995</v>
      </c>
      <c r="Z54">
        <v>73.454993999999999</v>
      </c>
      <c r="AA54">
        <v>74.074744999999993</v>
      </c>
      <c r="AB54">
        <v>74.669487000000004</v>
      </c>
      <c r="AC54">
        <v>75.240584999999996</v>
      </c>
      <c r="AD54">
        <v>75.790413000000001</v>
      </c>
      <c r="AE54">
        <v>76.318916000000002</v>
      </c>
      <c r="AF54">
        <v>76.827270999999996</v>
      </c>
      <c r="AG54">
        <v>77.315162999999998</v>
      </c>
      <c r="AH54">
        <v>77.784637000000004</v>
      </c>
      <c r="AI54" s="31">
        <v>1.7000000000000001E-2</v>
      </c>
    </row>
    <row r="55" spans="1:35">
      <c r="A55" t="s">
        <v>1662</v>
      </c>
      <c r="B55" t="s">
        <v>1695</v>
      </c>
      <c r="C55" t="s">
        <v>1696</v>
      </c>
      <c r="D55" t="s">
        <v>387</v>
      </c>
      <c r="F55">
        <v>25.34132</v>
      </c>
      <c r="G55">
        <v>30.831939999999999</v>
      </c>
      <c r="H55">
        <v>34.844315000000002</v>
      </c>
      <c r="I55">
        <v>35.958019</v>
      </c>
      <c r="J55">
        <v>37.186523000000001</v>
      </c>
      <c r="K55">
        <v>38.400398000000003</v>
      </c>
      <c r="L55">
        <v>39.597152999999999</v>
      </c>
      <c r="M55">
        <v>40.775063000000003</v>
      </c>
      <c r="N55">
        <v>41.934654000000002</v>
      </c>
      <c r="O55">
        <v>43.060527999999998</v>
      </c>
      <c r="P55">
        <v>44.201756000000003</v>
      </c>
      <c r="Q55">
        <v>45.363827000000001</v>
      </c>
      <c r="R55">
        <v>46.548321000000001</v>
      </c>
      <c r="S55">
        <v>47.756633999999998</v>
      </c>
      <c r="T55">
        <v>48.983604</v>
      </c>
      <c r="U55">
        <v>50.236697999999997</v>
      </c>
      <c r="V55">
        <v>51.516010000000001</v>
      </c>
      <c r="W55">
        <v>52.821052999999999</v>
      </c>
      <c r="X55">
        <v>54.150795000000002</v>
      </c>
      <c r="Y55">
        <v>55.505904999999998</v>
      </c>
      <c r="Z55">
        <v>56.886997000000001</v>
      </c>
      <c r="AA55">
        <v>58.293770000000002</v>
      </c>
      <c r="AB55">
        <v>59.725966999999997</v>
      </c>
      <c r="AC55">
        <v>61.183010000000003</v>
      </c>
      <c r="AD55">
        <v>62.647793</v>
      </c>
      <c r="AE55">
        <v>64.137566000000007</v>
      </c>
      <c r="AF55">
        <v>65.652901</v>
      </c>
      <c r="AG55">
        <v>67.194282999999999</v>
      </c>
      <c r="AH55">
        <v>68.761512999999994</v>
      </c>
      <c r="AI55" s="31">
        <v>3.5999999999999997E-2</v>
      </c>
    </row>
    <row r="56" spans="1:35">
      <c r="A56" t="s">
        <v>1697</v>
      </c>
      <c r="B56" t="s">
        <v>1698</v>
      </c>
      <c r="C56" t="s">
        <v>1699</v>
      </c>
      <c r="D56" t="s">
        <v>387</v>
      </c>
      <c r="F56">
        <v>2031.443481</v>
      </c>
      <c r="G56">
        <v>2328.2434079999998</v>
      </c>
      <c r="H56">
        <v>2534.2822270000001</v>
      </c>
      <c r="I56">
        <v>2680.9829100000002</v>
      </c>
      <c r="J56">
        <v>2795.320557</v>
      </c>
      <c r="K56">
        <v>2898.65625</v>
      </c>
      <c r="L56">
        <v>3001.3332519999999</v>
      </c>
      <c r="M56">
        <v>3102.5539549999999</v>
      </c>
      <c r="N56">
        <v>3202.1518550000001</v>
      </c>
      <c r="O56">
        <v>3303.5031739999999</v>
      </c>
      <c r="P56">
        <v>3410.2250979999999</v>
      </c>
      <c r="Q56">
        <v>3520.429932</v>
      </c>
      <c r="R56">
        <v>3631.625732</v>
      </c>
      <c r="S56">
        <v>3744.4421390000002</v>
      </c>
      <c r="T56">
        <v>3860.4023440000001</v>
      </c>
      <c r="U56">
        <v>3979.6069339999999</v>
      </c>
      <c r="V56">
        <v>4101.1762699999999</v>
      </c>
      <c r="W56">
        <v>4224.7485349999997</v>
      </c>
      <c r="X56">
        <v>4353.5600590000004</v>
      </c>
      <c r="Y56">
        <v>4484.6152339999999</v>
      </c>
      <c r="Z56">
        <v>4618.6953119999998</v>
      </c>
      <c r="AA56">
        <v>4755.7177730000003</v>
      </c>
      <c r="AB56">
        <v>4893.7368159999996</v>
      </c>
      <c r="AC56">
        <v>5032.1762699999999</v>
      </c>
      <c r="AD56">
        <v>5171.4223629999997</v>
      </c>
      <c r="AE56">
        <v>5313.576172</v>
      </c>
      <c r="AF56">
        <v>5457.1420900000003</v>
      </c>
      <c r="AG56">
        <v>5601.4013670000004</v>
      </c>
      <c r="AH56">
        <v>5748.1035160000001</v>
      </c>
      <c r="AI56" s="31">
        <v>3.7999999999999999E-2</v>
      </c>
    </row>
    <row r="57" spans="1:35">
      <c r="A57" t="s">
        <v>423</v>
      </c>
    </row>
    <row r="58" spans="1:35">
      <c r="A58" t="s">
        <v>427</v>
      </c>
      <c r="B58" t="s">
        <v>1700</v>
      </c>
      <c r="C58" t="s">
        <v>1701</v>
      </c>
      <c r="D58" t="s">
        <v>387</v>
      </c>
      <c r="F58">
        <v>243.14546200000001</v>
      </c>
      <c r="G58">
        <v>335.79156499999999</v>
      </c>
      <c r="H58">
        <v>383.935181</v>
      </c>
      <c r="I58">
        <v>400.52246100000002</v>
      </c>
      <c r="J58">
        <v>410.78866599999998</v>
      </c>
      <c r="K58">
        <v>421.01507600000002</v>
      </c>
      <c r="L58">
        <v>430.45114100000001</v>
      </c>
      <c r="M58">
        <v>438.83355699999998</v>
      </c>
      <c r="N58">
        <v>446.244843</v>
      </c>
      <c r="O58">
        <v>453.952179</v>
      </c>
      <c r="P58">
        <v>463.53869600000002</v>
      </c>
      <c r="Q58">
        <v>474.25561499999998</v>
      </c>
      <c r="R58">
        <v>484.97164900000001</v>
      </c>
      <c r="S58">
        <v>495.876373</v>
      </c>
      <c r="T58">
        <v>507.70068400000002</v>
      </c>
      <c r="U58">
        <v>520.43481399999996</v>
      </c>
      <c r="V58">
        <v>533.66839600000003</v>
      </c>
      <c r="W58">
        <v>547.159851</v>
      </c>
      <c r="X58">
        <v>562.15612799999997</v>
      </c>
      <c r="Y58">
        <v>577.24011199999995</v>
      </c>
      <c r="Z58">
        <v>592.71466099999998</v>
      </c>
      <c r="AA58">
        <v>608.72131300000001</v>
      </c>
      <c r="AB58">
        <v>624.60186799999997</v>
      </c>
      <c r="AC58">
        <v>640.35766599999999</v>
      </c>
      <c r="AD58">
        <v>656.497253</v>
      </c>
      <c r="AE58">
        <v>673.70098900000005</v>
      </c>
      <c r="AF58">
        <v>691.29357900000002</v>
      </c>
      <c r="AG58">
        <v>709.15142800000001</v>
      </c>
      <c r="AH58">
        <v>728.31231700000001</v>
      </c>
      <c r="AI58" s="31">
        <v>0.04</v>
      </c>
    </row>
    <row r="59" spans="1:35">
      <c r="A59" t="s">
        <v>428</v>
      </c>
      <c r="B59" t="s">
        <v>1702</v>
      </c>
      <c r="C59" t="s">
        <v>1703</v>
      </c>
      <c r="D59" t="s">
        <v>387</v>
      </c>
      <c r="F59">
        <v>44.242100000000001</v>
      </c>
      <c r="G59">
        <v>57.959876999999999</v>
      </c>
      <c r="H59">
        <v>69.951576000000003</v>
      </c>
      <c r="I59">
        <v>78.945351000000002</v>
      </c>
      <c r="J59">
        <v>84.759506000000002</v>
      </c>
      <c r="K59">
        <v>89.937743999999995</v>
      </c>
      <c r="L59">
        <v>92.223777999999996</v>
      </c>
      <c r="M59">
        <v>94.555144999999996</v>
      </c>
      <c r="N59">
        <v>96.929855000000003</v>
      </c>
      <c r="O59">
        <v>99.348456999999996</v>
      </c>
      <c r="P59">
        <v>101.810303</v>
      </c>
      <c r="Q59">
        <v>104.31398</v>
      </c>
      <c r="R59">
        <v>106.860016</v>
      </c>
      <c r="S59">
        <v>109.449196</v>
      </c>
      <c r="T59">
        <v>112.081863</v>
      </c>
      <c r="U59">
        <v>114.759064</v>
      </c>
      <c r="V59">
        <v>117.48131600000001</v>
      </c>
      <c r="W59">
        <v>120.24996899999999</v>
      </c>
      <c r="X59">
        <v>123.06551399999999</v>
      </c>
      <c r="Y59">
        <v>125.92826100000001</v>
      </c>
      <c r="Z59">
        <v>128.839752</v>
      </c>
      <c r="AA59">
        <v>131.79995700000001</v>
      </c>
      <c r="AB59">
        <v>134.81431599999999</v>
      </c>
      <c r="AC59">
        <v>137.88580300000001</v>
      </c>
      <c r="AD59">
        <v>141.01591500000001</v>
      </c>
      <c r="AE59">
        <v>144.20684800000001</v>
      </c>
      <c r="AF59">
        <v>147.46043399999999</v>
      </c>
      <c r="AG59">
        <v>150.77969400000001</v>
      </c>
      <c r="AH59">
        <v>154.16679400000001</v>
      </c>
      <c r="AI59" s="31">
        <v>4.5999999999999999E-2</v>
      </c>
    </row>
    <row r="60" spans="1:35">
      <c r="A60" t="s">
        <v>1625</v>
      </c>
      <c r="B60" t="s">
        <v>1704</v>
      </c>
      <c r="C60" t="s">
        <v>1705</v>
      </c>
      <c r="D60" t="s">
        <v>387</v>
      </c>
      <c r="F60">
        <v>29.798960000000001</v>
      </c>
      <c r="G60">
        <v>40.311973999999999</v>
      </c>
      <c r="H60">
        <v>50.607475000000001</v>
      </c>
      <c r="I60">
        <v>59.090389000000002</v>
      </c>
      <c r="J60">
        <v>65.108185000000006</v>
      </c>
      <c r="K60">
        <v>68.878365000000002</v>
      </c>
      <c r="L60">
        <v>71.778519000000003</v>
      </c>
      <c r="M60">
        <v>74.124474000000006</v>
      </c>
      <c r="N60">
        <v>76.529831000000001</v>
      </c>
      <c r="O60">
        <v>78.988663000000003</v>
      </c>
      <c r="P60">
        <v>81.514861999999994</v>
      </c>
      <c r="Q60">
        <v>84.099945000000005</v>
      </c>
      <c r="R60">
        <v>86.744704999999996</v>
      </c>
      <c r="S60">
        <v>89.448975000000004</v>
      </c>
      <c r="T60">
        <v>92.207825</v>
      </c>
      <c r="U60">
        <v>95.026832999999996</v>
      </c>
      <c r="V60">
        <v>97.907409999999999</v>
      </c>
      <c r="W60">
        <v>100.85034899999999</v>
      </c>
      <c r="X60">
        <v>103.85659800000001</v>
      </c>
      <c r="Y60">
        <v>106.912582</v>
      </c>
      <c r="Z60">
        <v>110.031853</v>
      </c>
      <c r="AA60">
        <v>113.21547700000001</v>
      </c>
      <c r="AB60">
        <v>116.464378</v>
      </c>
      <c r="AC60">
        <v>119.778374</v>
      </c>
      <c r="AD60">
        <v>123.13962600000001</v>
      </c>
      <c r="AE60">
        <v>126.56178300000001</v>
      </c>
      <c r="AF60">
        <v>130.05413799999999</v>
      </c>
      <c r="AG60">
        <v>133.62745699999999</v>
      </c>
      <c r="AH60">
        <v>137.290436</v>
      </c>
      <c r="AI60" s="31">
        <v>5.6000000000000001E-2</v>
      </c>
    </row>
    <row r="61" spans="1:35">
      <c r="A61" t="s">
        <v>1628</v>
      </c>
      <c r="B61" t="s">
        <v>1706</v>
      </c>
      <c r="C61" t="s">
        <v>1707</v>
      </c>
      <c r="D61" t="s">
        <v>387</v>
      </c>
      <c r="F61">
        <v>280.836365</v>
      </c>
      <c r="G61">
        <v>391.70883199999997</v>
      </c>
      <c r="H61">
        <v>486.74243200000001</v>
      </c>
      <c r="I61">
        <v>550.70733600000005</v>
      </c>
      <c r="J61">
        <v>603.09759499999996</v>
      </c>
      <c r="K61">
        <v>615.40289299999995</v>
      </c>
      <c r="L61">
        <v>627.85687299999995</v>
      </c>
      <c r="M61">
        <v>640.49560499999995</v>
      </c>
      <c r="N61">
        <v>653.34362799999997</v>
      </c>
      <c r="O61">
        <v>666.416382</v>
      </c>
      <c r="P61">
        <v>679.72045900000001</v>
      </c>
      <c r="Q61">
        <v>693.25176999999996</v>
      </c>
      <c r="R61">
        <v>706.99322500000005</v>
      </c>
      <c r="S61">
        <v>720.92309599999999</v>
      </c>
      <c r="T61">
        <v>735.06103499999995</v>
      </c>
      <c r="U61">
        <v>749.42907700000001</v>
      </c>
      <c r="V61">
        <v>764.01898200000005</v>
      </c>
      <c r="W61">
        <v>778.82794200000001</v>
      </c>
      <c r="X61">
        <v>793.86084000000005</v>
      </c>
      <c r="Y61">
        <v>809.10955799999999</v>
      </c>
      <c r="Z61">
        <v>824.57147199999997</v>
      </c>
      <c r="AA61">
        <v>840.24200399999995</v>
      </c>
      <c r="AB61">
        <v>856.11712599999998</v>
      </c>
      <c r="AC61">
        <v>872.19311500000003</v>
      </c>
      <c r="AD61">
        <v>888.45996100000002</v>
      </c>
      <c r="AE61">
        <v>904.91650400000003</v>
      </c>
      <c r="AF61">
        <v>921.58117700000003</v>
      </c>
      <c r="AG61">
        <v>938.47827099999995</v>
      </c>
      <c r="AH61">
        <v>955.62683100000004</v>
      </c>
      <c r="AI61" s="31">
        <v>4.4999999999999998E-2</v>
      </c>
    </row>
    <row r="62" spans="1:35">
      <c r="A62" t="s">
        <v>1631</v>
      </c>
      <c r="B62" t="s">
        <v>1708</v>
      </c>
      <c r="C62" t="s">
        <v>1709</v>
      </c>
      <c r="D62" t="s">
        <v>387</v>
      </c>
      <c r="F62">
        <v>26.796666999999999</v>
      </c>
      <c r="G62">
        <v>45.314689999999999</v>
      </c>
      <c r="H62">
        <v>64.486289999999997</v>
      </c>
      <c r="I62">
        <v>81.043578999999994</v>
      </c>
      <c r="J62">
        <v>93.134765999999999</v>
      </c>
      <c r="K62">
        <v>100.868759</v>
      </c>
      <c r="L62">
        <v>107.840248</v>
      </c>
      <c r="M62">
        <v>108.36943100000001</v>
      </c>
      <c r="N62">
        <v>108.73043800000001</v>
      </c>
      <c r="O62">
        <v>108.962463</v>
      </c>
      <c r="P62">
        <v>109.136337</v>
      </c>
      <c r="Q62">
        <v>109.31253100000001</v>
      </c>
      <c r="R62">
        <v>109.494522</v>
      </c>
      <c r="S62">
        <v>109.682007</v>
      </c>
      <c r="T62">
        <v>109.874374</v>
      </c>
      <c r="U62">
        <v>110.07062500000001</v>
      </c>
      <c r="V62">
        <v>110.27067599999999</v>
      </c>
      <c r="W62">
        <v>110.472984</v>
      </c>
      <c r="X62">
        <v>110.676666</v>
      </c>
      <c r="Y62">
        <v>110.88208</v>
      </c>
      <c r="Z62">
        <v>111.08747099999999</v>
      </c>
      <c r="AA62">
        <v>111.293312</v>
      </c>
      <c r="AB62">
        <v>111.50631</v>
      </c>
      <c r="AC62">
        <v>111.74614699999999</v>
      </c>
      <c r="AD62">
        <v>112.02600099999999</v>
      </c>
      <c r="AE62">
        <v>112.349495</v>
      </c>
      <c r="AF62">
        <v>112.717384</v>
      </c>
      <c r="AG62">
        <v>113.130196</v>
      </c>
      <c r="AH62">
        <v>113.58820299999999</v>
      </c>
      <c r="AI62" s="31">
        <v>5.2999999999999999E-2</v>
      </c>
    </row>
    <row r="63" spans="1:35">
      <c r="A63" t="s">
        <v>1634</v>
      </c>
      <c r="B63" t="s">
        <v>1710</v>
      </c>
      <c r="C63" t="s">
        <v>1711</v>
      </c>
      <c r="D63" t="s">
        <v>387</v>
      </c>
      <c r="F63">
        <v>25.196525999999999</v>
      </c>
      <c r="G63">
        <v>42.608761000000001</v>
      </c>
      <c r="H63">
        <v>60.635548</v>
      </c>
      <c r="I63">
        <v>76.204123999999993</v>
      </c>
      <c r="J63">
        <v>87.573295999999999</v>
      </c>
      <c r="K63">
        <v>94.845459000000005</v>
      </c>
      <c r="L63">
        <v>101.40065800000001</v>
      </c>
      <c r="M63">
        <v>104.595985</v>
      </c>
      <c r="N63">
        <v>107.86273199999999</v>
      </c>
      <c r="O63">
        <v>111.197243</v>
      </c>
      <c r="P63">
        <v>114.59079</v>
      </c>
      <c r="Q63">
        <v>118.050285</v>
      </c>
      <c r="R63">
        <v>121.579582</v>
      </c>
      <c r="S63">
        <v>125.155067</v>
      </c>
      <c r="T63">
        <v>128.797516</v>
      </c>
      <c r="U63">
        <v>132.53035</v>
      </c>
      <c r="V63">
        <v>136.34974700000001</v>
      </c>
      <c r="W63">
        <v>140.240295</v>
      </c>
      <c r="X63">
        <v>144.20495600000001</v>
      </c>
      <c r="Y63">
        <v>148.25529499999999</v>
      </c>
      <c r="Z63">
        <v>152.394699</v>
      </c>
      <c r="AA63">
        <v>156.62347399999999</v>
      </c>
      <c r="AB63">
        <v>160.942566</v>
      </c>
      <c r="AC63">
        <v>165.35136399999999</v>
      </c>
      <c r="AD63">
        <v>169.848938</v>
      </c>
      <c r="AE63">
        <v>174.436218</v>
      </c>
      <c r="AF63">
        <v>179.11892700000001</v>
      </c>
      <c r="AG63">
        <v>183.89915500000001</v>
      </c>
      <c r="AH63">
        <v>188.77813699999999</v>
      </c>
      <c r="AI63" s="31">
        <v>7.4999999999999997E-2</v>
      </c>
    </row>
    <row r="64" spans="1:35">
      <c r="A64" t="s">
        <v>1637</v>
      </c>
      <c r="B64" t="s">
        <v>1712</v>
      </c>
      <c r="C64" t="s">
        <v>1713</v>
      </c>
      <c r="D64" t="s">
        <v>387</v>
      </c>
      <c r="F64">
        <v>19.641961999999999</v>
      </c>
      <c r="G64">
        <v>33.215679000000002</v>
      </c>
      <c r="H64">
        <v>47.268467000000001</v>
      </c>
      <c r="I64">
        <v>59.404961</v>
      </c>
      <c r="J64">
        <v>68.267807000000005</v>
      </c>
      <c r="K64">
        <v>73.936829000000003</v>
      </c>
      <c r="L64">
        <v>79.046927999999994</v>
      </c>
      <c r="M64">
        <v>81.697327000000001</v>
      </c>
      <c r="N64">
        <v>84.197013999999996</v>
      </c>
      <c r="O64">
        <v>85.953468000000001</v>
      </c>
      <c r="P64">
        <v>86.642052000000007</v>
      </c>
      <c r="Q64">
        <v>87.126075999999998</v>
      </c>
      <c r="R64">
        <v>87.600150999999997</v>
      </c>
      <c r="S64">
        <v>88.047066000000001</v>
      </c>
      <c r="T64">
        <v>88.515472000000003</v>
      </c>
      <c r="U64">
        <v>88.823288000000005</v>
      </c>
      <c r="V64">
        <v>88.985320999999999</v>
      </c>
      <c r="W64">
        <v>89.172111999999998</v>
      </c>
      <c r="X64">
        <v>89.495384000000001</v>
      </c>
      <c r="Y64">
        <v>90.072411000000002</v>
      </c>
      <c r="Z64">
        <v>90.859511999999995</v>
      </c>
      <c r="AA64">
        <v>91.744774000000007</v>
      </c>
      <c r="AB64">
        <v>92.696106</v>
      </c>
      <c r="AC64">
        <v>93.655745999999994</v>
      </c>
      <c r="AD64">
        <v>94.557418999999996</v>
      </c>
      <c r="AE64">
        <v>95.400192000000004</v>
      </c>
      <c r="AF64">
        <v>96.266959999999997</v>
      </c>
      <c r="AG64">
        <v>97.231399999999994</v>
      </c>
      <c r="AH64">
        <v>98.346619000000004</v>
      </c>
      <c r="AI64" s="31">
        <v>5.8999999999999997E-2</v>
      </c>
    </row>
    <row r="65" spans="1:35">
      <c r="A65" t="s">
        <v>1640</v>
      </c>
      <c r="B65" t="s">
        <v>1714</v>
      </c>
      <c r="C65" t="s">
        <v>1715</v>
      </c>
      <c r="D65" t="s">
        <v>387</v>
      </c>
      <c r="F65">
        <v>21.804157</v>
      </c>
      <c r="G65">
        <v>29.275511000000002</v>
      </c>
      <c r="H65">
        <v>36.391086999999999</v>
      </c>
      <c r="I65">
        <v>42.134377000000001</v>
      </c>
      <c r="J65">
        <v>46.149593000000003</v>
      </c>
      <c r="K65">
        <v>48.538395000000001</v>
      </c>
      <c r="L65">
        <v>50.317287</v>
      </c>
      <c r="M65">
        <v>51.333579999999998</v>
      </c>
      <c r="N65">
        <v>52.367713999999999</v>
      </c>
      <c r="O65">
        <v>53.428528</v>
      </c>
      <c r="P65">
        <v>54.510128000000002</v>
      </c>
      <c r="Q65">
        <v>55.610111000000003</v>
      </c>
      <c r="R65">
        <v>56.732365000000001</v>
      </c>
      <c r="S65">
        <v>57.880558000000001</v>
      </c>
      <c r="T65">
        <v>59.054034999999999</v>
      </c>
      <c r="U65">
        <v>60.251175000000003</v>
      </c>
      <c r="V65">
        <v>61.474559999999997</v>
      </c>
      <c r="W65">
        <v>62.726730000000003</v>
      </c>
      <c r="X65">
        <v>64.010589999999993</v>
      </c>
      <c r="Y65">
        <v>65.327087000000006</v>
      </c>
      <c r="Z65">
        <v>66.676070999999993</v>
      </c>
      <c r="AA65">
        <v>68.057311999999996</v>
      </c>
      <c r="AB65">
        <v>69.470946999999995</v>
      </c>
      <c r="AC65">
        <v>70.916954000000004</v>
      </c>
      <c r="AD65">
        <v>72.397980000000004</v>
      </c>
      <c r="AE65">
        <v>73.914649999999995</v>
      </c>
      <c r="AF65">
        <v>75.465866000000005</v>
      </c>
      <c r="AG65">
        <v>77.050514000000007</v>
      </c>
      <c r="AH65">
        <v>78.666718000000003</v>
      </c>
      <c r="AI65" s="31">
        <v>4.7E-2</v>
      </c>
    </row>
    <row r="66" spans="1:35">
      <c r="A66" t="s">
        <v>1643</v>
      </c>
      <c r="B66" t="s">
        <v>1716</v>
      </c>
      <c r="C66" t="s">
        <v>1717</v>
      </c>
      <c r="D66" t="s">
        <v>387</v>
      </c>
      <c r="F66">
        <v>29.001909000000001</v>
      </c>
      <c r="G66">
        <v>38.939624999999999</v>
      </c>
      <c r="H66">
        <v>48.404114</v>
      </c>
      <c r="I66">
        <v>56.043312</v>
      </c>
      <c r="J66">
        <v>61.383991000000002</v>
      </c>
      <c r="K66">
        <v>64.561356000000004</v>
      </c>
      <c r="L66">
        <v>66.927482999999995</v>
      </c>
      <c r="M66">
        <v>68.857924999999994</v>
      </c>
      <c r="N66">
        <v>70.841437999999997</v>
      </c>
      <c r="O66">
        <v>72.918564000000003</v>
      </c>
      <c r="P66">
        <v>75.062759</v>
      </c>
      <c r="Q66">
        <v>77.264267000000004</v>
      </c>
      <c r="R66">
        <v>79.524733999999995</v>
      </c>
      <c r="S66">
        <v>81.848335000000006</v>
      </c>
      <c r="T66">
        <v>84.195853999999997</v>
      </c>
      <c r="U66">
        <v>86.603179999999995</v>
      </c>
      <c r="V66">
        <v>89.073074000000005</v>
      </c>
      <c r="W66">
        <v>91.606102000000007</v>
      </c>
      <c r="X66">
        <v>94.205521000000005</v>
      </c>
      <c r="Y66">
        <v>96.825774999999993</v>
      </c>
      <c r="Z66">
        <v>99.511925000000005</v>
      </c>
      <c r="AA66">
        <v>102.264999</v>
      </c>
      <c r="AB66">
        <v>105.084068</v>
      </c>
      <c r="AC66">
        <v>107.969559</v>
      </c>
      <c r="AD66">
        <v>110.868172</v>
      </c>
      <c r="AE66">
        <v>113.832314</v>
      </c>
      <c r="AF66">
        <v>116.86582900000001</v>
      </c>
      <c r="AG66">
        <v>119.971458</v>
      </c>
      <c r="AH66">
        <v>123.15158099999999</v>
      </c>
      <c r="AI66" s="31">
        <v>5.2999999999999999E-2</v>
      </c>
    </row>
    <row r="67" spans="1:35">
      <c r="A67" t="s">
        <v>435</v>
      </c>
      <c r="B67" t="s">
        <v>1718</v>
      </c>
      <c r="C67" t="s">
        <v>1719</v>
      </c>
      <c r="D67" t="s">
        <v>387</v>
      </c>
      <c r="F67">
        <v>43.401493000000002</v>
      </c>
      <c r="G67">
        <v>79.040122999999994</v>
      </c>
      <c r="H67">
        <v>115.73732800000001</v>
      </c>
      <c r="I67">
        <v>144.31880200000001</v>
      </c>
      <c r="J67">
        <v>161.96167</v>
      </c>
      <c r="K67">
        <v>174.66456600000001</v>
      </c>
      <c r="L67">
        <v>184.330566</v>
      </c>
      <c r="M67">
        <v>194.21669</v>
      </c>
      <c r="N67">
        <v>204.29608200000001</v>
      </c>
      <c r="O67">
        <v>214.626465</v>
      </c>
      <c r="P67">
        <v>225.21134900000001</v>
      </c>
      <c r="Q67">
        <v>236.03950499999999</v>
      </c>
      <c r="R67">
        <v>247.13400300000001</v>
      </c>
      <c r="S67">
        <v>258.53561400000001</v>
      </c>
      <c r="T67">
        <v>270.23638899999997</v>
      </c>
      <c r="U67">
        <v>282.19741800000003</v>
      </c>
      <c r="V67">
        <v>294.43173200000001</v>
      </c>
      <c r="W67">
        <v>306.98468000000003</v>
      </c>
      <c r="X67">
        <v>319.93069500000001</v>
      </c>
      <c r="Y67">
        <v>333.34088100000002</v>
      </c>
      <c r="Z67">
        <v>347.21804800000001</v>
      </c>
      <c r="AA67">
        <v>361.513214</v>
      </c>
      <c r="AB67">
        <v>376.16323899999998</v>
      </c>
      <c r="AC67">
        <v>391.09524499999998</v>
      </c>
      <c r="AD67">
        <v>406.29702800000001</v>
      </c>
      <c r="AE67">
        <v>421.81195100000002</v>
      </c>
      <c r="AF67">
        <v>437.61935399999999</v>
      </c>
      <c r="AG67">
        <v>453.65158100000002</v>
      </c>
      <c r="AH67">
        <v>469.833099</v>
      </c>
      <c r="AI67" s="31">
        <v>8.8999999999999996E-2</v>
      </c>
    </row>
    <row r="68" spans="1:35">
      <c r="A68" t="s">
        <v>1648</v>
      </c>
      <c r="B68" t="s">
        <v>1720</v>
      </c>
      <c r="C68" t="s">
        <v>1721</v>
      </c>
      <c r="D68" t="s">
        <v>387</v>
      </c>
      <c r="F68">
        <v>17.711981000000002</v>
      </c>
      <c r="G68">
        <v>29.951968999999998</v>
      </c>
      <c r="H68">
        <v>42.623955000000002</v>
      </c>
      <c r="I68">
        <v>53.567936000000003</v>
      </c>
      <c r="J68">
        <v>61.559933000000001</v>
      </c>
      <c r="K68">
        <v>66.671927999999994</v>
      </c>
      <c r="L68">
        <v>71.279921999999999</v>
      </c>
      <c r="M68">
        <v>76.662291999999994</v>
      </c>
      <c r="N68">
        <v>82.150413999999998</v>
      </c>
      <c r="O68">
        <v>87.709571999999994</v>
      </c>
      <c r="P68">
        <v>93.316719000000006</v>
      </c>
      <c r="Q68">
        <v>98.940490999999994</v>
      </c>
      <c r="R68">
        <v>104.546043</v>
      </c>
      <c r="S68">
        <v>110.151779</v>
      </c>
      <c r="T68">
        <v>115.801529</v>
      </c>
      <c r="U68">
        <v>121.581558</v>
      </c>
      <c r="V68">
        <v>127.492592</v>
      </c>
      <c r="W68">
        <v>133.52624499999999</v>
      </c>
      <c r="X68">
        <v>139.67248499999999</v>
      </c>
      <c r="Y68">
        <v>145.92378199999999</v>
      </c>
      <c r="Z68">
        <v>152.271759</v>
      </c>
      <c r="AA68">
        <v>158.712219</v>
      </c>
      <c r="AB68">
        <v>165.230942</v>
      </c>
      <c r="AC68">
        <v>171.81689499999999</v>
      </c>
      <c r="AD68">
        <v>178.45689400000001</v>
      </c>
      <c r="AE68">
        <v>185.13732899999999</v>
      </c>
      <c r="AF68">
        <v>191.84298699999999</v>
      </c>
      <c r="AG68">
        <v>198.55867000000001</v>
      </c>
      <c r="AH68">
        <v>205.27046200000001</v>
      </c>
      <c r="AI68" s="31">
        <v>9.0999999999999998E-2</v>
      </c>
    </row>
    <row r="69" spans="1:35">
      <c r="A69" t="s">
        <v>1651</v>
      </c>
      <c r="B69" t="s">
        <v>1722</v>
      </c>
      <c r="C69" t="s">
        <v>1723</v>
      </c>
      <c r="D69" t="s">
        <v>387</v>
      </c>
      <c r="F69">
        <v>91.279387999999997</v>
      </c>
      <c r="G69">
        <v>154.35865799999999</v>
      </c>
      <c r="H69">
        <v>219.66423</v>
      </c>
      <c r="I69">
        <v>276.06451399999997</v>
      </c>
      <c r="J69">
        <v>317.25155599999999</v>
      </c>
      <c r="K69">
        <v>343.596405</v>
      </c>
      <c r="L69">
        <v>367.34390300000001</v>
      </c>
      <c r="M69">
        <v>382.82449300000002</v>
      </c>
      <c r="N69">
        <v>398.53997800000002</v>
      </c>
      <c r="O69">
        <v>414.53860500000002</v>
      </c>
      <c r="P69">
        <v>430.96127300000001</v>
      </c>
      <c r="Q69">
        <v>447.81228599999997</v>
      </c>
      <c r="R69">
        <v>465.11679099999998</v>
      </c>
      <c r="S69">
        <v>482.90234400000003</v>
      </c>
      <c r="T69">
        <v>500.96951300000001</v>
      </c>
      <c r="U69">
        <v>519.50836200000003</v>
      </c>
      <c r="V69">
        <v>538.54644800000005</v>
      </c>
      <c r="W69">
        <v>558.08233600000005</v>
      </c>
      <c r="X69">
        <v>578.15362500000003</v>
      </c>
      <c r="Y69">
        <v>598.50408900000002</v>
      </c>
      <c r="Z69">
        <v>619.32586700000002</v>
      </c>
      <c r="AA69">
        <v>640.64349400000003</v>
      </c>
      <c r="AB69">
        <v>662.47534199999996</v>
      </c>
      <c r="AC69">
        <v>684.81463599999995</v>
      </c>
      <c r="AD69">
        <v>707.22051999999996</v>
      </c>
      <c r="AE69">
        <v>730.06036400000005</v>
      </c>
      <c r="AF69">
        <v>753.42486599999995</v>
      </c>
      <c r="AG69">
        <v>777.34991500000001</v>
      </c>
      <c r="AH69">
        <v>801.87402299999997</v>
      </c>
      <c r="AI69" s="31">
        <v>8.1000000000000003E-2</v>
      </c>
    </row>
    <row r="70" spans="1:35">
      <c r="A70" t="s">
        <v>1654</v>
      </c>
      <c r="B70" t="s">
        <v>1724</v>
      </c>
      <c r="C70" t="s">
        <v>1725</v>
      </c>
      <c r="D70" t="s">
        <v>387</v>
      </c>
      <c r="F70">
        <v>90.713904999999997</v>
      </c>
      <c r="G70">
        <v>125.583687</v>
      </c>
      <c r="H70">
        <v>164.386169</v>
      </c>
      <c r="I70">
        <v>199.255966</v>
      </c>
      <c r="J70">
        <v>225.73603800000001</v>
      </c>
      <c r="K70">
        <v>243.039841</v>
      </c>
      <c r="L70">
        <v>259.55712899999997</v>
      </c>
      <c r="M70">
        <v>272.453125</v>
      </c>
      <c r="N70">
        <v>285.794647</v>
      </c>
      <c r="O70">
        <v>299.19274899999999</v>
      </c>
      <c r="P70">
        <v>313.14953600000001</v>
      </c>
      <c r="Q70">
        <v>327.69116200000002</v>
      </c>
      <c r="R70">
        <v>342.84011800000002</v>
      </c>
      <c r="S70">
        <v>358.61981200000002</v>
      </c>
      <c r="T70">
        <v>374.87417599999998</v>
      </c>
      <c r="U70">
        <v>391.79058800000001</v>
      </c>
      <c r="V70">
        <v>409.39093000000003</v>
      </c>
      <c r="W70">
        <v>427.69464099999999</v>
      </c>
      <c r="X70">
        <v>446.72839399999998</v>
      </c>
      <c r="Y70">
        <v>466.348389</v>
      </c>
      <c r="Z70">
        <v>486.73355099999998</v>
      </c>
      <c r="AA70">
        <v>507.90823399999999</v>
      </c>
      <c r="AB70">
        <v>529.89691200000004</v>
      </c>
      <c r="AC70">
        <v>552.73230000000001</v>
      </c>
      <c r="AD70">
        <v>576.19653300000004</v>
      </c>
      <c r="AE70">
        <v>600.54156499999999</v>
      </c>
      <c r="AF70">
        <v>625.79742399999998</v>
      </c>
      <c r="AG70">
        <v>651.99127199999998</v>
      </c>
      <c r="AH70">
        <v>679.15313700000002</v>
      </c>
      <c r="AI70" s="31">
        <v>7.4999999999999997E-2</v>
      </c>
    </row>
    <row r="71" spans="1:35">
      <c r="A71" t="s">
        <v>432</v>
      </c>
      <c r="B71" t="s">
        <v>1726</v>
      </c>
      <c r="C71" t="s">
        <v>1727</v>
      </c>
      <c r="D71" t="s">
        <v>387</v>
      </c>
      <c r="F71">
        <v>41.477749000000003</v>
      </c>
      <c r="G71">
        <v>56.116959000000001</v>
      </c>
      <c r="H71">
        <v>70.654503000000005</v>
      </c>
      <c r="I71">
        <v>82.650513000000004</v>
      </c>
      <c r="J71">
        <v>91.190062999999995</v>
      </c>
      <c r="K71">
        <v>96.476439999999997</v>
      </c>
      <c r="L71">
        <v>100.644547</v>
      </c>
      <c r="M71">
        <v>105.10861199999999</v>
      </c>
      <c r="N71">
        <v>109.777794</v>
      </c>
      <c r="O71">
        <v>114.634125</v>
      </c>
      <c r="P71">
        <v>119.654022</v>
      </c>
      <c r="Q71">
        <v>124.82345599999999</v>
      </c>
      <c r="R71">
        <v>130.140533</v>
      </c>
      <c r="S71">
        <v>135.60420199999999</v>
      </c>
      <c r="T71">
        <v>141.26831100000001</v>
      </c>
      <c r="U71">
        <v>147.09477200000001</v>
      </c>
      <c r="V71">
        <v>153.074432</v>
      </c>
      <c r="W71">
        <v>159.205353</v>
      </c>
      <c r="X71">
        <v>165.49443099999999</v>
      </c>
      <c r="Y71">
        <v>171.99311800000001</v>
      </c>
      <c r="Z71">
        <v>178.657501</v>
      </c>
      <c r="AA71">
        <v>185.48194899999999</v>
      </c>
      <c r="AB71">
        <v>192.46803299999999</v>
      </c>
      <c r="AC71">
        <v>199.62287900000001</v>
      </c>
      <c r="AD71">
        <v>206.99113500000001</v>
      </c>
      <c r="AE71">
        <v>214.53208900000001</v>
      </c>
      <c r="AF71">
        <v>222.241882</v>
      </c>
      <c r="AG71">
        <v>230.12132299999999</v>
      </c>
      <c r="AH71">
        <v>238.176727</v>
      </c>
      <c r="AI71" s="31">
        <v>6.4000000000000001E-2</v>
      </c>
    </row>
    <row r="72" spans="1:35">
      <c r="A72" t="s">
        <v>1659</v>
      </c>
      <c r="B72" t="s">
        <v>1728</v>
      </c>
      <c r="C72" t="s">
        <v>1729</v>
      </c>
      <c r="D72" t="s">
        <v>387</v>
      </c>
      <c r="F72">
        <v>18.422384000000001</v>
      </c>
      <c r="G72">
        <v>24.921766000000002</v>
      </c>
      <c r="H72">
        <v>31.286677999999998</v>
      </c>
      <c r="I72">
        <v>36.531010000000002</v>
      </c>
      <c r="J72">
        <v>40.251339000000002</v>
      </c>
      <c r="K72">
        <v>42.582152999999998</v>
      </c>
      <c r="L72">
        <v>44.375087999999998</v>
      </c>
      <c r="M72">
        <v>45.552967000000002</v>
      </c>
      <c r="N72">
        <v>46.643486000000003</v>
      </c>
      <c r="O72">
        <v>47.615417000000001</v>
      </c>
      <c r="P72">
        <v>48.534264</v>
      </c>
      <c r="Q72">
        <v>49.396385000000002</v>
      </c>
      <c r="R72">
        <v>50.197502</v>
      </c>
      <c r="S72">
        <v>50.933815000000003</v>
      </c>
      <c r="T72">
        <v>51.605465000000002</v>
      </c>
      <c r="U72">
        <v>52.221404999999997</v>
      </c>
      <c r="V72">
        <v>52.787604999999999</v>
      </c>
      <c r="W72">
        <v>53.310012999999998</v>
      </c>
      <c r="X72">
        <v>53.794593999999996</v>
      </c>
      <c r="Y72">
        <v>54.246001999999997</v>
      </c>
      <c r="Z72">
        <v>54.667313</v>
      </c>
      <c r="AA72">
        <v>55.060822000000002</v>
      </c>
      <c r="AB72">
        <v>55.427867999999997</v>
      </c>
      <c r="AC72">
        <v>55.770457999999998</v>
      </c>
      <c r="AD72">
        <v>56.094085999999997</v>
      </c>
      <c r="AE72">
        <v>56.398609</v>
      </c>
      <c r="AF72">
        <v>56.681601999999998</v>
      </c>
      <c r="AG72">
        <v>56.938384999999997</v>
      </c>
      <c r="AH72">
        <v>57.168449000000003</v>
      </c>
      <c r="AI72" s="31">
        <v>4.1000000000000002E-2</v>
      </c>
    </row>
    <row r="73" spans="1:35">
      <c r="A73" t="s">
        <v>1662</v>
      </c>
      <c r="B73" t="s">
        <v>1730</v>
      </c>
      <c r="C73" t="s">
        <v>1731</v>
      </c>
      <c r="D73" t="s">
        <v>387</v>
      </c>
      <c r="F73">
        <v>37.358677</v>
      </c>
      <c r="G73">
        <v>50.538738000000002</v>
      </c>
      <c r="H73">
        <v>63.446117000000001</v>
      </c>
      <c r="I73">
        <v>74.081069999999997</v>
      </c>
      <c r="J73">
        <v>81.625525999999994</v>
      </c>
      <c r="K73">
        <v>86.352164999999999</v>
      </c>
      <c r="L73">
        <v>89.988045</v>
      </c>
      <c r="M73">
        <v>93.229279000000005</v>
      </c>
      <c r="N73">
        <v>96.518051</v>
      </c>
      <c r="O73">
        <v>99.834007</v>
      </c>
      <c r="P73">
        <v>103.228836</v>
      </c>
      <c r="Q73">
        <v>106.711052</v>
      </c>
      <c r="R73">
        <v>110.286186</v>
      </c>
      <c r="S73">
        <v>113.95946499999999</v>
      </c>
      <c r="T73">
        <v>117.72137499999999</v>
      </c>
      <c r="U73">
        <v>121.58760100000001</v>
      </c>
      <c r="V73">
        <v>125.559944</v>
      </c>
      <c r="W73">
        <v>129.63948099999999</v>
      </c>
      <c r="X73">
        <v>133.82646199999999</v>
      </c>
      <c r="Y73">
        <v>138.11544799999999</v>
      </c>
      <c r="Z73">
        <v>142.51733400000001</v>
      </c>
      <c r="AA73">
        <v>147.03389000000001</v>
      </c>
      <c r="AB73">
        <v>151.667145</v>
      </c>
      <c r="AC73">
        <v>156.41830400000001</v>
      </c>
      <c r="AD73">
        <v>161.26028400000001</v>
      </c>
      <c r="AE73">
        <v>166.222961</v>
      </c>
      <c r="AF73">
        <v>171.310562</v>
      </c>
      <c r="AG73">
        <v>176.52694700000001</v>
      </c>
      <c r="AH73">
        <v>181.87539699999999</v>
      </c>
      <c r="AI73" s="31">
        <v>5.8000000000000003E-2</v>
      </c>
    </row>
    <row r="74" spans="1:35">
      <c r="A74" t="s">
        <v>1732</v>
      </c>
      <c r="B74" t="s">
        <v>1733</v>
      </c>
      <c r="C74" t="s">
        <v>1734</v>
      </c>
      <c r="D74" t="s">
        <v>387</v>
      </c>
      <c r="F74">
        <v>1060.8295900000001</v>
      </c>
      <c r="G74">
        <v>1535.6385499999999</v>
      </c>
      <c r="H74">
        <v>1956.2210689999999</v>
      </c>
      <c r="I74">
        <v>2270.5656739999999</v>
      </c>
      <c r="J74">
        <v>2499.8393550000001</v>
      </c>
      <c r="K74">
        <v>2631.3684079999998</v>
      </c>
      <c r="L74">
        <v>2745.3615719999998</v>
      </c>
      <c r="M74">
        <v>2832.9101559999999</v>
      </c>
      <c r="N74">
        <v>2920.7680660000001</v>
      </c>
      <c r="O74">
        <v>3009.3168949999999</v>
      </c>
      <c r="P74">
        <v>3100.5822750000002</v>
      </c>
      <c r="Q74">
        <v>3194.6989749999998</v>
      </c>
      <c r="R74">
        <v>3290.7622070000002</v>
      </c>
      <c r="S74">
        <v>3389.0178219999998</v>
      </c>
      <c r="T74">
        <v>3489.9655760000001</v>
      </c>
      <c r="U74">
        <v>3593.9096679999998</v>
      </c>
      <c r="V74">
        <v>3700.5131839999999</v>
      </c>
      <c r="W74">
        <v>3809.749268</v>
      </c>
      <c r="X74">
        <v>3923.133057</v>
      </c>
      <c r="Y74">
        <v>4039.024414</v>
      </c>
      <c r="Z74">
        <v>4158.0786129999997</v>
      </c>
      <c r="AA74">
        <v>4280.3164059999999</v>
      </c>
      <c r="AB74">
        <v>4405.0268550000001</v>
      </c>
      <c r="AC74">
        <v>4532.1254879999997</v>
      </c>
      <c r="AD74">
        <v>4661.328125</v>
      </c>
      <c r="AE74">
        <v>4794.0234380000002</v>
      </c>
      <c r="AF74">
        <v>4929.7426759999998</v>
      </c>
      <c r="AG74">
        <v>5068.4580079999996</v>
      </c>
      <c r="AH74">
        <v>5211.2783200000003</v>
      </c>
      <c r="AI74" s="31">
        <v>5.8000000000000003E-2</v>
      </c>
    </row>
    <row r="75" spans="1:35">
      <c r="A75" t="s">
        <v>118</v>
      </c>
      <c r="B75" t="s">
        <v>1735</v>
      </c>
      <c r="C75" t="s">
        <v>1734</v>
      </c>
      <c r="D75" t="s">
        <v>387</v>
      </c>
      <c r="F75">
        <v>3092.2739259999998</v>
      </c>
      <c r="G75">
        <v>3863.8820799999999</v>
      </c>
      <c r="H75">
        <v>4490.5029299999997</v>
      </c>
      <c r="I75">
        <v>4951.5483400000003</v>
      </c>
      <c r="J75">
        <v>5295.1601559999999</v>
      </c>
      <c r="K75">
        <v>5530.0249020000001</v>
      </c>
      <c r="L75">
        <v>5746.6953119999998</v>
      </c>
      <c r="M75">
        <v>5935.4648440000001</v>
      </c>
      <c r="N75">
        <v>6122.9189450000003</v>
      </c>
      <c r="O75">
        <v>6312.8193359999996</v>
      </c>
      <c r="P75">
        <v>6510.8081050000001</v>
      </c>
      <c r="Q75">
        <v>6715.1289059999999</v>
      </c>
      <c r="R75">
        <v>6922.3872069999998</v>
      </c>
      <c r="S75">
        <v>7133.4599609999996</v>
      </c>
      <c r="T75">
        <v>7350.3686520000001</v>
      </c>
      <c r="U75">
        <v>7573.517578</v>
      </c>
      <c r="V75">
        <v>7801.689453</v>
      </c>
      <c r="W75">
        <v>8034.498047</v>
      </c>
      <c r="X75">
        <v>8276.6923829999996</v>
      </c>
      <c r="Y75">
        <v>8523.6396480000003</v>
      </c>
      <c r="Z75">
        <v>8776.7744139999995</v>
      </c>
      <c r="AA75">
        <v>9036.0351559999999</v>
      </c>
      <c r="AB75">
        <v>9298.7636719999991</v>
      </c>
      <c r="AC75">
        <v>9564.3017579999996</v>
      </c>
      <c r="AD75">
        <v>9832.75</v>
      </c>
      <c r="AE75">
        <v>10107.600586</v>
      </c>
      <c r="AF75">
        <v>10386.885742</v>
      </c>
      <c r="AG75">
        <v>10669.858398</v>
      </c>
      <c r="AH75">
        <v>10959.380859000001</v>
      </c>
      <c r="AI75" s="31">
        <v>4.5999999999999999E-2</v>
      </c>
    </row>
    <row r="76" spans="1:35">
      <c r="A76" t="s">
        <v>441</v>
      </c>
    </row>
    <row r="77" spans="1:35">
      <c r="A77" t="s">
        <v>427</v>
      </c>
      <c r="B77" t="s">
        <v>1736</v>
      </c>
      <c r="C77" t="s">
        <v>1737</v>
      </c>
      <c r="D77" t="s">
        <v>387</v>
      </c>
      <c r="F77">
        <v>47.902061000000003</v>
      </c>
      <c r="G77">
        <v>47.890633000000001</v>
      </c>
      <c r="H77">
        <v>48.038204</v>
      </c>
      <c r="I77">
        <v>48.550663</v>
      </c>
      <c r="J77">
        <v>49.413074000000002</v>
      </c>
      <c r="K77">
        <v>50.314349999999997</v>
      </c>
      <c r="L77">
        <v>51.184040000000003</v>
      </c>
      <c r="M77">
        <v>51.994289000000002</v>
      </c>
      <c r="N77">
        <v>52.748179999999998</v>
      </c>
      <c r="O77">
        <v>53.550033999999997</v>
      </c>
      <c r="P77">
        <v>54.533695000000002</v>
      </c>
      <c r="Q77">
        <v>55.631897000000002</v>
      </c>
      <c r="R77">
        <v>56.744064000000002</v>
      </c>
      <c r="S77">
        <v>57.884483000000003</v>
      </c>
      <c r="T77">
        <v>59.114531999999997</v>
      </c>
      <c r="U77">
        <v>60.431891999999998</v>
      </c>
      <c r="V77">
        <v>61.800179</v>
      </c>
      <c r="W77">
        <v>63.197701000000002</v>
      </c>
      <c r="X77">
        <v>64.731223999999997</v>
      </c>
      <c r="Y77">
        <v>66.278328000000002</v>
      </c>
      <c r="Z77">
        <v>67.864982999999995</v>
      </c>
      <c r="AA77">
        <v>69.503112999999999</v>
      </c>
      <c r="AB77">
        <v>71.136123999999995</v>
      </c>
      <c r="AC77">
        <v>72.764045999999993</v>
      </c>
      <c r="AD77">
        <v>74.430274999999995</v>
      </c>
      <c r="AE77">
        <v>76.193152999999995</v>
      </c>
      <c r="AF77">
        <v>77.994986999999995</v>
      </c>
      <c r="AG77">
        <v>79.825203000000002</v>
      </c>
      <c r="AH77">
        <v>81.772209000000004</v>
      </c>
      <c r="AI77" s="31">
        <v>1.9E-2</v>
      </c>
    </row>
    <row r="78" spans="1:35">
      <c r="A78" t="s">
        <v>428</v>
      </c>
      <c r="B78" t="s">
        <v>1738</v>
      </c>
      <c r="C78" t="s">
        <v>1739</v>
      </c>
      <c r="D78" t="s">
        <v>387</v>
      </c>
      <c r="F78">
        <v>1.0062629999999999</v>
      </c>
      <c r="G78">
        <v>1.0441499999999999</v>
      </c>
      <c r="H78">
        <v>1.0762890000000001</v>
      </c>
      <c r="I78">
        <v>1.1045970000000001</v>
      </c>
      <c r="J78">
        <v>1.1287959999999999</v>
      </c>
      <c r="K78">
        <v>1.1493180000000001</v>
      </c>
      <c r="L78">
        <v>1.1671069999999999</v>
      </c>
      <c r="M78">
        <v>1.1826779999999999</v>
      </c>
      <c r="N78">
        <v>1.1963220000000001</v>
      </c>
      <c r="O78">
        <v>1.208356</v>
      </c>
      <c r="P78">
        <v>1.219001</v>
      </c>
      <c r="Q78">
        <v>1.2284360000000001</v>
      </c>
      <c r="R78">
        <v>1.2368399999999999</v>
      </c>
      <c r="S78">
        <v>1.2443679999999999</v>
      </c>
      <c r="T78">
        <v>1.2511509999999999</v>
      </c>
      <c r="U78">
        <v>1.2572989999999999</v>
      </c>
      <c r="V78">
        <v>1.2629079999999999</v>
      </c>
      <c r="W78">
        <v>1.2680560000000001</v>
      </c>
      <c r="X78">
        <v>1.2728120000000001</v>
      </c>
      <c r="Y78">
        <v>1.2772349999999999</v>
      </c>
      <c r="Z78">
        <v>1.281374</v>
      </c>
      <c r="AA78">
        <v>1.285269</v>
      </c>
      <c r="AB78">
        <v>1.2889569999999999</v>
      </c>
      <c r="AC78">
        <v>1.2924690000000001</v>
      </c>
      <c r="AD78">
        <v>1.2958289999999999</v>
      </c>
      <c r="AE78">
        <v>1.299059</v>
      </c>
      <c r="AF78">
        <v>1.302179</v>
      </c>
      <c r="AG78">
        <v>1.3052029999999999</v>
      </c>
      <c r="AH78">
        <v>1.3081449999999999</v>
      </c>
      <c r="AI78" s="31">
        <v>8.9999999999999993E-3</v>
      </c>
    </row>
    <row r="79" spans="1:35">
      <c r="A79" t="s">
        <v>1625</v>
      </c>
      <c r="B79" t="s">
        <v>1740</v>
      </c>
      <c r="C79" t="s">
        <v>1741</v>
      </c>
      <c r="D79" t="s">
        <v>387</v>
      </c>
      <c r="F79">
        <v>2.2818999999999998</v>
      </c>
      <c r="G79">
        <v>2.3426399999999998</v>
      </c>
      <c r="H79">
        <v>2.4650479999999999</v>
      </c>
      <c r="I79">
        <v>2.5995650000000001</v>
      </c>
      <c r="J79">
        <v>2.734801</v>
      </c>
      <c r="K79">
        <v>2.8735569999999999</v>
      </c>
      <c r="L79">
        <v>3.0144679999999999</v>
      </c>
      <c r="M79">
        <v>3.1632699999999998</v>
      </c>
      <c r="N79">
        <v>3.3243580000000001</v>
      </c>
      <c r="O79">
        <v>3.4972789999999998</v>
      </c>
      <c r="P79">
        <v>3.6855220000000002</v>
      </c>
      <c r="Q79">
        <v>3.8840870000000001</v>
      </c>
      <c r="R79">
        <v>4.0934869999999997</v>
      </c>
      <c r="S79">
        <v>4.3137239999999997</v>
      </c>
      <c r="T79">
        <v>4.5410490000000001</v>
      </c>
      <c r="U79">
        <v>4.7785919999999997</v>
      </c>
      <c r="V79">
        <v>5.0267689999999998</v>
      </c>
      <c r="W79">
        <v>5.2857289999999999</v>
      </c>
      <c r="X79">
        <v>5.555498</v>
      </c>
      <c r="Y79">
        <v>5.8253459999999997</v>
      </c>
      <c r="Z79">
        <v>6.1047849999999997</v>
      </c>
      <c r="AA79">
        <v>6.3940640000000002</v>
      </c>
      <c r="AB79">
        <v>6.693174</v>
      </c>
      <c r="AC79">
        <v>7.0021630000000004</v>
      </c>
      <c r="AD79">
        <v>7.3102840000000002</v>
      </c>
      <c r="AE79">
        <v>7.6272060000000002</v>
      </c>
      <c r="AF79">
        <v>7.9528179999999997</v>
      </c>
      <c r="AG79">
        <v>8.2870039999999996</v>
      </c>
      <c r="AH79">
        <v>8.6297200000000007</v>
      </c>
      <c r="AI79" s="31">
        <v>4.9000000000000002E-2</v>
      </c>
    </row>
    <row r="80" spans="1:35">
      <c r="A80" t="s">
        <v>1628</v>
      </c>
      <c r="B80" t="s">
        <v>1742</v>
      </c>
      <c r="C80" t="s">
        <v>1743</v>
      </c>
      <c r="D80" t="s">
        <v>387</v>
      </c>
      <c r="F80">
        <v>21.343447000000001</v>
      </c>
      <c r="G80">
        <v>23.328316000000001</v>
      </c>
      <c r="H80">
        <v>25.259329000000001</v>
      </c>
      <c r="I80">
        <v>26.844503</v>
      </c>
      <c r="J80">
        <v>28.220020000000002</v>
      </c>
      <c r="K80">
        <v>29.476091</v>
      </c>
      <c r="L80">
        <v>30.638822999999999</v>
      </c>
      <c r="M80">
        <v>31.743164</v>
      </c>
      <c r="N80">
        <v>32.806507000000003</v>
      </c>
      <c r="O80">
        <v>33.836029000000003</v>
      </c>
      <c r="P80">
        <v>34.844954999999999</v>
      </c>
      <c r="Q80">
        <v>35.848754999999997</v>
      </c>
      <c r="R80">
        <v>36.846347999999999</v>
      </c>
      <c r="S80">
        <v>37.830382999999998</v>
      </c>
      <c r="T80">
        <v>38.820450000000001</v>
      </c>
      <c r="U80">
        <v>39.828896</v>
      </c>
      <c r="V80">
        <v>40.849742999999997</v>
      </c>
      <c r="W80">
        <v>41.884875999999998</v>
      </c>
      <c r="X80">
        <v>42.945388999999999</v>
      </c>
      <c r="Y80">
        <v>44.021434999999997</v>
      </c>
      <c r="Z80">
        <v>45.112003000000001</v>
      </c>
      <c r="AA80">
        <v>46.216866000000003</v>
      </c>
      <c r="AB80">
        <v>47.334282000000002</v>
      </c>
      <c r="AC80">
        <v>48.465243999999998</v>
      </c>
      <c r="AD80">
        <v>49.616309999999999</v>
      </c>
      <c r="AE80">
        <v>50.789515999999999</v>
      </c>
      <c r="AF80">
        <v>51.988506000000001</v>
      </c>
      <c r="AG80">
        <v>53.218521000000003</v>
      </c>
      <c r="AH80">
        <v>54.480499000000002</v>
      </c>
      <c r="AI80" s="31">
        <v>3.4000000000000002E-2</v>
      </c>
    </row>
    <row r="81" spans="1:35">
      <c r="A81" t="s">
        <v>1631</v>
      </c>
      <c r="B81" t="s">
        <v>1744</v>
      </c>
      <c r="C81" t="s">
        <v>1745</v>
      </c>
      <c r="D81" t="s">
        <v>387</v>
      </c>
      <c r="F81">
        <v>4.273352</v>
      </c>
      <c r="G81">
        <v>4.4791809999999996</v>
      </c>
      <c r="H81">
        <v>4.6452540000000004</v>
      </c>
      <c r="I81">
        <v>4.7855220000000003</v>
      </c>
      <c r="J81">
        <v>4.8974130000000002</v>
      </c>
      <c r="K81">
        <v>4.9908710000000003</v>
      </c>
      <c r="L81">
        <v>5.0685380000000002</v>
      </c>
      <c r="M81">
        <v>5.1330119999999999</v>
      </c>
      <c r="N81">
        <v>5.1861550000000003</v>
      </c>
      <c r="O81">
        <v>5.229876</v>
      </c>
      <c r="P81">
        <v>5.2663859999999998</v>
      </c>
      <c r="Q81">
        <v>5.2975640000000004</v>
      </c>
      <c r="R81">
        <v>5.3242719999999997</v>
      </c>
      <c r="S81">
        <v>5.3471760000000002</v>
      </c>
      <c r="T81">
        <v>5.3668380000000004</v>
      </c>
      <c r="U81">
        <v>5.3837380000000001</v>
      </c>
      <c r="V81">
        <v>5.398288</v>
      </c>
      <c r="W81">
        <v>5.4108229999999997</v>
      </c>
      <c r="X81">
        <v>5.4216280000000001</v>
      </c>
      <c r="Y81">
        <v>5.4309770000000004</v>
      </c>
      <c r="Z81">
        <v>5.4390599999999996</v>
      </c>
      <c r="AA81">
        <v>5.4460730000000002</v>
      </c>
      <c r="AB81">
        <v>5.4522899999999996</v>
      </c>
      <c r="AC81">
        <v>5.4581390000000001</v>
      </c>
      <c r="AD81">
        <v>5.4639499999999996</v>
      </c>
      <c r="AE81">
        <v>5.4698690000000001</v>
      </c>
      <c r="AF81">
        <v>5.4759849999999997</v>
      </c>
      <c r="AG81">
        <v>5.4823639999999996</v>
      </c>
      <c r="AH81">
        <v>5.4890670000000004</v>
      </c>
      <c r="AI81" s="31">
        <v>8.9999999999999993E-3</v>
      </c>
    </row>
    <row r="82" spans="1:35">
      <c r="A82" t="s">
        <v>1634</v>
      </c>
      <c r="B82" t="s">
        <v>1746</v>
      </c>
      <c r="C82" t="s">
        <v>1747</v>
      </c>
      <c r="D82" t="s">
        <v>387</v>
      </c>
      <c r="F82">
        <v>1.375221</v>
      </c>
      <c r="G82">
        <v>1.4571829999999999</v>
      </c>
      <c r="H82">
        <v>1.532079</v>
      </c>
      <c r="I82">
        <v>1.599677</v>
      </c>
      <c r="J82">
        <v>1.6609389999999999</v>
      </c>
      <c r="K82">
        <v>1.716998</v>
      </c>
      <c r="L82">
        <v>1.7685759999999999</v>
      </c>
      <c r="M82">
        <v>1.8164849999999999</v>
      </c>
      <c r="N82">
        <v>1.861445</v>
      </c>
      <c r="O82">
        <v>1.9036090000000001</v>
      </c>
      <c r="P82">
        <v>1.9428510000000001</v>
      </c>
      <c r="Q82">
        <v>1.979757</v>
      </c>
      <c r="R82">
        <v>2.0146850000000001</v>
      </c>
      <c r="S82">
        <v>2.0465460000000002</v>
      </c>
      <c r="T82">
        <v>2.0765380000000002</v>
      </c>
      <c r="U82">
        <v>2.105925</v>
      </c>
      <c r="V82">
        <v>2.1345260000000001</v>
      </c>
      <c r="W82">
        <v>2.1616379999999999</v>
      </c>
      <c r="X82">
        <v>2.187468</v>
      </c>
      <c r="Y82">
        <v>2.2126380000000001</v>
      </c>
      <c r="Z82">
        <v>2.2373310000000002</v>
      </c>
      <c r="AA82">
        <v>2.2616049999999999</v>
      </c>
      <c r="AB82">
        <v>2.2854969999999999</v>
      </c>
      <c r="AC82">
        <v>2.309015</v>
      </c>
      <c r="AD82">
        <v>2.332131</v>
      </c>
      <c r="AE82">
        <v>2.3548879999999999</v>
      </c>
      <c r="AF82">
        <v>2.3775210000000002</v>
      </c>
      <c r="AG82">
        <v>2.4000759999999999</v>
      </c>
      <c r="AH82">
        <v>2.4225569999999998</v>
      </c>
      <c r="AI82" s="31">
        <v>0.02</v>
      </c>
    </row>
    <row r="83" spans="1:35">
      <c r="A83" t="s">
        <v>1637</v>
      </c>
      <c r="B83" t="s">
        <v>1748</v>
      </c>
      <c r="C83" t="s">
        <v>1749</v>
      </c>
      <c r="D83" t="s">
        <v>387</v>
      </c>
      <c r="F83">
        <v>5.6156360000000003</v>
      </c>
      <c r="G83">
        <v>5.721063</v>
      </c>
      <c r="H83">
        <v>5.844652</v>
      </c>
      <c r="I83">
        <v>5.9630590000000003</v>
      </c>
      <c r="J83">
        <v>6.0691499999999996</v>
      </c>
      <c r="K83">
        <v>6.1706940000000001</v>
      </c>
      <c r="L83">
        <v>6.2710540000000004</v>
      </c>
      <c r="M83">
        <v>6.3695250000000003</v>
      </c>
      <c r="N83">
        <v>6.4658889999999998</v>
      </c>
      <c r="O83">
        <v>6.5450280000000003</v>
      </c>
      <c r="P83">
        <v>6.5985740000000002</v>
      </c>
      <c r="Q83">
        <v>6.6477339999999998</v>
      </c>
      <c r="R83">
        <v>6.6966850000000004</v>
      </c>
      <c r="S83">
        <v>6.7442919999999997</v>
      </c>
      <c r="T83">
        <v>6.7915340000000004</v>
      </c>
      <c r="U83">
        <v>6.833717</v>
      </c>
      <c r="V83">
        <v>6.8710649999999998</v>
      </c>
      <c r="W83">
        <v>6.9078999999999997</v>
      </c>
      <c r="X83">
        <v>6.9470710000000002</v>
      </c>
      <c r="Y83">
        <v>6.9914050000000003</v>
      </c>
      <c r="Z83">
        <v>7.0396000000000001</v>
      </c>
      <c r="AA83">
        <v>7.0887419999999999</v>
      </c>
      <c r="AB83">
        <v>7.1380210000000002</v>
      </c>
      <c r="AC83">
        <v>7.185943</v>
      </c>
      <c r="AD83">
        <v>7.2306369999999998</v>
      </c>
      <c r="AE83">
        <v>7.2718730000000003</v>
      </c>
      <c r="AF83">
        <v>7.3117710000000002</v>
      </c>
      <c r="AG83">
        <v>7.3521929999999998</v>
      </c>
      <c r="AH83">
        <v>7.3943680000000001</v>
      </c>
      <c r="AI83" s="31">
        <v>0.01</v>
      </c>
    </row>
    <row r="84" spans="1:35">
      <c r="A84" t="s">
        <v>1640</v>
      </c>
      <c r="B84" t="s">
        <v>1750</v>
      </c>
      <c r="C84" t="s">
        <v>1751</v>
      </c>
      <c r="D84" t="s">
        <v>387</v>
      </c>
      <c r="F84">
        <v>0.63681100000000002</v>
      </c>
      <c r="G84">
        <v>0.61521599999999999</v>
      </c>
      <c r="H84">
        <v>0.63014599999999998</v>
      </c>
      <c r="I84">
        <v>0.64219700000000002</v>
      </c>
      <c r="J84">
        <v>0.65244100000000005</v>
      </c>
      <c r="K84">
        <v>0.66163000000000005</v>
      </c>
      <c r="L84">
        <v>0.67073499999999997</v>
      </c>
      <c r="M84">
        <v>0.67983400000000005</v>
      </c>
      <c r="N84">
        <v>0.68894900000000003</v>
      </c>
      <c r="O84">
        <v>0.69872299999999998</v>
      </c>
      <c r="P84">
        <v>0.70891099999999996</v>
      </c>
      <c r="Q84">
        <v>0.719198</v>
      </c>
      <c r="R84">
        <v>0.72959399999999996</v>
      </c>
      <c r="S84">
        <v>0.74011099999999996</v>
      </c>
      <c r="T84">
        <v>0.75076200000000004</v>
      </c>
      <c r="U84">
        <v>0.76155399999999995</v>
      </c>
      <c r="V84">
        <v>0.77249699999999999</v>
      </c>
      <c r="W84">
        <v>0.78360099999999999</v>
      </c>
      <c r="X84">
        <v>0.79486900000000005</v>
      </c>
      <c r="Y84">
        <v>0.80631200000000003</v>
      </c>
      <c r="Z84">
        <v>0.81793700000000003</v>
      </c>
      <c r="AA84">
        <v>0.82974300000000001</v>
      </c>
      <c r="AB84">
        <v>0.84174700000000002</v>
      </c>
      <c r="AC84">
        <v>0.85394800000000004</v>
      </c>
      <c r="AD84">
        <v>0.86635099999999998</v>
      </c>
      <c r="AE84">
        <v>0.87896399999999997</v>
      </c>
      <c r="AF84">
        <v>0.89179200000000003</v>
      </c>
      <c r="AG84">
        <v>0.90484100000000001</v>
      </c>
      <c r="AH84">
        <v>0.91811299999999996</v>
      </c>
      <c r="AI84" s="31">
        <v>1.2999999999999999E-2</v>
      </c>
    </row>
    <row r="85" spans="1:35">
      <c r="A85" t="s">
        <v>1643</v>
      </c>
      <c r="B85" t="s">
        <v>1752</v>
      </c>
      <c r="C85" t="s">
        <v>1753</v>
      </c>
      <c r="D85" t="s">
        <v>387</v>
      </c>
      <c r="F85">
        <v>6.5872E-2</v>
      </c>
      <c r="G85">
        <v>7.6454999999999995E-2</v>
      </c>
      <c r="H85">
        <v>8.6470000000000005E-2</v>
      </c>
      <c r="I85">
        <v>9.5138E-2</v>
      </c>
      <c r="J85">
        <v>0.102715</v>
      </c>
      <c r="K85">
        <v>0.109502</v>
      </c>
      <c r="L85">
        <v>0.115657</v>
      </c>
      <c r="M85">
        <v>0.12130299999999999</v>
      </c>
      <c r="N85">
        <v>0.12654799999999999</v>
      </c>
      <c r="O85">
        <v>0.13158</v>
      </c>
      <c r="P85">
        <v>0.136382</v>
      </c>
      <c r="Q85">
        <v>0.14097000000000001</v>
      </c>
      <c r="R85">
        <v>0.145394</v>
      </c>
      <c r="S85">
        <v>0.149704</v>
      </c>
      <c r="T85">
        <v>0.15374499999999999</v>
      </c>
      <c r="U85">
        <v>0.15770600000000001</v>
      </c>
      <c r="V85">
        <v>0.16161400000000001</v>
      </c>
      <c r="W85">
        <v>0.16548399999999999</v>
      </c>
      <c r="X85">
        <v>0.16933799999999999</v>
      </c>
      <c r="Y85">
        <v>0.17303499999999999</v>
      </c>
      <c r="Z85">
        <v>0.176734</v>
      </c>
      <c r="AA85">
        <v>0.180452</v>
      </c>
      <c r="AB85">
        <v>0.184201</v>
      </c>
      <c r="AC85">
        <v>0.18798899999999999</v>
      </c>
      <c r="AD85">
        <v>0.191688</v>
      </c>
      <c r="AE85">
        <v>0.19542999999999999</v>
      </c>
      <c r="AF85">
        <v>0.19922300000000001</v>
      </c>
      <c r="AG85">
        <v>0.203068</v>
      </c>
      <c r="AH85">
        <v>0.20696800000000001</v>
      </c>
      <c r="AI85" s="31">
        <v>4.2000000000000003E-2</v>
      </c>
    </row>
    <row r="86" spans="1:35">
      <c r="A86" t="s">
        <v>435</v>
      </c>
      <c r="B86" t="s">
        <v>1754</v>
      </c>
      <c r="C86" t="s">
        <v>1755</v>
      </c>
      <c r="D86" t="s">
        <v>387</v>
      </c>
      <c r="F86">
        <v>14.291022999999999</v>
      </c>
      <c r="G86">
        <v>15.403852000000001</v>
      </c>
      <c r="H86">
        <v>16.466524</v>
      </c>
      <c r="I86">
        <v>17.484112</v>
      </c>
      <c r="J86">
        <v>18.438578</v>
      </c>
      <c r="K86">
        <v>19.337043999999999</v>
      </c>
      <c r="L86">
        <v>20.187798000000001</v>
      </c>
      <c r="M86">
        <v>20.994629</v>
      </c>
      <c r="N86">
        <v>21.758624999999999</v>
      </c>
      <c r="O86">
        <v>22.490202</v>
      </c>
      <c r="P86">
        <v>23.192791</v>
      </c>
      <c r="Q86">
        <v>23.867598000000001</v>
      </c>
      <c r="R86">
        <v>24.519058000000001</v>
      </c>
      <c r="S86">
        <v>25.152920000000002</v>
      </c>
      <c r="T86">
        <v>25.769638</v>
      </c>
      <c r="U86">
        <v>26.36647</v>
      </c>
      <c r="V86">
        <v>26.945543000000001</v>
      </c>
      <c r="W86">
        <v>27.511816</v>
      </c>
      <c r="X86">
        <v>28.072358999999999</v>
      </c>
      <c r="Y86">
        <v>28.633461</v>
      </c>
      <c r="Z86">
        <v>29.194868</v>
      </c>
      <c r="AA86">
        <v>29.751711</v>
      </c>
      <c r="AB86">
        <v>30.298272999999998</v>
      </c>
      <c r="AC86">
        <v>30.82856</v>
      </c>
      <c r="AD86">
        <v>31.342054000000001</v>
      </c>
      <c r="AE86">
        <v>31.842524000000001</v>
      </c>
      <c r="AF86">
        <v>32.328381</v>
      </c>
      <c r="AG86">
        <v>32.794552000000003</v>
      </c>
      <c r="AH86">
        <v>33.235858999999998</v>
      </c>
      <c r="AI86" s="31">
        <v>3.1E-2</v>
      </c>
    </row>
    <row r="87" spans="1:35">
      <c r="A87" t="s">
        <v>1648</v>
      </c>
      <c r="B87" t="s">
        <v>1756</v>
      </c>
      <c r="C87" t="s">
        <v>1757</v>
      </c>
      <c r="D87" t="s">
        <v>387</v>
      </c>
      <c r="F87">
        <v>1.729398</v>
      </c>
      <c r="G87">
        <v>1.9405060000000001</v>
      </c>
      <c r="H87">
        <v>2.1560890000000001</v>
      </c>
      <c r="I87">
        <v>2.37439</v>
      </c>
      <c r="J87">
        <v>2.5902090000000002</v>
      </c>
      <c r="K87">
        <v>2.7969189999999999</v>
      </c>
      <c r="L87">
        <v>2.9946679999999999</v>
      </c>
      <c r="M87">
        <v>3.1840839999999999</v>
      </c>
      <c r="N87">
        <v>3.365723</v>
      </c>
      <c r="O87">
        <v>3.5399889999999998</v>
      </c>
      <c r="P87">
        <v>3.7074400000000001</v>
      </c>
      <c r="Q87">
        <v>3.868322</v>
      </c>
      <c r="R87">
        <v>4.0227149999999998</v>
      </c>
      <c r="S87">
        <v>4.1717719999999998</v>
      </c>
      <c r="T87">
        <v>4.3170520000000003</v>
      </c>
      <c r="U87">
        <v>4.4608340000000002</v>
      </c>
      <c r="V87">
        <v>4.6034769999999998</v>
      </c>
      <c r="W87">
        <v>4.7450979999999996</v>
      </c>
      <c r="X87">
        <v>4.8857530000000002</v>
      </c>
      <c r="Y87">
        <v>5.0255089999999996</v>
      </c>
      <c r="Z87">
        <v>5.164409</v>
      </c>
      <c r="AA87">
        <v>5.3025580000000003</v>
      </c>
      <c r="AB87">
        <v>5.4398660000000003</v>
      </c>
      <c r="AC87">
        <v>5.5762869999999998</v>
      </c>
      <c r="AD87">
        <v>5.7117120000000003</v>
      </c>
      <c r="AE87">
        <v>5.8460159999999997</v>
      </c>
      <c r="AF87">
        <v>5.9790609999999997</v>
      </c>
      <c r="AG87">
        <v>6.1107060000000004</v>
      </c>
      <c r="AH87">
        <v>6.2408289999999997</v>
      </c>
      <c r="AI87" s="31">
        <v>4.7E-2</v>
      </c>
    </row>
    <row r="88" spans="1:35">
      <c r="A88" t="s">
        <v>1651</v>
      </c>
      <c r="B88" t="s">
        <v>1758</v>
      </c>
      <c r="C88" t="s">
        <v>1759</v>
      </c>
      <c r="D88" t="s">
        <v>387</v>
      </c>
      <c r="F88">
        <v>10.97953</v>
      </c>
      <c r="G88">
        <v>11.478201</v>
      </c>
      <c r="H88">
        <v>11.913265000000001</v>
      </c>
      <c r="I88">
        <v>12.294639</v>
      </c>
      <c r="J88">
        <v>12.627687999999999</v>
      </c>
      <c r="K88">
        <v>12.920790999999999</v>
      </c>
      <c r="L88">
        <v>13.179679999999999</v>
      </c>
      <c r="M88">
        <v>13.408682000000001</v>
      </c>
      <c r="N88">
        <v>13.611603000000001</v>
      </c>
      <c r="O88">
        <v>13.793385000000001</v>
      </c>
      <c r="P88">
        <v>13.957406000000001</v>
      </c>
      <c r="Q88">
        <v>14.106166999999999</v>
      </c>
      <c r="R88">
        <v>14.242005000000001</v>
      </c>
      <c r="S88">
        <v>14.366897</v>
      </c>
      <c r="T88">
        <v>14.481479999999999</v>
      </c>
      <c r="U88">
        <v>14.587826</v>
      </c>
      <c r="V88">
        <v>14.687233000000001</v>
      </c>
      <c r="W88">
        <v>14.780568000000001</v>
      </c>
      <c r="X88">
        <v>14.868819999999999</v>
      </c>
      <c r="Y88">
        <v>14.951580999999999</v>
      </c>
      <c r="Z88">
        <v>15.030099999999999</v>
      </c>
      <c r="AA88">
        <v>15.104990000000001</v>
      </c>
      <c r="AB88">
        <v>15.176742000000001</v>
      </c>
      <c r="AC88">
        <v>15.245628</v>
      </c>
      <c r="AD88">
        <v>15.310263000000001</v>
      </c>
      <c r="AE88">
        <v>15.372285</v>
      </c>
      <c r="AF88">
        <v>15.432404999999999</v>
      </c>
      <c r="AG88">
        <v>15.490957999999999</v>
      </c>
      <c r="AH88">
        <v>15.548268</v>
      </c>
      <c r="AI88" s="31">
        <v>1.2999999999999999E-2</v>
      </c>
    </row>
    <row r="89" spans="1:35">
      <c r="A89" t="s">
        <v>1654</v>
      </c>
      <c r="B89" t="s">
        <v>1760</v>
      </c>
      <c r="C89" t="s">
        <v>1761</v>
      </c>
      <c r="D89" t="s">
        <v>387</v>
      </c>
      <c r="F89">
        <v>1.034492</v>
      </c>
      <c r="G89">
        <v>0.99601099999999998</v>
      </c>
      <c r="H89">
        <v>0.96615300000000004</v>
      </c>
      <c r="I89">
        <v>0.94137499999999996</v>
      </c>
      <c r="J89">
        <v>0.91805400000000004</v>
      </c>
      <c r="K89">
        <v>0.89600199999999997</v>
      </c>
      <c r="L89">
        <v>0.87472399999999995</v>
      </c>
      <c r="M89">
        <v>0.85463800000000001</v>
      </c>
      <c r="N89">
        <v>0.83557300000000001</v>
      </c>
      <c r="O89">
        <v>0.81794</v>
      </c>
      <c r="P89">
        <v>0.80143900000000001</v>
      </c>
      <c r="Q89">
        <v>0.785694</v>
      </c>
      <c r="R89">
        <v>0.77058400000000005</v>
      </c>
      <c r="S89">
        <v>0.75597400000000003</v>
      </c>
      <c r="T89">
        <v>0.74202599999999996</v>
      </c>
      <c r="U89">
        <v>0.728599</v>
      </c>
      <c r="V89">
        <v>0.71566300000000005</v>
      </c>
      <c r="W89">
        <v>0.70325800000000005</v>
      </c>
      <c r="X89">
        <v>0.69134799999999996</v>
      </c>
      <c r="Y89">
        <v>0.67998099999999995</v>
      </c>
      <c r="Z89">
        <v>0.66904200000000003</v>
      </c>
      <c r="AA89">
        <v>0.65848600000000002</v>
      </c>
      <c r="AB89">
        <v>0.64829400000000004</v>
      </c>
      <c r="AC89">
        <v>0.63843799999999995</v>
      </c>
      <c r="AD89">
        <v>0.62902999999999998</v>
      </c>
      <c r="AE89">
        <v>0.61994700000000003</v>
      </c>
      <c r="AF89">
        <v>0.61114500000000005</v>
      </c>
      <c r="AG89">
        <v>0.60261200000000004</v>
      </c>
      <c r="AH89">
        <v>0.59433100000000005</v>
      </c>
      <c r="AI89" s="31">
        <v>-0.02</v>
      </c>
    </row>
    <row r="90" spans="1:35">
      <c r="A90" t="s">
        <v>432</v>
      </c>
      <c r="B90" t="s">
        <v>1762</v>
      </c>
      <c r="C90" t="s">
        <v>1763</v>
      </c>
      <c r="D90" t="s">
        <v>387</v>
      </c>
      <c r="F90">
        <v>2.056041</v>
      </c>
      <c r="G90">
        <v>2.2239300000000002</v>
      </c>
      <c r="H90">
        <v>2.3859140000000001</v>
      </c>
      <c r="I90">
        <v>2.5383819999999999</v>
      </c>
      <c r="J90">
        <v>2.6863220000000001</v>
      </c>
      <c r="K90">
        <v>2.8267340000000001</v>
      </c>
      <c r="L90">
        <v>2.9619110000000002</v>
      </c>
      <c r="M90">
        <v>3.0936409999999999</v>
      </c>
      <c r="N90">
        <v>3.224078</v>
      </c>
      <c r="O90">
        <v>3.35331</v>
      </c>
      <c r="P90">
        <v>3.4810599999999998</v>
      </c>
      <c r="Q90">
        <v>3.6073309999999998</v>
      </c>
      <c r="R90">
        <v>3.7324109999999999</v>
      </c>
      <c r="S90">
        <v>3.856554</v>
      </c>
      <c r="T90">
        <v>3.9815369999999999</v>
      </c>
      <c r="U90">
        <v>4.1063970000000003</v>
      </c>
      <c r="V90">
        <v>4.2310189999999999</v>
      </c>
      <c r="W90">
        <v>4.3554599999999999</v>
      </c>
      <c r="X90">
        <v>4.4799889999999998</v>
      </c>
      <c r="Y90">
        <v>4.6060540000000003</v>
      </c>
      <c r="Z90">
        <v>4.7324640000000002</v>
      </c>
      <c r="AA90">
        <v>4.8590929999999997</v>
      </c>
      <c r="AB90">
        <v>4.9859879999999999</v>
      </c>
      <c r="AC90">
        <v>5.113321</v>
      </c>
      <c r="AD90">
        <v>5.2422110000000002</v>
      </c>
      <c r="AE90">
        <v>5.3715659999999996</v>
      </c>
      <c r="AF90">
        <v>5.5012590000000001</v>
      </c>
      <c r="AG90">
        <v>5.6312749999999996</v>
      </c>
      <c r="AH90">
        <v>5.7617219999999998</v>
      </c>
      <c r="AI90" s="31">
        <v>3.6999999999999998E-2</v>
      </c>
    </row>
    <row r="91" spans="1:35">
      <c r="A91" t="s">
        <v>1659</v>
      </c>
      <c r="B91" t="s">
        <v>1764</v>
      </c>
      <c r="C91" t="s">
        <v>1765</v>
      </c>
      <c r="D91" t="s">
        <v>387</v>
      </c>
      <c r="F91">
        <v>1.315159</v>
      </c>
      <c r="G91">
        <v>1.3515710000000001</v>
      </c>
      <c r="H91">
        <v>1.401203</v>
      </c>
      <c r="I91">
        <v>1.448269</v>
      </c>
      <c r="J91">
        <v>1.490272</v>
      </c>
      <c r="K91">
        <v>1.528861</v>
      </c>
      <c r="L91">
        <v>1.5658209999999999</v>
      </c>
      <c r="M91">
        <v>1.6010279999999999</v>
      </c>
      <c r="N91">
        <v>1.632976</v>
      </c>
      <c r="O91">
        <v>1.661187</v>
      </c>
      <c r="P91">
        <v>1.687252</v>
      </c>
      <c r="Q91">
        <v>1.71123</v>
      </c>
      <c r="R91">
        <v>1.7331449999999999</v>
      </c>
      <c r="S91">
        <v>1.75302</v>
      </c>
      <c r="T91">
        <v>1.770937</v>
      </c>
      <c r="U91">
        <v>1.787161</v>
      </c>
      <c r="V91">
        <v>1.801885</v>
      </c>
      <c r="W91">
        <v>1.815293</v>
      </c>
      <c r="X91">
        <v>1.827555</v>
      </c>
      <c r="Y91">
        <v>1.8388009999999999</v>
      </c>
      <c r="Z91">
        <v>1.849121</v>
      </c>
      <c r="AA91">
        <v>1.8585959999999999</v>
      </c>
      <c r="AB91">
        <v>1.8672869999999999</v>
      </c>
      <c r="AC91">
        <v>1.8752530000000001</v>
      </c>
      <c r="AD91">
        <v>1.8825810000000001</v>
      </c>
      <c r="AE91">
        <v>1.8892880000000001</v>
      </c>
      <c r="AF91">
        <v>1.8954009999999999</v>
      </c>
      <c r="AG91">
        <v>1.900908</v>
      </c>
      <c r="AH91">
        <v>1.9058569999999999</v>
      </c>
      <c r="AI91" s="31">
        <v>1.2999999999999999E-2</v>
      </c>
    </row>
    <row r="92" spans="1:35">
      <c r="A92" t="s">
        <v>1662</v>
      </c>
      <c r="B92" t="s">
        <v>1766</v>
      </c>
      <c r="C92" t="s">
        <v>1767</v>
      </c>
      <c r="D92" t="s">
        <v>387</v>
      </c>
      <c r="F92">
        <v>1.3873660000000001</v>
      </c>
      <c r="G92">
        <v>1.5061150000000001</v>
      </c>
      <c r="H92">
        <v>1.6128100000000001</v>
      </c>
      <c r="I92">
        <v>1.7258629999999999</v>
      </c>
      <c r="J92">
        <v>1.854373</v>
      </c>
      <c r="K92">
        <v>1.978618</v>
      </c>
      <c r="L92">
        <v>2.0982919999999998</v>
      </c>
      <c r="M92">
        <v>2.212968</v>
      </c>
      <c r="N92">
        <v>2.3225889999999998</v>
      </c>
      <c r="O92">
        <v>2.4248690000000002</v>
      </c>
      <c r="P92">
        <v>2.5281760000000002</v>
      </c>
      <c r="Q92">
        <v>2.6335980000000001</v>
      </c>
      <c r="R92">
        <v>2.7414800000000001</v>
      </c>
      <c r="S92">
        <v>2.8521390000000002</v>
      </c>
      <c r="T92">
        <v>2.9651719999999999</v>
      </c>
      <c r="U92">
        <v>3.081699</v>
      </c>
      <c r="V92">
        <v>3.2019039999999999</v>
      </c>
      <c r="W92">
        <v>3.3258559999999999</v>
      </c>
      <c r="X92">
        <v>3.4535149999999999</v>
      </c>
      <c r="Y92">
        <v>3.585645</v>
      </c>
      <c r="Z92">
        <v>3.7219479999999998</v>
      </c>
      <c r="AA92">
        <v>3.8624550000000002</v>
      </c>
      <c r="AB92">
        <v>4.0071919999999999</v>
      </c>
      <c r="AC92">
        <v>4.1561370000000002</v>
      </c>
      <c r="AD92">
        <v>4.3064840000000002</v>
      </c>
      <c r="AE92">
        <v>4.4612210000000001</v>
      </c>
      <c r="AF92">
        <v>4.620444</v>
      </c>
      <c r="AG92">
        <v>4.7842510000000003</v>
      </c>
      <c r="AH92">
        <v>4.9525699999999997</v>
      </c>
      <c r="AI92" s="31">
        <v>4.5999999999999999E-2</v>
      </c>
    </row>
    <row r="93" spans="1:35">
      <c r="A93" t="s">
        <v>1697</v>
      </c>
      <c r="B93" t="s">
        <v>1768</v>
      </c>
      <c r="C93" t="s">
        <v>1769</v>
      </c>
      <c r="D93" t="s">
        <v>387</v>
      </c>
      <c r="F93">
        <v>33.513634000000003</v>
      </c>
      <c r="G93">
        <v>33.773448999999999</v>
      </c>
      <c r="H93">
        <v>34.149569999999997</v>
      </c>
      <c r="I93">
        <v>34.646267000000002</v>
      </c>
      <c r="J93">
        <v>35.252239000000003</v>
      </c>
      <c r="K93">
        <v>35.867260000000002</v>
      </c>
      <c r="L93">
        <v>36.470672999999998</v>
      </c>
      <c r="M93">
        <v>37.055709999999998</v>
      </c>
      <c r="N93">
        <v>37.623618999999998</v>
      </c>
      <c r="O93">
        <v>38.206901999999999</v>
      </c>
      <c r="P93">
        <v>38.846012000000002</v>
      </c>
      <c r="Q93">
        <v>39.518604000000003</v>
      </c>
      <c r="R93">
        <v>40.194561</v>
      </c>
      <c r="S93">
        <v>40.878718999999997</v>
      </c>
      <c r="T93">
        <v>41.588965999999999</v>
      </c>
      <c r="U93">
        <v>42.324451000000003</v>
      </c>
      <c r="V93">
        <v>43.074202999999997</v>
      </c>
      <c r="W93">
        <v>43.833011999999997</v>
      </c>
      <c r="X93">
        <v>44.633330999999998</v>
      </c>
      <c r="Y93">
        <v>45.438353999999997</v>
      </c>
      <c r="Z93">
        <v>46.257075999999998</v>
      </c>
      <c r="AA93">
        <v>47.090983999999999</v>
      </c>
      <c r="AB93">
        <v>47.922297999999998</v>
      </c>
      <c r="AC93">
        <v>48.749214000000002</v>
      </c>
      <c r="AD93">
        <v>49.580649999999999</v>
      </c>
      <c r="AE93">
        <v>50.435558</v>
      </c>
      <c r="AF93">
        <v>51.297688000000001</v>
      </c>
      <c r="AG93">
        <v>52.162868000000003</v>
      </c>
      <c r="AH93">
        <v>53.052937</v>
      </c>
      <c r="AI93" s="31">
        <v>1.7000000000000001E-2</v>
      </c>
    </row>
    <row r="94" spans="1:35">
      <c r="A94" t="s">
        <v>1732</v>
      </c>
      <c r="B94" t="s">
        <v>1770</v>
      </c>
      <c r="C94" t="s">
        <v>1769</v>
      </c>
      <c r="D94" t="s">
        <v>387</v>
      </c>
      <c r="F94">
        <v>83.779938000000001</v>
      </c>
      <c r="G94">
        <v>88.081581</v>
      </c>
      <c r="H94">
        <v>92.329848999999996</v>
      </c>
      <c r="I94">
        <v>96.345687999999996</v>
      </c>
      <c r="J94">
        <v>100.232613</v>
      </c>
      <c r="K94">
        <v>103.880737</v>
      </c>
      <c r="L94">
        <v>107.291229</v>
      </c>
      <c r="M94">
        <v>110.497536</v>
      </c>
      <c r="N94">
        <v>113.531898</v>
      </c>
      <c r="O94">
        <v>116.474495</v>
      </c>
      <c r="P94">
        <v>119.445824</v>
      </c>
      <c r="Q94">
        <v>122.439751</v>
      </c>
      <c r="R94">
        <v>125.398201</v>
      </c>
      <c r="S94">
        <v>128.33132900000001</v>
      </c>
      <c r="T94">
        <v>131.305466</v>
      </c>
      <c r="U94">
        <v>134.33384699999999</v>
      </c>
      <c r="V94">
        <v>137.39012099999999</v>
      </c>
      <c r="W94">
        <v>140.47015400000001</v>
      </c>
      <c r="X94">
        <v>143.67131000000001</v>
      </c>
      <c r="Y94">
        <v>146.899384</v>
      </c>
      <c r="Z94">
        <v>150.17868000000001</v>
      </c>
      <c r="AA94">
        <v>153.512833</v>
      </c>
      <c r="AB94">
        <v>156.85562100000001</v>
      </c>
      <c r="AC94">
        <v>160.203384</v>
      </c>
      <c r="AD94">
        <v>163.58116100000001</v>
      </c>
      <c r="AE94">
        <v>167.047256</v>
      </c>
      <c r="AF94">
        <v>170.56518600000001</v>
      </c>
      <c r="AG94">
        <v>174.13085899999999</v>
      </c>
      <c r="AH94">
        <v>177.808167</v>
      </c>
      <c r="AI94" s="31">
        <v>2.7E-2</v>
      </c>
    </row>
    <row r="95" spans="1:35">
      <c r="A95" t="s">
        <v>118</v>
      </c>
      <c r="B95" t="s">
        <v>1771</v>
      </c>
      <c r="C95" t="s">
        <v>1769</v>
      </c>
      <c r="D95" t="s">
        <v>387</v>
      </c>
      <c r="F95">
        <v>117.29357899999999</v>
      </c>
      <c r="G95">
        <v>121.855034</v>
      </c>
      <c r="H95">
        <v>126.47942399999999</v>
      </c>
      <c r="I95">
        <v>130.99195900000001</v>
      </c>
      <c r="J95">
        <v>135.48486299999999</v>
      </c>
      <c r="K95">
        <v>139.74797100000001</v>
      </c>
      <c r="L95">
        <v>143.76187100000001</v>
      </c>
      <c r="M95">
        <v>147.55323799999999</v>
      </c>
      <c r="N95">
        <v>151.155518</v>
      </c>
      <c r="O95">
        <v>154.681366</v>
      </c>
      <c r="P95">
        <v>158.29184000000001</v>
      </c>
      <c r="Q95">
        <v>161.958313</v>
      </c>
      <c r="R95">
        <v>165.592758</v>
      </c>
      <c r="S95">
        <v>169.21006800000001</v>
      </c>
      <c r="T95">
        <v>172.89442399999999</v>
      </c>
      <c r="U95">
        <v>176.65829500000001</v>
      </c>
      <c r="V95">
        <v>180.464325</v>
      </c>
      <c r="W95">
        <v>184.303146</v>
      </c>
      <c r="X95">
        <v>188.30465699999999</v>
      </c>
      <c r="Y95">
        <v>192.337738</v>
      </c>
      <c r="Z95">
        <v>196.43575999999999</v>
      </c>
      <c r="AA95">
        <v>200.60380599999999</v>
      </c>
      <c r="AB95">
        <v>204.77795399999999</v>
      </c>
      <c r="AC95">
        <v>208.952606</v>
      </c>
      <c r="AD95">
        <v>213.16177400000001</v>
      </c>
      <c r="AE95">
        <v>217.48280299999999</v>
      </c>
      <c r="AF95">
        <v>221.86283900000001</v>
      </c>
      <c r="AG95">
        <v>226.29373200000001</v>
      </c>
      <c r="AH95">
        <v>230.86111500000001</v>
      </c>
      <c r="AI95" s="31">
        <v>2.4E-2</v>
      </c>
    </row>
    <row r="96" spans="1:35">
      <c r="A96" t="s">
        <v>119</v>
      </c>
    </row>
    <row r="97" spans="1:35">
      <c r="A97" t="s">
        <v>427</v>
      </c>
      <c r="B97" t="s">
        <v>1772</v>
      </c>
      <c r="C97" t="s">
        <v>1773</v>
      </c>
      <c r="D97" t="s">
        <v>387</v>
      </c>
      <c r="F97">
        <v>1173.034668</v>
      </c>
      <c r="G97">
        <v>1318.6945800000001</v>
      </c>
      <c r="H97">
        <v>1361.6110839999999</v>
      </c>
      <c r="I97">
        <v>1371.6551509999999</v>
      </c>
      <c r="J97">
        <v>1402.9279790000001</v>
      </c>
      <c r="K97">
        <v>1433.8398440000001</v>
      </c>
      <c r="L97">
        <v>1461.472168</v>
      </c>
      <c r="M97">
        <v>1484.8291019999999</v>
      </c>
      <c r="N97">
        <v>1504.2687989999999</v>
      </c>
      <c r="O97">
        <v>1524.7269289999999</v>
      </c>
      <c r="P97">
        <v>1552.256836</v>
      </c>
      <c r="Q97">
        <v>1583.9248050000001</v>
      </c>
      <c r="R97">
        <v>1615.380249</v>
      </c>
      <c r="S97">
        <v>1647.3461910000001</v>
      </c>
      <c r="T97">
        <v>1682.5896</v>
      </c>
      <c r="U97">
        <v>1721.046875</v>
      </c>
      <c r="V97">
        <v>1761.139038</v>
      </c>
      <c r="W97">
        <v>1801.9410399999999</v>
      </c>
      <c r="X97">
        <v>1848.0720209999999</v>
      </c>
      <c r="Y97">
        <v>1894.2041019999999</v>
      </c>
      <c r="Z97">
        <v>1941.463013</v>
      </c>
      <c r="AA97">
        <v>1990.3642580000001</v>
      </c>
      <c r="AB97">
        <v>2038.4373780000001</v>
      </c>
      <c r="AC97">
        <v>2085.6875</v>
      </c>
      <c r="AD97">
        <v>2134.0048830000001</v>
      </c>
      <c r="AE97">
        <v>2185.8969729999999</v>
      </c>
      <c r="AF97">
        <v>2238.836182</v>
      </c>
      <c r="AG97">
        <v>2292.3554690000001</v>
      </c>
      <c r="AH97">
        <v>2350.2690429999998</v>
      </c>
      <c r="AI97" s="31">
        <v>2.5000000000000001E-2</v>
      </c>
    </row>
    <row r="98" spans="1:35">
      <c r="A98" t="s">
        <v>442</v>
      </c>
      <c r="B98" t="s">
        <v>1774</v>
      </c>
      <c r="C98" t="s">
        <v>1775</v>
      </c>
      <c r="D98" t="s">
        <v>387</v>
      </c>
      <c r="F98">
        <v>771.93774399999995</v>
      </c>
      <c r="G98">
        <v>826.14868200000001</v>
      </c>
      <c r="H98">
        <v>834.42144800000005</v>
      </c>
      <c r="I98">
        <v>837.44964600000003</v>
      </c>
      <c r="J98">
        <v>855.71820100000002</v>
      </c>
      <c r="K98">
        <v>873.71917699999995</v>
      </c>
      <c r="L98">
        <v>889.59252900000001</v>
      </c>
      <c r="M98">
        <v>902.71167000000003</v>
      </c>
      <c r="N98">
        <v>913.31073000000004</v>
      </c>
      <c r="O98">
        <v>924.53289800000005</v>
      </c>
      <c r="P98">
        <v>940.21234100000004</v>
      </c>
      <c r="Q98">
        <v>958.47662400000002</v>
      </c>
      <c r="R98">
        <v>976.56652799999995</v>
      </c>
      <c r="S98">
        <v>994.93957499999999</v>
      </c>
      <c r="T98">
        <v>1015.342712</v>
      </c>
      <c r="U98">
        <v>1037.7301030000001</v>
      </c>
      <c r="V98">
        <v>1061.099976</v>
      </c>
      <c r="W98">
        <v>1084.865845</v>
      </c>
      <c r="X98">
        <v>1111.9262699999999</v>
      </c>
      <c r="Y98">
        <v>1138.9233400000001</v>
      </c>
      <c r="Z98">
        <v>1166.5638429999999</v>
      </c>
      <c r="AA98">
        <v>1195.170044</v>
      </c>
      <c r="AB98">
        <v>1223.1854249999999</v>
      </c>
      <c r="AC98">
        <v>1250.6136469999999</v>
      </c>
      <c r="AD98">
        <v>1278.6414789999999</v>
      </c>
      <c r="AE98">
        <v>1308.838501</v>
      </c>
      <c r="AF98">
        <v>1339.61499</v>
      </c>
      <c r="AG98">
        <v>1370.6759030000001</v>
      </c>
      <c r="AH98">
        <v>1404.4072269999999</v>
      </c>
      <c r="AI98" s="31">
        <v>2.1999999999999999E-2</v>
      </c>
    </row>
    <row r="99" spans="1:35">
      <c r="A99" t="s">
        <v>443</v>
      </c>
      <c r="B99" t="s">
        <v>1776</v>
      </c>
      <c r="C99" t="s">
        <v>1777</v>
      </c>
      <c r="D99" t="s">
        <v>387</v>
      </c>
      <c r="F99">
        <v>291.44287100000003</v>
      </c>
      <c r="G99">
        <v>376.62927200000001</v>
      </c>
      <c r="H99">
        <v>410.72482300000001</v>
      </c>
      <c r="I99">
        <v>417.44140599999997</v>
      </c>
      <c r="J99">
        <v>427.931152</v>
      </c>
      <c r="K99">
        <v>438.36691300000001</v>
      </c>
      <c r="L99">
        <v>447.951843</v>
      </c>
      <c r="M99">
        <v>456.40588400000001</v>
      </c>
      <c r="N99">
        <v>463.81881700000002</v>
      </c>
      <c r="O99">
        <v>471.540344</v>
      </c>
      <c r="P99">
        <v>481.249573</v>
      </c>
      <c r="Q99">
        <v>492.14892600000002</v>
      </c>
      <c r="R99">
        <v>503.03637700000002</v>
      </c>
      <c r="S99">
        <v>514.11279300000001</v>
      </c>
      <c r="T99">
        <v>526.15240500000004</v>
      </c>
      <c r="U99">
        <v>539.14410399999997</v>
      </c>
      <c r="V99">
        <v>552.65191700000003</v>
      </c>
      <c r="W99">
        <v>566.41955600000006</v>
      </c>
      <c r="X99">
        <v>581.76110800000004</v>
      </c>
      <c r="Y99">
        <v>597.17816200000004</v>
      </c>
      <c r="Z99">
        <v>612.99054000000001</v>
      </c>
      <c r="AA99">
        <v>629.34680200000003</v>
      </c>
      <c r="AB99">
        <v>645.55127000000005</v>
      </c>
      <c r="AC99">
        <v>661.60510299999999</v>
      </c>
      <c r="AD99">
        <v>678.04516599999999</v>
      </c>
      <c r="AE99">
        <v>695.58856200000002</v>
      </c>
      <c r="AF99">
        <v>713.52148399999999</v>
      </c>
      <c r="AG99">
        <v>731.71319600000004</v>
      </c>
      <c r="AH99">
        <v>751.25647000000004</v>
      </c>
      <c r="AI99" s="31">
        <v>3.4000000000000002E-2</v>
      </c>
    </row>
    <row r="100" spans="1:35">
      <c r="A100" t="s">
        <v>444</v>
      </c>
      <c r="B100" t="s">
        <v>1778</v>
      </c>
      <c r="C100" t="s">
        <v>1779</v>
      </c>
      <c r="D100" t="s">
        <v>387</v>
      </c>
      <c r="F100">
        <v>109.65400700000001</v>
      </c>
      <c r="G100">
        <v>115.916664</v>
      </c>
      <c r="H100">
        <v>116.46487399999999</v>
      </c>
      <c r="I100">
        <v>116.764183</v>
      </c>
      <c r="J100">
        <v>119.278656</v>
      </c>
      <c r="K100">
        <v>121.753967</v>
      </c>
      <c r="L100">
        <v>123.927666</v>
      </c>
      <c r="M100">
        <v>125.71165499999999</v>
      </c>
      <c r="N100">
        <v>127.139191</v>
      </c>
      <c r="O100">
        <v>128.65365600000001</v>
      </c>
      <c r="P100">
        <v>130.79510500000001</v>
      </c>
      <c r="Q100">
        <v>133.299286</v>
      </c>
      <c r="R100">
        <v>135.77739</v>
      </c>
      <c r="S100">
        <v>138.29380800000001</v>
      </c>
      <c r="T100">
        <v>141.09445199999999</v>
      </c>
      <c r="U100">
        <v>144.172653</v>
      </c>
      <c r="V100">
        <v>147.387192</v>
      </c>
      <c r="W100">
        <v>150.655472</v>
      </c>
      <c r="X100">
        <v>154.38471999999999</v>
      </c>
      <c r="Y100">
        <v>158.1026</v>
      </c>
      <c r="Z100">
        <v>161.908447</v>
      </c>
      <c r="AA100">
        <v>165.847443</v>
      </c>
      <c r="AB100">
        <v>169.700684</v>
      </c>
      <c r="AC100">
        <v>173.46878100000001</v>
      </c>
      <c r="AD100">
        <v>177.318344</v>
      </c>
      <c r="AE100">
        <v>181.46984900000001</v>
      </c>
      <c r="AF100">
        <v>185.699783</v>
      </c>
      <c r="AG100">
        <v>189.96658300000001</v>
      </c>
      <c r="AH100">
        <v>194.60526999999999</v>
      </c>
      <c r="AI100" s="31">
        <v>2.1000000000000001E-2</v>
      </c>
    </row>
    <row r="101" spans="1:35">
      <c r="A101" t="s">
        <v>428</v>
      </c>
      <c r="B101" t="s">
        <v>1780</v>
      </c>
      <c r="C101" t="s">
        <v>1781</v>
      </c>
      <c r="D101" t="s">
        <v>387</v>
      </c>
      <c r="F101">
        <v>97.788550999999998</v>
      </c>
      <c r="G101">
        <v>116.537071</v>
      </c>
      <c r="H101">
        <v>129.851135</v>
      </c>
      <c r="I101">
        <v>138.94378699999999</v>
      </c>
      <c r="J101">
        <v>146.62851000000001</v>
      </c>
      <c r="K101">
        <v>153.51113900000001</v>
      </c>
      <c r="L101">
        <v>156.930206</v>
      </c>
      <c r="M101">
        <v>160.421234</v>
      </c>
      <c r="N101">
        <v>163.97563199999999</v>
      </c>
      <c r="O101">
        <v>167.596069</v>
      </c>
      <c r="P101">
        <v>171.27801500000001</v>
      </c>
      <c r="Q101">
        <v>175.01597599999999</v>
      </c>
      <c r="R101">
        <v>178.81019599999999</v>
      </c>
      <c r="S101">
        <v>182.661438</v>
      </c>
      <c r="T101">
        <v>186.56987000000001</v>
      </c>
      <c r="U101">
        <v>190.536957</v>
      </c>
      <c r="V101">
        <v>194.563095</v>
      </c>
      <c r="W101">
        <v>198.65008499999999</v>
      </c>
      <c r="X101">
        <v>202.795197</v>
      </c>
      <c r="Y101">
        <v>207.00029000000001</v>
      </c>
      <c r="Z101">
        <v>211.267471</v>
      </c>
      <c r="AA101">
        <v>215.59639000000001</v>
      </c>
      <c r="AB101">
        <v>219.99505600000001</v>
      </c>
      <c r="AC101">
        <v>224.46772799999999</v>
      </c>
      <c r="AD101">
        <v>229.01632699999999</v>
      </c>
      <c r="AE101">
        <v>233.64376799999999</v>
      </c>
      <c r="AF101">
        <v>238.35256999999999</v>
      </c>
      <c r="AG101">
        <v>243.14686599999999</v>
      </c>
      <c r="AH101">
        <v>248.029572</v>
      </c>
      <c r="AI101" s="31">
        <v>3.4000000000000002E-2</v>
      </c>
    </row>
    <row r="102" spans="1:35">
      <c r="A102" t="s">
        <v>442</v>
      </c>
      <c r="B102" t="s">
        <v>1782</v>
      </c>
      <c r="C102" t="s">
        <v>1783</v>
      </c>
      <c r="D102" t="s">
        <v>387</v>
      </c>
      <c r="F102">
        <v>46.483733999999998</v>
      </c>
      <c r="G102">
        <v>52.576613999999999</v>
      </c>
      <c r="H102">
        <v>56.012763999999997</v>
      </c>
      <c r="I102">
        <v>58.483322000000001</v>
      </c>
      <c r="J102">
        <v>60.800694</v>
      </c>
      <c r="K102">
        <v>62.895470000000003</v>
      </c>
      <c r="L102">
        <v>64.119736000000003</v>
      </c>
      <c r="M102">
        <v>65.371596999999994</v>
      </c>
      <c r="N102">
        <v>66.645554000000004</v>
      </c>
      <c r="O102">
        <v>67.943336000000002</v>
      </c>
      <c r="P102">
        <v>69.261993000000004</v>
      </c>
      <c r="Q102">
        <v>70.597969000000006</v>
      </c>
      <c r="R102">
        <v>71.951194999999998</v>
      </c>
      <c r="S102">
        <v>73.321762000000007</v>
      </c>
      <c r="T102">
        <v>74.709625000000003</v>
      </c>
      <c r="U102">
        <v>76.115097000000006</v>
      </c>
      <c r="V102">
        <v>77.538216000000006</v>
      </c>
      <c r="W102">
        <v>78.979500000000002</v>
      </c>
      <c r="X102">
        <v>80.436768000000001</v>
      </c>
      <c r="Y102">
        <v>81.911124999999998</v>
      </c>
      <c r="Z102">
        <v>83.403251999999995</v>
      </c>
      <c r="AA102">
        <v>84.912941000000004</v>
      </c>
      <c r="AB102">
        <v>86.442954999999998</v>
      </c>
      <c r="AC102">
        <v>87.994750999999994</v>
      </c>
      <c r="AD102">
        <v>89.568877999999998</v>
      </c>
      <c r="AE102">
        <v>91.166283000000007</v>
      </c>
      <c r="AF102">
        <v>92.787719999999993</v>
      </c>
      <c r="AG102">
        <v>94.434532000000004</v>
      </c>
      <c r="AH102">
        <v>96.107642999999996</v>
      </c>
      <c r="AI102" s="31">
        <v>2.5999999999999999E-2</v>
      </c>
    </row>
    <row r="103" spans="1:35">
      <c r="A103" t="s">
        <v>443</v>
      </c>
      <c r="B103" t="s">
        <v>1784</v>
      </c>
      <c r="C103" t="s">
        <v>1785</v>
      </c>
      <c r="D103" t="s">
        <v>387</v>
      </c>
      <c r="F103">
        <v>44.320006999999997</v>
      </c>
      <c r="G103">
        <v>56.016773000000001</v>
      </c>
      <c r="H103">
        <v>65.242180000000005</v>
      </c>
      <c r="I103">
        <v>71.493279000000001</v>
      </c>
      <c r="J103">
        <v>76.510611999999995</v>
      </c>
      <c r="K103">
        <v>80.981887999999998</v>
      </c>
      <c r="L103">
        <v>82.990195999999997</v>
      </c>
      <c r="M103">
        <v>85.038689000000005</v>
      </c>
      <c r="N103">
        <v>87.125076000000007</v>
      </c>
      <c r="O103">
        <v>89.250031000000007</v>
      </c>
      <c r="P103">
        <v>91.412482999999995</v>
      </c>
      <c r="Q103">
        <v>93.610962000000001</v>
      </c>
      <c r="R103">
        <v>95.845900999999998</v>
      </c>
      <c r="S103">
        <v>98.117858999999996</v>
      </c>
      <c r="T103">
        <v>100.427132</v>
      </c>
      <c r="U103">
        <v>102.77475</v>
      </c>
      <c r="V103">
        <v>105.161118</v>
      </c>
      <c r="W103">
        <v>107.58744</v>
      </c>
      <c r="X103">
        <v>110.053513</v>
      </c>
      <c r="Y103">
        <v>112.55989099999999</v>
      </c>
      <c r="Z103">
        <v>115.107895</v>
      </c>
      <c r="AA103">
        <v>117.697464</v>
      </c>
      <c r="AB103">
        <v>120.33337400000001</v>
      </c>
      <c r="AC103">
        <v>123.01821099999999</v>
      </c>
      <c r="AD103">
        <v>125.753281</v>
      </c>
      <c r="AE103">
        <v>128.54042100000001</v>
      </c>
      <c r="AF103">
        <v>131.38125600000001</v>
      </c>
      <c r="AG103">
        <v>134.27836600000001</v>
      </c>
      <c r="AH103">
        <v>137.233643</v>
      </c>
      <c r="AI103" s="31">
        <v>4.1000000000000002E-2</v>
      </c>
    </row>
    <row r="104" spans="1:35">
      <c r="A104" t="s">
        <v>444</v>
      </c>
      <c r="B104" t="s">
        <v>1786</v>
      </c>
      <c r="C104" t="s">
        <v>1787</v>
      </c>
      <c r="D104" t="s">
        <v>387</v>
      </c>
      <c r="F104">
        <v>6.9848179999999997</v>
      </c>
      <c r="G104">
        <v>7.9436809999999998</v>
      </c>
      <c r="H104">
        <v>8.5961859999999994</v>
      </c>
      <c r="I104">
        <v>8.9671769999999995</v>
      </c>
      <c r="J104">
        <v>9.3172130000000006</v>
      </c>
      <c r="K104">
        <v>9.6337810000000008</v>
      </c>
      <c r="L104">
        <v>9.8202590000000001</v>
      </c>
      <c r="M104">
        <v>10.010951</v>
      </c>
      <c r="N104">
        <v>10.205007999999999</v>
      </c>
      <c r="O104">
        <v>10.402691000000001</v>
      </c>
      <c r="P104">
        <v>10.603547000000001</v>
      </c>
      <c r="Q104">
        <v>10.807024</v>
      </c>
      <c r="R104">
        <v>11.013108000000001</v>
      </c>
      <c r="S104">
        <v>11.221814</v>
      </c>
      <c r="T104">
        <v>11.433130999999999</v>
      </c>
      <c r="U104">
        <v>11.647105</v>
      </c>
      <c r="V104">
        <v>11.863749</v>
      </c>
      <c r="W104">
        <v>12.083130000000001</v>
      </c>
      <c r="X104">
        <v>12.304914999999999</v>
      </c>
      <c r="Y104">
        <v>12.529273999999999</v>
      </c>
      <c r="Z104">
        <v>12.756309</v>
      </c>
      <c r="AA104">
        <v>12.985987</v>
      </c>
      <c r="AB104">
        <v>13.218731</v>
      </c>
      <c r="AC104">
        <v>13.45476</v>
      </c>
      <c r="AD104">
        <v>13.694159000000001</v>
      </c>
      <c r="AE104">
        <v>13.937068</v>
      </c>
      <c r="AF104">
        <v>14.183602</v>
      </c>
      <c r="AG104">
        <v>14.433968999999999</v>
      </c>
      <c r="AH104">
        <v>14.688302999999999</v>
      </c>
      <c r="AI104" s="31">
        <v>2.7E-2</v>
      </c>
    </row>
    <row r="105" spans="1:35">
      <c r="A105" t="s">
        <v>1625</v>
      </c>
      <c r="B105" t="s">
        <v>1788</v>
      </c>
      <c r="C105" t="s">
        <v>1789</v>
      </c>
      <c r="D105" t="s">
        <v>387</v>
      </c>
      <c r="F105">
        <v>99.841224999999994</v>
      </c>
      <c r="G105">
        <v>121.38716100000001</v>
      </c>
      <c r="H105">
        <v>140.14009100000001</v>
      </c>
      <c r="I105">
        <v>151.262756</v>
      </c>
      <c r="J105">
        <v>161.67996199999999</v>
      </c>
      <c r="K105">
        <v>169.41802999999999</v>
      </c>
      <c r="L105">
        <v>176.163284</v>
      </c>
      <c r="M105">
        <v>182.32843</v>
      </c>
      <c r="N105">
        <v>188.683502</v>
      </c>
      <c r="O105">
        <v>195.21624800000001</v>
      </c>
      <c r="P105">
        <v>201.96676600000001</v>
      </c>
      <c r="Q105">
        <v>208.904144</v>
      </c>
      <c r="R105">
        <v>216.03270000000001</v>
      </c>
      <c r="S105">
        <v>223.35351600000001</v>
      </c>
      <c r="T105">
        <v>230.84750399999999</v>
      </c>
      <c r="U105">
        <v>238.536697</v>
      </c>
      <c r="V105">
        <v>246.42671200000001</v>
      </c>
      <c r="W105">
        <v>254.52114900000001</v>
      </c>
      <c r="X105">
        <v>262.81677200000001</v>
      </c>
      <c r="Y105">
        <v>271.26284800000002</v>
      </c>
      <c r="Z105">
        <v>279.914154</v>
      </c>
      <c r="AA105">
        <v>288.77542099999999</v>
      </c>
      <c r="AB105">
        <v>297.85025000000002</v>
      </c>
      <c r="AC105">
        <v>307.14016700000002</v>
      </c>
      <c r="AD105">
        <v>316.583099</v>
      </c>
      <c r="AE105">
        <v>326.23324600000001</v>
      </c>
      <c r="AF105">
        <v>336.11285400000003</v>
      </c>
      <c r="AG105">
        <v>346.24740600000001</v>
      </c>
      <c r="AH105">
        <v>356.65838600000001</v>
      </c>
      <c r="AI105" s="31">
        <v>4.7E-2</v>
      </c>
    </row>
    <row r="106" spans="1:35">
      <c r="A106" t="s">
        <v>442</v>
      </c>
      <c r="B106" t="s">
        <v>1790</v>
      </c>
      <c r="C106" t="s">
        <v>1791</v>
      </c>
      <c r="D106" t="s">
        <v>387</v>
      </c>
      <c r="F106">
        <v>69.764510999999999</v>
      </c>
      <c r="G106">
        <v>84.004554999999996</v>
      </c>
      <c r="H106">
        <v>96.466919000000004</v>
      </c>
      <c r="I106">
        <v>103.140091</v>
      </c>
      <c r="J106">
        <v>109.625092</v>
      </c>
      <c r="K106">
        <v>114.665237</v>
      </c>
      <c r="L106">
        <v>119.181656</v>
      </c>
      <c r="M106">
        <v>123.406693</v>
      </c>
      <c r="N106">
        <v>127.766006</v>
      </c>
      <c r="O106">
        <v>132.25155599999999</v>
      </c>
      <c r="P106">
        <v>136.891357</v>
      </c>
      <c r="Q106">
        <v>141.66313199999999</v>
      </c>
      <c r="R106">
        <v>146.57012900000001</v>
      </c>
      <c r="S106">
        <v>151.61326600000001</v>
      </c>
      <c r="T106">
        <v>156.778717</v>
      </c>
      <c r="U106">
        <v>162.08247399999999</v>
      </c>
      <c r="V106">
        <v>167.52858000000001</v>
      </c>
      <c r="W106">
        <v>173.11968999999999</v>
      </c>
      <c r="X106">
        <v>178.852982</v>
      </c>
      <c r="Y106">
        <v>184.691833</v>
      </c>
      <c r="Z106">
        <v>190.676163</v>
      </c>
      <c r="AA106">
        <v>196.80931100000001</v>
      </c>
      <c r="AB106">
        <v>203.09402499999999</v>
      </c>
      <c r="AC106">
        <v>209.53149400000001</v>
      </c>
      <c r="AD106">
        <v>216.077438</v>
      </c>
      <c r="AE106">
        <v>222.77117899999999</v>
      </c>
      <c r="AF106">
        <v>229.627655</v>
      </c>
      <c r="AG106">
        <v>236.664062</v>
      </c>
      <c r="AH106">
        <v>243.894913</v>
      </c>
      <c r="AI106" s="31">
        <v>4.5999999999999999E-2</v>
      </c>
    </row>
    <row r="107" spans="1:35">
      <c r="A107" t="s">
        <v>443</v>
      </c>
      <c r="B107" t="s">
        <v>1792</v>
      </c>
      <c r="C107" t="s">
        <v>1793</v>
      </c>
      <c r="D107" t="s">
        <v>387</v>
      </c>
      <c r="F107">
        <v>22.082386</v>
      </c>
      <c r="G107">
        <v>27.943691000000001</v>
      </c>
      <c r="H107">
        <v>32.981406999999997</v>
      </c>
      <c r="I107">
        <v>36.874682999999997</v>
      </c>
      <c r="J107">
        <v>40.216048999999998</v>
      </c>
      <c r="K107">
        <v>42.408810000000003</v>
      </c>
      <c r="L107">
        <v>44.160705999999998</v>
      </c>
      <c r="M107">
        <v>45.636051000000002</v>
      </c>
      <c r="N107">
        <v>47.151519999999998</v>
      </c>
      <c r="O107">
        <v>48.703654999999998</v>
      </c>
      <c r="P107">
        <v>50.301430000000003</v>
      </c>
      <c r="Q107">
        <v>51.938842999999999</v>
      </c>
      <c r="R107">
        <v>53.616570000000003</v>
      </c>
      <c r="S107">
        <v>55.334595</v>
      </c>
      <c r="T107">
        <v>57.089325000000002</v>
      </c>
      <c r="U107">
        <v>58.884922000000003</v>
      </c>
      <c r="V107">
        <v>60.722434999999997</v>
      </c>
      <c r="W107">
        <v>62.602508999999998</v>
      </c>
      <c r="X107">
        <v>64.525108000000003</v>
      </c>
      <c r="Y107">
        <v>66.480514999999997</v>
      </c>
      <c r="Z107">
        <v>68.478851000000006</v>
      </c>
      <c r="AA107">
        <v>70.520927</v>
      </c>
      <c r="AB107">
        <v>72.607429999999994</v>
      </c>
      <c r="AC107">
        <v>74.738403000000005</v>
      </c>
      <c r="AD107">
        <v>76.901359999999997</v>
      </c>
      <c r="AE107">
        <v>79.106399999999994</v>
      </c>
      <c r="AF107">
        <v>81.359183999999999</v>
      </c>
      <c r="AG107">
        <v>83.666259999999994</v>
      </c>
      <c r="AH107">
        <v>86.032966999999999</v>
      </c>
      <c r="AI107" s="31">
        <v>0.05</v>
      </c>
    </row>
    <row r="108" spans="1:35">
      <c r="A108" t="s">
        <v>444</v>
      </c>
      <c r="B108" t="s">
        <v>1794</v>
      </c>
      <c r="C108" t="s">
        <v>1795</v>
      </c>
      <c r="D108" t="s">
        <v>387</v>
      </c>
      <c r="F108">
        <v>7.9943369999999998</v>
      </c>
      <c r="G108">
        <v>9.4389260000000004</v>
      </c>
      <c r="H108">
        <v>10.691757000000001</v>
      </c>
      <c r="I108">
        <v>11.247966999999999</v>
      </c>
      <c r="J108">
        <v>11.838803</v>
      </c>
      <c r="K108">
        <v>12.343989000000001</v>
      </c>
      <c r="L108">
        <v>12.820919</v>
      </c>
      <c r="M108">
        <v>13.285686999999999</v>
      </c>
      <c r="N108">
        <v>13.765993</v>
      </c>
      <c r="O108">
        <v>14.261029000000001</v>
      </c>
      <c r="P108">
        <v>14.773972000000001</v>
      </c>
      <c r="Q108">
        <v>15.302161999999999</v>
      </c>
      <c r="R108">
        <v>15.846017</v>
      </c>
      <c r="S108">
        <v>16.405667999999999</v>
      </c>
      <c r="T108">
        <v>16.97946</v>
      </c>
      <c r="U108">
        <v>17.569309000000001</v>
      </c>
      <c r="V108">
        <v>18.175705000000001</v>
      </c>
      <c r="W108">
        <v>18.798973</v>
      </c>
      <c r="X108">
        <v>19.438686000000001</v>
      </c>
      <c r="Y108">
        <v>20.090475000000001</v>
      </c>
      <c r="Z108">
        <v>20.759160999999999</v>
      </c>
      <c r="AA108">
        <v>21.445156000000001</v>
      </c>
      <c r="AB108">
        <v>22.148788</v>
      </c>
      <c r="AC108">
        <v>22.870235000000001</v>
      </c>
      <c r="AD108">
        <v>23.604284</v>
      </c>
      <c r="AE108">
        <v>24.355677</v>
      </c>
      <c r="AF108">
        <v>25.126003000000001</v>
      </c>
      <c r="AG108">
        <v>25.917096999999998</v>
      </c>
      <c r="AH108">
        <v>26.730518</v>
      </c>
      <c r="AI108" s="31">
        <v>4.3999999999999997E-2</v>
      </c>
    </row>
    <row r="109" spans="1:35">
      <c r="A109" t="s">
        <v>1628</v>
      </c>
      <c r="B109" t="s">
        <v>1796</v>
      </c>
      <c r="C109" t="s">
        <v>1797</v>
      </c>
      <c r="D109" t="s">
        <v>387</v>
      </c>
      <c r="F109">
        <v>877.59985400000005</v>
      </c>
      <c r="G109">
        <v>1119.4864500000001</v>
      </c>
      <c r="H109">
        <v>1274.9530030000001</v>
      </c>
      <c r="I109">
        <v>1333.865112</v>
      </c>
      <c r="J109">
        <v>1422.423706</v>
      </c>
      <c r="K109">
        <v>1452.9285890000001</v>
      </c>
      <c r="L109">
        <v>1483.7619629999999</v>
      </c>
      <c r="M109">
        <v>1515.0489500000001</v>
      </c>
      <c r="N109">
        <v>1546.865112</v>
      </c>
      <c r="O109">
        <v>1579.2467039999999</v>
      </c>
      <c r="P109">
        <v>1612.2222899999999</v>
      </c>
      <c r="Q109">
        <v>1645.8079829999999</v>
      </c>
      <c r="R109">
        <v>1679.958496</v>
      </c>
      <c r="S109">
        <v>1714.6062010000001</v>
      </c>
      <c r="T109">
        <v>1749.828857</v>
      </c>
      <c r="U109">
        <v>1785.697144</v>
      </c>
      <c r="V109">
        <v>1822.179932</v>
      </c>
      <c r="W109">
        <v>1859.2739260000001</v>
      </c>
      <c r="X109">
        <v>1897.0032960000001</v>
      </c>
      <c r="Y109">
        <v>1935.334351</v>
      </c>
      <c r="Z109">
        <v>1974.259033</v>
      </c>
      <c r="AA109">
        <v>2013.7669679999999</v>
      </c>
      <c r="AB109">
        <v>2053.8469239999999</v>
      </c>
      <c r="AC109">
        <v>2094.4934079999998</v>
      </c>
      <c r="AD109">
        <v>2135.6967770000001</v>
      </c>
      <c r="AE109">
        <v>2177.4594729999999</v>
      </c>
      <c r="AF109">
        <v>2219.830078</v>
      </c>
      <c r="AG109">
        <v>2262.873047</v>
      </c>
      <c r="AH109">
        <v>2306.6342770000001</v>
      </c>
      <c r="AI109" s="31">
        <v>3.5000000000000003E-2</v>
      </c>
    </row>
    <row r="110" spans="1:35">
      <c r="A110" t="s">
        <v>442</v>
      </c>
      <c r="B110" t="s">
        <v>1798</v>
      </c>
      <c r="C110" t="s">
        <v>1799</v>
      </c>
      <c r="D110" t="s">
        <v>387</v>
      </c>
      <c r="F110">
        <v>457.99380500000001</v>
      </c>
      <c r="G110">
        <v>580.28509499999996</v>
      </c>
      <c r="H110">
        <v>654.986267</v>
      </c>
      <c r="I110">
        <v>680.76531999999997</v>
      </c>
      <c r="J110">
        <v>711.43078600000001</v>
      </c>
      <c r="K110">
        <v>727.30053699999996</v>
      </c>
      <c r="L110">
        <v>743.324524</v>
      </c>
      <c r="M110">
        <v>759.58312999999998</v>
      </c>
      <c r="N110">
        <v>776.12072799999999</v>
      </c>
      <c r="O110">
        <v>792.95568800000001</v>
      </c>
      <c r="P110">
        <v>810.10845900000004</v>
      </c>
      <c r="Q110">
        <v>827.59625200000005</v>
      </c>
      <c r="R110">
        <v>845.394409</v>
      </c>
      <c r="S110">
        <v>863.46362299999998</v>
      </c>
      <c r="T110">
        <v>881.85449200000005</v>
      </c>
      <c r="U110">
        <v>900.60906999999997</v>
      </c>
      <c r="V110">
        <v>919.70696999999996</v>
      </c>
      <c r="W110">
        <v>939.14758300000005</v>
      </c>
      <c r="X110">
        <v>958.95074499999998</v>
      </c>
      <c r="Y110">
        <v>979.09222399999999</v>
      </c>
      <c r="Z110">
        <v>999.56774900000005</v>
      </c>
      <c r="AA110">
        <v>1020.372314</v>
      </c>
      <c r="AB110">
        <v>1041.499268</v>
      </c>
      <c r="AC110">
        <v>1062.9472659999999</v>
      </c>
      <c r="AD110">
        <v>1084.717163</v>
      </c>
      <c r="AE110">
        <v>1106.8122559999999</v>
      </c>
      <c r="AF110">
        <v>1129.258789</v>
      </c>
      <c r="AG110">
        <v>1152.091797</v>
      </c>
      <c r="AH110">
        <v>1175.3342290000001</v>
      </c>
      <c r="AI110" s="31">
        <v>3.4000000000000002E-2</v>
      </c>
    </row>
    <row r="111" spans="1:35">
      <c r="A111" t="s">
        <v>443</v>
      </c>
      <c r="B111" t="s">
        <v>1800</v>
      </c>
      <c r="C111" t="s">
        <v>1801</v>
      </c>
      <c r="D111" t="s">
        <v>387</v>
      </c>
      <c r="F111">
        <v>384.73519900000002</v>
      </c>
      <c r="G111">
        <v>494.32092299999999</v>
      </c>
      <c r="H111">
        <v>568.28112799999997</v>
      </c>
      <c r="I111">
        <v>599.45251499999995</v>
      </c>
      <c r="J111">
        <v>655.16479500000003</v>
      </c>
      <c r="K111">
        <v>668.54449499999998</v>
      </c>
      <c r="L111">
        <v>682.08648700000003</v>
      </c>
      <c r="M111">
        <v>695.82885699999997</v>
      </c>
      <c r="N111">
        <v>709.79925500000002</v>
      </c>
      <c r="O111">
        <v>724.01422100000002</v>
      </c>
      <c r="P111">
        <v>738.48004200000003</v>
      </c>
      <c r="Q111">
        <v>753.19427499999995</v>
      </c>
      <c r="R111">
        <v>768.13793899999996</v>
      </c>
      <c r="S111">
        <v>783.28631600000006</v>
      </c>
      <c r="T111">
        <v>798.66192599999999</v>
      </c>
      <c r="U111">
        <v>814.29058799999996</v>
      </c>
      <c r="V111">
        <v>830.162598</v>
      </c>
      <c r="W111">
        <v>846.27569600000004</v>
      </c>
      <c r="X111">
        <v>862.63250700000003</v>
      </c>
      <c r="Y111">
        <v>879.22540300000003</v>
      </c>
      <c r="Z111">
        <v>896.05114700000001</v>
      </c>
      <c r="AA111">
        <v>913.104736</v>
      </c>
      <c r="AB111">
        <v>930.38195800000005</v>
      </c>
      <c r="AC111">
        <v>947.878601</v>
      </c>
      <c r="AD111">
        <v>965.584473</v>
      </c>
      <c r="AE111">
        <v>983.49823000000004</v>
      </c>
      <c r="AF111">
        <v>1001.6401980000001</v>
      </c>
      <c r="AG111">
        <v>1020.036865</v>
      </c>
      <c r="AH111">
        <v>1038.7089840000001</v>
      </c>
      <c r="AI111" s="31">
        <v>3.5999999999999997E-2</v>
      </c>
    </row>
    <row r="112" spans="1:35">
      <c r="A112" t="s">
        <v>444</v>
      </c>
      <c r="B112" t="s">
        <v>1802</v>
      </c>
      <c r="C112" t="s">
        <v>1803</v>
      </c>
      <c r="D112" t="s">
        <v>387</v>
      </c>
      <c r="F112">
        <v>34.870902999999998</v>
      </c>
      <c r="G112">
        <v>44.880547</v>
      </c>
      <c r="H112">
        <v>51.685589</v>
      </c>
      <c r="I112">
        <v>53.647475999999997</v>
      </c>
      <c r="J112">
        <v>55.828116999999999</v>
      </c>
      <c r="K112">
        <v>57.083621999999998</v>
      </c>
      <c r="L112">
        <v>58.351047999999999</v>
      </c>
      <c r="M112">
        <v>59.637023999999997</v>
      </c>
      <c r="N112">
        <v>60.945126000000002</v>
      </c>
      <c r="O112">
        <v>62.276809999999998</v>
      </c>
      <c r="P112">
        <v>63.633769999999998</v>
      </c>
      <c r="Q112">
        <v>65.017516999999998</v>
      </c>
      <c r="R112">
        <v>66.426085999999998</v>
      </c>
      <c r="S112">
        <v>67.856292999999994</v>
      </c>
      <c r="T112">
        <v>69.312302000000003</v>
      </c>
      <c r="U112">
        <v>70.797531000000006</v>
      </c>
      <c r="V112">
        <v>72.310294999999996</v>
      </c>
      <c r="W112">
        <v>73.850562999999994</v>
      </c>
      <c r="X112">
        <v>75.420029</v>
      </c>
      <c r="Y112">
        <v>77.016670000000005</v>
      </c>
      <c r="Z112">
        <v>78.640129000000002</v>
      </c>
      <c r="AA112">
        <v>80.290030999999999</v>
      </c>
      <c r="AB112">
        <v>81.965835999999996</v>
      </c>
      <c r="AC112">
        <v>83.667450000000002</v>
      </c>
      <c r="AD112">
        <v>85.395065000000002</v>
      </c>
      <c r="AE112">
        <v>87.148910999999998</v>
      </c>
      <c r="AF112">
        <v>88.931160000000006</v>
      </c>
      <c r="AG112">
        <v>90.744545000000002</v>
      </c>
      <c r="AH112">
        <v>92.590896999999998</v>
      </c>
      <c r="AI112" s="31">
        <v>3.5000000000000003E-2</v>
      </c>
    </row>
    <row r="113" spans="1:35">
      <c r="A113" t="s">
        <v>1631</v>
      </c>
      <c r="B113" t="s">
        <v>1804</v>
      </c>
      <c r="C113" t="s">
        <v>1805</v>
      </c>
      <c r="D113" t="s">
        <v>387</v>
      </c>
      <c r="F113">
        <v>101.69902</v>
      </c>
      <c r="G113">
        <v>148.23710600000001</v>
      </c>
      <c r="H113">
        <v>171.55920399999999</v>
      </c>
      <c r="I113">
        <v>184.58833300000001</v>
      </c>
      <c r="J113">
        <v>200.47425799999999</v>
      </c>
      <c r="K113">
        <v>210.807739</v>
      </c>
      <c r="L113">
        <v>220.13314800000001</v>
      </c>
      <c r="M113">
        <v>221.292801</v>
      </c>
      <c r="N113">
        <v>222.20796200000001</v>
      </c>
      <c r="O113">
        <v>222.935303</v>
      </c>
      <c r="P113">
        <v>223.57605000000001</v>
      </c>
      <c r="Q113">
        <v>224.21723900000001</v>
      </c>
      <c r="R113">
        <v>224.86488299999999</v>
      </c>
      <c r="S113">
        <v>225.51828</v>
      </c>
      <c r="T113">
        <v>226.176514</v>
      </c>
      <c r="U113">
        <v>226.83900499999999</v>
      </c>
      <c r="V113">
        <v>227.50564600000001</v>
      </c>
      <c r="W113">
        <v>228.174622</v>
      </c>
      <c r="X113">
        <v>228.840012</v>
      </c>
      <c r="Y113">
        <v>229.505966</v>
      </c>
      <c r="Z113">
        <v>230.17013499999999</v>
      </c>
      <c r="AA113">
        <v>230.83374000000001</v>
      </c>
      <c r="AB113">
        <v>231.507385</v>
      </c>
      <c r="AC113">
        <v>232.219131</v>
      </c>
      <c r="AD113">
        <v>232.98898299999999</v>
      </c>
      <c r="AE113">
        <v>233.82221999999999</v>
      </c>
      <c r="AF113">
        <v>234.71961999999999</v>
      </c>
      <c r="AG113">
        <v>235.681839</v>
      </c>
      <c r="AH113">
        <v>236.708923</v>
      </c>
      <c r="AI113" s="31">
        <v>3.1E-2</v>
      </c>
    </row>
    <row r="114" spans="1:35">
      <c r="A114" t="s">
        <v>442</v>
      </c>
      <c r="B114" t="s">
        <v>1806</v>
      </c>
      <c r="C114" t="s">
        <v>1807</v>
      </c>
      <c r="D114" t="s">
        <v>387</v>
      </c>
      <c r="F114">
        <v>50.248626999999999</v>
      </c>
      <c r="G114">
        <v>73.327492000000007</v>
      </c>
      <c r="H114">
        <v>80.386336999999997</v>
      </c>
      <c r="I114">
        <v>83.712601000000006</v>
      </c>
      <c r="J114">
        <v>86.558563000000007</v>
      </c>
      <c r="K114">
        <v>88.524124</v>
      </c>
      <c r="L114">
        <v>90.305572999999995</v>
      </c>
      <c r="M114">
        <v>90.819534000000004</v>
      </c>
      <c r="N114">
        <v>91.274376000000004</v>
      </c>
      <c r="O114">
        <v>91.683593999999999</v>
      </c>
      <c r="P114">
        <v>92.070815999999994</v>
      </c>
      <c r="Q114">
        <v>92.456360000000004</v>
      </c>
      <c r="R114">
        <v>92.842277999999993</v>
      </c>
      <c r="S114">
        <v>93.228309999999993</v>
      </c>
      <c r="T114">
        <v>93.614204000000001</v>
      </c>
      <c r="U114">
        <v>94.000174999999999</v>
      </c>
      <c r="V114">
        <v>94.386238000000006</v>
      </c>
      <c r="W114">
        <v>94.772171</v>
      </c>
      <c r="X114">
        <v>95.154160000000005</v>
      </c>
      <c r="Y114">
        <v>95.535126000000005</v>
      </c>
      <c r="Z114">
        <v>95.914664999999999</v>
      </c>
      <c r="AA114">
        <v>96.293319999999994</v>
      </c>
      <c r="AB114">
        <v>96.674294000000003</v>
      </c>
      <c r="AC114">
        <v>97.063903999999994</v>
      </c>
      <c r="AD114">
        <v>97.467574999999997</v>
      </c>
      <c r="AE114">
        <v>97.886573999999996</v>
      </c>
      <c r="AF114">
        <v>98.320922999999993</v>
      </c>
      <c r="AG114">
        <v>98.770683000000005</v>
      </c>
      <c r="AH114">
        <v>99.235695000000007</v>
      </c>
      <c r="AI114" s="31">
        <v>2.5000000000000001E-2</v>
      </c>
    </row>
    <row r="115" spans="1:35">
      <c r="A115" t="s">
        <v>443</v>
      </c>
      <c r="B115" t="s">
        <v>1808</v>
      </c>
      <c r="C115" t="s">
        <v>1809</v>
      </c>
      <c r="D115" t="s">
        <v>387</v>
      </c>
      <c r="F115">
        <v>45.078837999999998</v>
      </c>
      <c r="G115">
        <v>65.604156000000003</v>
      </c>
      <c r="H115">
        <v>81.211539999999999</v>
      </c>
      <c r="I115">
        <v>90.667961000000005</v>
      </c>
      <c r="J115">
        <v>103.62951700000001</v>
      </c>
      <c r="K115">
        <v>111.925438</v>
      </c>
      <c r="L115">
        <v>119.40303</v>
      </c>
      <c r="M115">
        <v>119.986786</v>
      </c>
      <c r="N115">
        <v>120.389191</v>
      </c>
      <c r="O115">
        <v>120.652519</v>
      </c>
      <c r="P115">
        <v>120.852875</v>
      </c>
      <c r="Q115">
        <v>121.055656</v>
      </c>
      <c r="R115">
        <v>121.264656</v>
      </c>
      <c r="S115">
        <v>121.479401</v>
      </c>
      <c r="T115">
        <v>121.69931</v>
      </c>
      <c r="U115">
        <v>121.9235</v>
      </c>
      <c r="V115">
        <v>122.151825</v>
      </c>
      <c r="W115">
        <v>122.382729</v>
      </c>
      <c r="X115">
        <v>122.61462400000001</v>
      </c>
      <c r="Y115">
        <v>122.848282</v>
      </c>
      <c r="Z115">
        <v>123.08181</v>
      </c>
      <c r="AA115">
        <v>123.315765</v>
      </c>
      <c r="AB115">
        <v>123.557365</v>
      </c>
      <c r="AC115">
        <v>123.82785</v>
      </c>
      <c r="AD115">
        <v>124.141457</v>
      </c>
      <c r="AE115">
        <v>124.50206799999999</v>
      </c>
      <c r="AF115">
        <v>124.910492</v>
      </c>
      <c r="AG115">
        <v>125.36726400000001</v>
      </c>
      <c r="AH115">
        <v>125.872688</v>
      </c>
      <c r="AI115" s="31">
        <v>3.6999999999999998E-2</v>
      </c>
    </row>
    <row r="116" spans="1:35">
      <c r="A116" t="s">
        <v>444</v>
      </c>
      <c r="B116" t="s">
        <v>1810</v>
      </c>
      <c r="C116" t="s">
        <v>1811</v>
      </c>
      <c r="D116" t="s">
        <v>387</v>
      </c>
      <c r="F116">
        <v>6.3715529999999996</v>
      </c>
      <c r="G116">
        <v>9.3054469999999991</v>
      </c>
      <c r="H116">
        <v>9.9613259999999997</v>
      </c>
      <c r="I116">
        <v>10.207762000000001</v>
      </c>
      <c r="J116">
        <v>10.286180999999999</v>
      </c>
      <c r="K116">
        <v>10.358179</v>
      </c>
      <c r="L116">
        <v>10.424552</v>
      </c>
      <c r="M116">
        <v>10.486485999999999</v>
      </c>
      <c r="N116">
        <v>10.544403000000001</v>
      </c>
      <c r="O116">
        <v>10.599194000000001</v>
      </c>
      <c r="P116">
        <v>10.652366000000001</v>
      </c>
      <c r="Q116">
        <v>10.705219</v>
      </c>
      <c r="R116">
        <v>10.757960000000001</v>
      </c>
      <c r="S116">
        <v>10.810561</v>
      </c>
      <c r="T116">
        <v>10.863001000000001</v>
      </c>
      <c r="U116">
        <v>10.915336</v>
      </c>
      <c r="V116">
        <v>10.967572000000001</v>
      </c>
      <c r="W116">
        <v>11.019721000000001</v>
      </c>
      <c r="X116">
        <v>11.071241000000001</v>
      </c>
      <c r="Y116">
        <v>11.122562</v>
      </c>
      <c r="Z116">
        <v>11.17367</v>
      </c>
      <c r="AA116">
        <v>11.224634</v>
      </c>
      <c r="AB116">
        <v>11.275739</v>
      </c>
      <c r="AC116">
        <v>11.327367000000001</v>
      </c>
      <c r="AD116">
        <v>11.379951</v>
      </c>
      <c r="AE116">
        <v>11.433577</v>
      </c>
      <c r="AF116">
        <v>11.488227</v>
      </c>
      <c r="AG116">
        <v>11.543894</v>
      </c>
      <c r="AH116">
        <v>11.600548</v>
      </c>
      <c r="AI116" s="31">
        <v>2.1999999999999999E-2</v>
      </c>
    </row>
    <row r="117" spans="1:35">
      <c r="A117" t="s">
        <v>1634</v>
      </c>
      <c r="B117" t="s">
        <v>1812</v>
      </c>
      <c r="C117" t="s">
        <v>1813</v>
      </c>
      <c r="D117" t="s">
        <v>387</v>
      </c>
      <c r="F117">
        <v>83.549149</v>
      </c>
      <c r="G117">
        <v>121.20388</v>
      </c>
      <c r="H117">
        <v>149.299881</v>
      </c>
      <c r="I117">
        <v>168.68980400000001</v>
      </c>
      <c r="J117">
        <v>185.26075700000001</v>
      </c>
      <c r="K117">
        <v>196.63462799999999</v>
      </c>
      <c r="L117">
        <v>207.11045799999999</v>
      </c>
      <c r="M117">
        <v>213.33717300000001</v>
      </c>
      <c r="N117">
        <v>219.69072</v>
      </c>
      <c r="O117">
        <v>226.14747600000001</v>
      </c>
      <c r="P117">
        <v>232.66215500000001</v>
      </c>
      <c r="Q117">
        <v>239.25929300000001</v>
      </c>
      <c r="R117">
        <v>245.94813500000001</v>
      </c>
      <c r="S117">
        <v>252.61059599999999</v>
      </c>
      <c r="T117">
        <v>259.33639499999998</v>
      </c>
      <c r="U117">
        <v>266.22772200000003</v>
      </c>
      <c r="V117">
        <v>273.25830100000002</v>
      </c>
      <c r="W117">
        <v>280.35229500000003</v>
      </c>
      <c r="X117">
        <v>287.51351899999997</v>
      </c>
      <c r="Y117">
        <v>294.79525799999999</v>
      </c>
      <c r="Z117">
        <v>302.209137</v>
      </c>
      <c r="AA117">
        <v>309.75473</v>
      </c>
      <c r="AB117">
        <v>317.43218999999999</v>
      </c>
      <c r="AC117">
        <v>325.23773199999999</v>
      </c>
      <c r="AD117">
        <v>333.16507000000001</v>
      </c>
      <c r="AE117">
        <v>341.21582000000001</v>
      </c>
      <c r="AF117">
        <v>349.41198700000001</v>
      </c>
      <c r="AG117">
        <v>357.75805700000001</v>
      </c>
      <c r="AH117">
        <v>366.25451700000002</v>
      </c>
      <c r="AI117" s="31">
        <v>5.3999999999999999E-2</v>
      </c>
    </row>
    <row r="118" spans="1:35">
      <c r="A118" t="s">
        <v>442</v>
      </c>
      <c r="B118" t="s">
        <v>1814</v>
      </c>
      <c r="C118" t="s">
        <v>1815</v>
      </c>
      <c r="D118" t="s">
        <v>387</v>
      </c>
      <c r="F118">
        <v>36.610782999999998</v>
      </c>
      <c r="G118">
        <v>49.266624</v>
      </c>
      <c r="H118">
        <v>55.787475999999998</v>
      </c>
      <c r="I118">
        <v>59.812798000000001</v>
      </c>
      <c r="J118">
        <v>62.062618000000001</v>
      </c>
      <c r="K118">
        <v>64.106048999999999</v>
      </c>
      <c r="L118">
        <v>66.122321999999997</v>
      </c>
      <c r="M118">
        <v>67.978454999999997</v>
      </c>
      <c r="N118">
        <v>69.866577000000007</v>
      </c>
      <c r="O118">
        <v>71.771736000000004</v>
      </c>
      <c r="P118">
        <v>73.667175</v>
      </c>
      <c r="Q118">
        <v>75.565291999999999</v>
      </c>
      <c r="R118">
        <v>77.469703999999993</v>
      </c>
      <c r="S118">
        <v>79.310828999999998</v>
      </c>
      <c r="T118">
        <v>81.138930999999999</v>
      </c>
      <c r="U118">
        <v>83.011398</v>
      </c>
      <c r="V118">
        <v>84.911300999999995</v>
      </c>
      <c r="W118">
        <v>86.794128000000001</v>
      </c>
      <c r="X118">
        <v>88.660561000000001</v>
      </c>
      <c r="Y118">
        <v>90.540947000000003</v>
      </c>
      <c r="Z118">
        <v>92.441147000000001</v>
      </c>
      <c r="AA118">
        <v>94.360625999999996</v>
      </c>
      <c r="AB118">
        <v>96.298569000000001</v>
      </c>
      <c r="AC118">
        <v>98.252655000000004</v>
      </c>
      <c r="AD118">
        <v>100.218834</v>
      </c>
      <c r="AE118">
        <v>102.197517</v>
      </c>
      <c r="AF118">
        <v>104.200531</v>
      </c>
      <c r="AG118">
        <v>106.229347</v>
      </c>
      <c r="AH118">
        <v>108.28325700000001</v>
      </c>
      <c r="AI118" s="31">
        <v>3.9E-2</v>
      </c>
    </row>
    <row r="119" spans="1:35">
      <c r="A119" t="s">
        <v>443</v>
      </c>
      <c r="B119" t="s">
        <v>1816</v>
      </c>
      <c r="C119" t="s">
        <v>1817</v>
      </c>
      <c r="D119" t="s">
        <v>387</v>
      </c>
      <c r="F119">
        <v>42.035438999999997</v>
      </c>
      <c r="G119">
        <v>65.305633999999998</v>
      </c>
      <c r="H119">
        <v>85.952704999999995</v>
      </c>
      <c r="I119">
        <v>100.826874</v>
      </c>
      <c r="J119">
        <v>114.9105</v>
      </c>
      <c r="K119">
        <v>124.001762</v>
      </c>
      <c r="L119">
        <v>132.22051999999999</v>
      </c>
      <c r="M119">
        <v>136.34762599999999</v>
      </c>
      <c r="N119">
        <v>140.56552099999999</v>
      </c>
      <c r="O119">
        <v>144.867615</v>
      </c>
      <c r="P119">
        <v>149.23921200000001</v>
      </c>
      <c r="Q119">
        <v>153.69073499999999</v>
      </c>
      <c r="R119">
        <v>158.22726399999999</v>
      </c>
      <c r="S119">
        <v>162.81016500000001</v>
      </c>
      <c r="T119">
        <v>167.47184799999999</v>
      </c>
      <c r="U119">
        <v>172.249008</v>
      </c>
      <c r="V119">
        <v>177.13464400000001</v>
      </c>
      <c r="W119">
        <v>182.10375999999999</v>
      </c>
      <c r="X119">
        <v>187.15948499999999</v>
      </c>
      <c r="Y119">
        <v>192.320404</v>
      </c>
      <c r="Z119">
        <v>197.591431</v>
      </c>
      <c r="AA119">
        <v>202.97283899999999</v>
      </c>
      <c r="AB119">
        <v>208.46565200000001</v>
      </c>
      <c r="AC119">
        <v>214.06880200000001</v>
      </c>
      <c r="AD119">
        <v>219.78054800000001</v>
      </c>
      <c r="AE119">
        <v>225.60205099999999</v>
      </c>
      <c r="AF119">
        <v>231.54188500000001</v>
      </c>
      <c r="AG119">
        <v>237.602844</v>
      </c>
      <c r="AH119">
        <v>243.78623999999999</v>
      </c>
      <c r="AI119" s="31">
        <v>6.5000000000000002E-2</v>
      </c>
    </row>
    <row r="120" spans="1:35">
      <c r="A120" t="s">
        <v>444</v>
      </c>
      <c r="B120" t="s">
        <v>1818</v>
      </c>
      <c r="C120" t="s">
        <v>1819</v>
      </c>
      <c r="D120" t="s">
        <v>387</v>
      </c>
      <c r="F120">
        <v>4.9029309999999997</v>
      </c>
      <c r="G120">
        <v>6.6316170000000003</v>
      </c>
      <c r="H120">
        <v>7.559685</v>
      </c>
      <c r="I120">
        <v>8.050122</v>
      </c>
      <c r="J120">
        <v>8.2876220000000007</v>
      </c>
      <c r="K120">
        <v>8.5268130000000006</v>
      </c>
      <c r="L120">
        <v>8.7675959999999993</v>
      </c>
      <c r="M120">
        <v>9.0110759999999992</v>
      </c>
      <c r="N120">
        <v>9.2586300000000001</v>
      </c>
      <c r="O120">
        <v>9.5081220000000002</v>
      </c>
      <c r="P120">
        <v>9.7557609999999997</v>
      </c>
      <c r="Q120">
        <v>10.003282</v>
      </c>
      <c r="R120">
        <v>10.25118</v>
      </c>
      <c r="S120">
        <v>10.489587</v>
      </c>
      <c r="T120">
        <v>10.725602</v>
      </c>
      <c r="U120">
        <v>10.967332000000001</v>
      </c>
      <c r="V120">
        <v>11.212358</v>
      </c>
      <c r="W120">
        <v>11.454371999999999</v>
      </c>
      <c r="X120">
        <v>11.693458</v>
      </c>
      <c r="Y120">
        <v>11.933901000000001</v>
      </c>
      <c r="Z120">
        <v>12.176525</v>
      </c>
      <c r="AA120">
        <v>12.421250000000001</v>
      </c>
      <c r="AB120">
        <v>12.667951</v>
      </c>
      <c r="AC120">
        <v>12.916296000000001</v>
      </c>
      <c r="AD120">
        <v>13.165709</v>
      </c>
      <c r="AE120">
        <v>13.416244000000001</v>
      </c>
      <c r="AF120">
        <v>13.669560000000001</v>
      </c>
      <c r="AG120">
        <v>13.925858</v>
      </c>
      <c r="AH120">
        <v>14.185025</v>
      </c>
      <c r="AI120" s="31">
        <v>3.9E-2</v>
      </c>
    </row>
    <row r="121" spans="1:35">
      <c r="A121" t="s">
        <v>1637</v>
      </c>
      <c r="B121" t="s">
        <v>1820</v>
      </c>
      <c r="C121" t="s">
        <v>1821</v>
      </c>
      <c r="D121" t="s">
        <v>387</v>
      </c>
      <c r="F121">
        <v>47.442936000000003</v>
      </c>
      <c r="G121">
        <v>63.984814</v>
      </c>
      <c r="H121">
        <v>76.679648999999998</v>
      </c>
      <c r="I121">
        <v>84.804374999999993</v>
      </c>
      <c r="J121">
        <v>96.071860999999998</v>
      </c>
      <c r="K121">
        <v>103.20470400000001</v>
      </c>
      <c r="L121">
        <v>109.64166299999999</v>
      </c>
      <c r="M121">
        <v>113.054253</v>
      </c>
      <c r="N121">
        <v>116.271835</v>
      </c>
      <c r="O121">
        <v>118.54128300000001</v>
      </c>
      <c r="P121">
        <v>119.45050000000001</v>
      </c>
      <c r="Q121">
        <v>120.097984</v>
      </c>
      <c r="R121">
        <v>120.730469</v>
      </c>
      <c r="S121">
        <v>121.325287</v>
      </c>
      <c r="T121">
        <v>121.94425200000001</v>
      </c>
      <c r="U121">
        <v>122.356194</v>
      </c>
      <c r="V121">
        <v>122.580017</v>
      </c>
      <c r="W121">
        <v>122.83268700000001</v>
      </c>
      <c r="X121">
        <v>123.255264</v>
      </c>
      <c r="Y121">
        <v>123.997055</v>
      </c>
      <c r="Z121">
        <v>125.002296</v>
      </c>
      <c r="AA121">
        <v>126.128738</v>
      </c>
      <c r="AB121">
        <v>127.33571600000001</v>
      </c>
      <c r="AC121">
        <v>128.549927</v>
      </c>
      <c r="AD121">
        <v>129.68714900000001</v>
      </c>
      <c r="AE121">
        <v>130.74594099999999</v>
      </c>
      <c r="AF121">
        <v>131.83163500000001</v>
      </c>
      <c r="AG121">
        <v>133.03767400000001</v>
      </c>
      <c r="AH121">
        <v>134.431183</v>
      </c>
      <c r="AI121" s="31">
        <v>3.7999999999999999E-2</v>
      </c>
    </row>
    <row r="122" spans="1:35">
      <c r="A122" t="s">
        <v>442</v>
      </c>
      <c r="B122" t="s">
        <v>1822</v>
      </c>
      <c r="C122" t="s">
        <v>1823</v>
      </c>
      <c r="D122" t="s">
        <v>387</v>
      </c>
      <c r="F122">
        <v>18.514890999999999</v>
      </c>
      <c r="G122">
        <v>23.544308000000001</v>
      </c>
      <c r="H122">
        <v>27.278258999999998</v>
      </c>
      <c r="I122">
        <v>29.958317000000001</v>
      </c>
      <c r="J122">
        <v>33.320217</v>
      </c>
      <c r="K122">
        <v>35.412486999999999</v>
      </c>
      <c r="L122">
        <v>37.304820999999997</v>
      </c>
      <c r="M122">
        <v>38.347121999999999</v>
      </c>
      <c r="N122">
        <v>39.329655000000002</v>
      </c>
      <c r="O122">
        <v>40.027821000000003</v>
      </c>
      <c r="P122">
        <v>40.319026999999998</v>
      </c>
      <c r="Q122">
        <v>40.531295999999998</v>
      </c>
      <c r="R122">
        <v>40.737929999999999</v>
      </c>
      <c r="S122">
        <v>40.931778000000001</v>
      </c>
      <c r="T122">
        <v>41.131241000000003</v>
      </c>
      <c r="U122">
        <v>41.267432999999997</v>
      </c>
      <c r="V122">
        <v>41.346015999999999</v>
      </c>
      <c r="W122">
        <v>41.431797000000003</v>
      </c>
      <c r="X122">
        <v>41.566597000000002</v>
      </c>
      <c r="Y122">
        <v>41.795025000000003</v>
      </c>
      <c r="Z122">
        <v>42.100310999999998</v>
      </c>
      <c r="AA122">
        <v>42.440052000000001</v>
      </c>
      <c r="AB122">
        <v>42.802154999999999</v>
      </c>
      <c r="AC122">
        <v>43.164817999999997</v>
      </c>
      <c r="AD122">
        <v>43.502853000000002</v>
      </c>
      <c r="AE122">
        <v>43.815761999999999</v>
      </c>
      <c r="AF122">
        <v>44.134929999999997</v>
      </c>
      <c r="AG122">
        <v>44.488182000000002</v>
      </c>
      <c r="AH122">
        <v>44.895415999999997</v>
      </c>
      <c r="AI122" s="31">
        <v>3.2000000000000001E-2</v>
      </c>
    </row>
    <row r="123" spans="1:35">
      <c r="A123" t="s">
        <v>443</v>
      </c>
      <c r="B123" t="s">
        <v>1824</v>
      </c>
      <c r="C123" t="s">
        <v>1825</v>
      </c>
      <c r="D123" t="s">
        <v>387</v>
      </c>
      <c r="F123">
        <v>28.078714000000002</v>
      </c>
      <c r="G123">
        <v>39.546764000000003</v>
      </c>
      <c r="H123">
        <v>48.440437000000003</v>
      </c>
      <c r="I123">
        <v>53.814338999999997</v>
      </c>
      <c r="J123">
        <v>61.674225</v>
      </c>
      <c r="K123">
        <v>66.691176999999996</v>
      </c>
      <c r="L123">
        <v>71.213875000000002</v>
      </c>
      <c r="M123">
        <v>73.566772</v>
      </c>
      <c r="N123">
        <v>75.785445999999993</v>
      </c>
      <c r="O123">
        <v>77.344414</v>
      </c>
      <c r="P123">
        <v>77.955794999999995</v>
      </c>
      <c r="Q123">
        <v>78.385551000000007</v>
      </c>
      <c r="R123">
        <v>78.806213</v>
      </c>
      <c r="S123">
        <v>79.202354</v>
      </c>
      <c r="T123">
        <v>79.617142000000001</v>
      </c>
      <c r="U123">
        <v>79.889267000000004</v>
      </c>
      <c r="V123">
        <v>80.031859999999995</v>
      </c>
      <c r="W123">
        <v>80.196190000000001</v>
      </c>
      <c r="X123">
        <v>80.480971999999994</v>
      </c>
      <c r="Y123">
        <v>80.990279999999998</v>
      </c>
      <c r="Z123">
        <v>81.685349000000002</v>
      </c>
      <c r="AA123">
        <v>82.466942000000003</v>
      </c>
      <c r="AB123">
        <v>83.306633000000005</v>
      </c>
      <c r="AC123">
        <v>84.153221000000002</v>
      </c>
      <c r="AD123">
        <v>84.947968000000003</v>
      </c>
      <c r="AE123">
        <v>85.690010000000001</v>
      </c>
      <c r="AF123">
        <v>86.452820000000003</v>
      </c>
      <c r="AG123">
        <v>87.301688999999996</v>
      </c>
      <c r="AH123">
        <v>88.283600000000007</v>
      </c>
      <c r="AI123" s="31">
        <v>4.2000000000000003E-2</v>
      </c>
    </row>
    <row r="124" spans="1:35">
      <c r="A124" t="s">
        <v>444</v>
      </c>
      <c r="B124" t="s">
        <v>1826</v>
      </c>
      <c r="C124" t="s">
        <v>1827</v>
      </c>
      <c r="D124" t="s">
        <v>387</v>
      </c>
      <c r="F124">
        <v>0.84932799999999997</v>
      </c>
      <c r="G124">
        <v>0.89373599999999997</v>
      </c>
      <c r="H124">
        <v>0.960955</v>
      </c>
      <c r="I124">
        <v>1.031712</v>
      </c>
      <c r="J124">
        <v>1.077413</v>
      </c>
      <c r="K124">
        <v>1.10103</v>
      </c>
      <c r="L124">
        <v>1.1229610000000001</v>
      </c>
      <c r="M124">
        <v>1.14036</v>
      </c>
      <c r="N124">
        <v>1.1567350000000001</v>
      </c>
      <c r="O124">
        <v>1.169046</v>
      </c>
      <c r="P124">
        <v>1.1756770000000001</v>
      </c>
      <c r="Q124">
        <v>1.1811229999999999</v>
      </c>
      <c r="R124">
        <v>1.186334</v>
      </c>
      <c r="S124">
        <v>1.1911659999999999</v>
      </c>
      <c r="T124">
        <v>1.1958610000000001</v>
      </c>
      <c r="U124">
        <v>1.1994929999999999</v>
      </c>
      <c r="V124">
        <v>1.2021440000000001</v>
      </c>
      <c r="W124">
        <v>1.2047049999999999</v>
      </c>
      <c r="X124">
        <v>1.2077059999999999</v>
      </c>
      <c r="Y124">
        <v>1.2117629999999999</v>
      </c>
      <c r="Z124">
        <v>1.2166319999999999</v>
      </c>
      <c r="AA124">
        <v>1.221738</v>
      </c>
      <c r="AB124">
        <v>1.226926</v>
      </c>
      <c r="AC124">
        <v>1.231905</v>
      </c>
      <c r="AD124">
        <v>1.2363299999999999</v>
      </c>
      <c r="AE124">
        <v>1.2401800000000001</v>
      </c>
      <c r="AF124">
        <v>1.243879</v>
      </c>
      <c r="AG124">
        <v>1.247797</v>
      </c>
      <c r="AH124">
        <v>1.2521850000000001</v>
      </c>
      <c r="AI124" s="31">
        <v>1.4E-2</v>
      </c>
    </row>
    <row r="125" spans="1:35">
      <c r="A125" t="s">
        <v>1640</v>
      </c>
      <c r="B125" t="s">
        <v>1828</v>
      </c>
      <c r="C125" t="s">
        <v>1829</v>
      </c>
      <c r="D125" t="s">
        <v>387</v>
      </c>
      <c r="F125">
        <v>142.31442300000001</v>
      </c>
      <c r="G125">
        <v>151.89007599999999</v>
      </c>
      <c r="H125">
        <v>163.864655</v>
      </c>
      <c r="I125">
        <v>171.73625200000001</v>
      </c>
      <c r="J125">
        <v>178.46945199999999</v>
      </c>
      <c r="K125">
        <v>183.10032699999999</v>
      </c>
      <c r="L125">
        <v>186.982193</v>
      </c>
      <c r="M125">
        <v>189.93190000000001</v>
      </c>
      <c r="N125">
        <v>192.93220500000001</v>
      </c>
      <c r="O125">
        <v>196.037003</v>
      </c>
      <c r="P125">
        <v>199.21478300000001</v>
      </c>
      <c r="Q125">
        <v>202.44252</v>
      </c>
      <c r="R125">
        <v>205.73057600000001</v>
      </c>
      <c r="S125">
        <v>209.08891299999999</v>
      </c>
      <c r="T125">
        <v>212.51480100000001</v>
      </c>
      <c r="U125">
        <v>216.002655</v>
      </c>
      <c r="V125">
        <v>219.55929599999999</v>
      </c>
      <c r="W125">
        <v>223.19146699999999</v>
      </c>
      <c r="X125">
        <v>226.899384</v>
      </c>
      <c r="Y125">
        <v>230.68907200000001</v>
      </c>
      <c r="Z125">
        <v>234.55947900000001</v>
      </c>
      <c r="AA125">
        <v>238.509064</v>
      </c>
      <c r="AB125">
        <v>242.53810100000001</v>
      </c>
      <c r="AC125">
        <v>246.64561499999999</v>
      </c>
      <c r="AD125">
        <v>250.83862300000001</v>
      </c>
      <c r="AE125">
        <v>255.11831699999999</v>
      </c>
      <c r="AF125">
        <v>259.48089599999997</v>
      </c>
      <c r="AG125">
        <v>263.92275999999998</v>
      </c>
      <c r="AH125">
        <v>268.437927</v>
      </c>
      <c r="AI125" s="31">
        <v>2.3E-2</v>
      </c>
    </row>
    <row r="126" spans="1:35">
      <c r="A126" t="s">
        <v>442</v>
      </c>
      <c r="B126" t="s">
        <v>1830</v>
      </c>
      <c r="C126" t="s">
        <v>1831</v>
      </c>
      <c r="D126" t="s">
        <v>387</v>
      </c>
      <c r="F126">
        <v>110.081108</v>
      </c>
      <c r="G126">
        <v>115.58123000000001</v>
      </c>
      <c r="H126">
        <v>122.967361</v>
      </c>
      <c r="I126">
        <v>127.819969</v>
      </c>
      <c r="J126">
        <v>132.20107999999999</v>
      </c>
      <c r="K126">
        <v>135.314087</v>
      </c>
      <c r="L126">
        <v>137.98341400000001</v>
      </c>
      <c r="M126">
        <v>140.101517</v>
      </c>
      <c r="N126">
        <v>142.25581399999999</v>
      </c>
      <c r="O126">
        <v>144.48762500000001</v>
      </c>
      <c r="P126">
        <v>146.77302599999999</v>
      </c>
      <c r="Q126">
        <v>149.094009</v>
      </c>
      <c r="R126">
        <v>151.45791600000001</v>
      </c>
      <c r="S126">
        <v>153.87184099999999</v>
      </c>
      <c r="T126">
        <v>156.33377100000001</v>
      </c>
      <c r="U126">
        <v>158.83955399999999</v>
      </c>
      <c r="V126">
        <v>161.39404300000001</v>
      </c>
      <c r="W126">
        <v>164.00202899999999</v>
      </c>
      <c r="X126">
        <v>166.662949</v>
      </c>
      <c r="Y126">
        <v>169.381439</v>
      </c>
      <c r="Z126">
        <v>172.15664699999999</v>
      </c>
      <c r="AA126">
        <v>174.987381</v>
      </c>
      <c r="AB126">
        <v>177.87385599999999</v>
      </c>
      <c r="AC126">
        <v>180.81530799999999</v>
      </c>
      <c r="AD126">
        <v>183.81668099999999</v>
      </c>
      <c r="AE126">
        <v>186.878784</v>
      </c>
      <c r="AF126">
        <v>189.99884</v>
      </c>
      <c r="AG126">
        <v>193.17420999999999</v>
      </c>
      <c r="AH126">
        <v>196.40057400000001</v>
      </c>
      <c r="AI126" s="31">
        <v>2.1000000000000001E-2</v>
      </c>
    </row>
    <row r="127" spans="1:35">
      <c r="A127" t="s">
        <v>443</v>
      </c>
      <c r="B127" t="s">
        <v>1832</v>
      </c>
      <c r="C127" t="s">
        <v>1833</v>
      </c>
      <c r="D127" t="s">
        <v>387</v>
      </c>
      <c r="F127">
        <v>17.723891999999999</v>
      </c>
      <c r="G127">
        <v>21.558128</v>
      </c>
      <c r="H127">
        <v>25.640647999999999</v>
      </c>
      <c r="I127">
        <v>28.409416</v>
      </c>
      <c r="J127">
        <v>30.442050999999999</v>
      </c>
      <c r="K127">
        <v>31.694476999999999</v>
      </c>
      <c r="L127">
        <v>32.657162</v>
      </c>
      <c r="M127">
        <v>33.257838999999997</v>
      </c>
      <c r="N127">
        <v>33.868983999999998</v>
      </c>
      <c r="O127">
        <v>34.497799000000001</v>
      </c>
      <c r="P127">
        <v>35.139740000000003</v>
      </c>
      <c r="Q127">
        <v>35.792296999999998</v>
      </c>
      <c r="R127">
        <v>36.457706000000002</v>
      </c>
      <c r="S127">
        <v>37.138069000000002</v>
      </c>
      <c r="T127">
        <v>37.832951000000001</v>
      </c>
      <c r="U127">
        <v>38.541350999999999</v>
      </c>
      <c r="V127">
        <v>39.264755000000001</v>
      </c>
      <c r="W127">
        <v>40.004631000000003</v>
      </c>
      <c r="X127">
        <v>40.762042999999998</v>
      </c>
      <c r="Y127">
        <v>41.537818999999999</v>
      </c>
      <c r="Z127">
        <v>42.331817999999998</v>
      </c>
      <c r="AA127">
        <v>43.143847999999998</v>
      </c>
      <c r="AB127">
        <v>43.973972000000003</v>
      </c>
      <c r="AC127">
        <v>44.822124000000002</v>
      </c>
      <c r="AD127">
        <v>45.689816</v>
      </c>
      <c r="AE127">
        <v>46.577365999999998</v>
      </c>
      <c r="AF127">
        <v>47.484093000000001</v>
      </c>
      <c r="AG127">
        <v>48.409294000000003</v>
      </c>
      <c r="AH127">
        <v>49.351832999999999</v>
      </c>
      <c r="AI127" s="31">
        <v>3.6999999999999998E-2</v>
      </c>
    </row>
    <row r="128" spans="1:35">
      <c r="A128" t="s">
        <v>444</v>
      </c>
      <c r="B128" t="s">
        <v>1834</v>
      </c>
      <c r="C128" t="s">
        <v>1835</v>
      </c>
      <c r="D128" t="s">
        <v>387</v>
      </c>
      <c r="F128">
        <v>14.50943</v>
      </c>
      <c r="G128">
        <v>14.750728000000001</v>
      </c>
      <c r="H128">
        <v>15.256656</v>
      </c>
      <c r="I128">
        <v>15.506875000000001</v>
      </c>
      <c r="J128">
        <v>15.82633</v>
      </c>
      <c r="K128">
        <v>16.091740000000001</v>
      </c>
      <c r="L128">
        <v>16.341602000000002</v>
      </c>
      <c r="M128">
        <v>16.572548000000001</v>
      </c>
      <c r="N128">
        <v>16.807404999999999</v>
      </c>
      <c r="O128">
        <v>17.051577000000002</v>
      </c>
      <c r="P128">
        <v>17.302004</v>
      </c>
      <c r="Q128">
        <v>17.556206</v>
      </c>
      <c r="R128">
        <v>17.814955000000001</v>
      </c>
      <c r="S128">
        <v>18.079001999999999</v>
      </c>
      <c r="T128">
        <v>18.348101</v>
      </c>
      <c r="U128">
        <v>18.621765</v>
      </c>
      <c r="V128">
        <v>18.900500999999998</v>
      </c>
      <c r="W128">
        <v>19.184811</v>
      </c>
      <c r="X128">
        <v>19.474388000000001</v>
      </c>
      <c r="Y128">
        <v>19.769831</v>
      </c>
      <c r="Z128">
        <v>20.071031999999999</v>
      </c>
      <c r="AA128">
        <v>20.377831</v>
      </c>
      <c r="AB128">
        <v>20.690248</v>
      </c>
      <c r="AC128">
        <v>21.008171000000001</v>
      </c>
      <c r="AD128">
        <v>21.332118999999999</v>
      </c>
      <c r="AE128">
        <v>21.662158999999999</v>
      </c>
      <c r="AF128">
        <v>21.997971</v>
      </c>
      <c r="AG128">
        <v>22.339255999999999</v>
      </c>
      <c r="AH128">
        <v>22.685524000000001</v>
      </c>
      <c r="AI128" s="31">
        <v>1.6E-2</v>
      </c>
    </row>
    <row r="129" spans="1:35">
      <c r="A129" t="s">
        <v>1643</v>
      </c>
      <c r="B129" t="s">
        <v>1836</v>
      </c>
      <c r="C129" t="s">
        <v>1837</v>
      </c>
      <c r="D129" t="s">
        <v>387</v>
      </c>
      <c r="F129">
        <v>48.721522999999998</v>
      </c>
      <c r="G129">
        <v>61.768990000000002</v>
      </c>
      <c r="H129">
        <v>73.845116000000004</v>
      </c>
      <c r="I129">
        <v>82.664268000000007</v>
      </c>
      <c r="J129">
        <v>90.551765000000003</v>
      </c>
      <c r="K129">
        <v>94.869156000000004</v>
      </c>
      <c r="L129">
        <v>98.194419999999994</v>
      </c>
      <c r="M129">
        <v>100.99239300000001</v>
      </c>
      <c r="N129">
        <v>103.867386</v>
      </c>
      <c r="O129">
        <v>106.882401</v>
      </c>
      <c r="P129">
        <v>109.995766</v>
      </c>
      <c r="Q129">
        <v>113.19216900000001</v>
      </c>
      <c r="R129">
        <v>116.47422</v>
      </c>
      <c r="S129">
        <v>119.84822800000001</v>
      </c>
      <c r="T129">
        <v>123.249786</v>
      </c>
      <c r="U129">
        <v>126.73764799999999</v>
      </c>
      <c r="V129">
        <v>130.315765</v>
      </c>
      <c r="W129">
        <v>133.98472599999999</v>
      </c>
      <c r="X129">
        <v>137.747986</v>
      </c>
      <c r="Y129">
        <v>141.534378</v>
      </c>
      <c r="Z129">
        <v>145.41456600000001</v>
      </c>
      <c r="AA129">
        <v>149.39035000000001</v>
      </c>
      <c r="AB129">
        <v>153.46047999999999</v>
      </c>
      <c r="AC129">
        <v>157.62562600000001</v>
      </c>
      <c r="AD129">
        <v>161.804001</v>
      </c>
      <c r="AE129">
        <v>166.075638</v>
      </c>
      <c r="AF129">
        <v>170.446091</v>
      </c>
      <c r="AG129">
        <v>174.919006</v>
      </c>
      <c r="AH129">
        <v>179.497559</v>
      </c>
      <c r="AI129" s="31">
        <v>4.8000000000000001E-2</v>
      </c>
    </row>
    <row r="130" spans="1:35">
      <c r="A130" t="s">
        <v>442</v>
      </c>
      <c r="B130" t="s">
        <v>1838</v>
      </c>
      <c r="C130" t="s">
        <v>1839</v>
      </c>
      <c r="D130" t="s">
        <v>387</v>
      </c>
      <c r="F130">
        <v>40.367882000000002</v>
      </c>
      <c r="G130">
        <v>51.182053000000003</v>
      </c>
      <c r="H130">
        <v>61.307991000000001</v>
      </c>
      <c r="I130">
        <v>68.604468999999995</v>
      </c>
      <c r="J130">
        <v>75.149856999999997</v>
      </c>
      <c r="K130">
        <v>78.746758</v>
      </c>
      <c r="L130">
        <v>81.512482000000006</v>
      </c>
      <c r="M130">
        <v>83.836219999999997</v>
      </c>
      <c r="N130">
        <v>86.223915000000005</v>
      </c>
      <c r="O130">
        <v>88.727737000000005</v>
      </c>
      <c r="P130">
        <v>91.313179000000005</v>
      </c>
      <c r="Q130">
        <v>93.967590000000001</v>
      </c>
      <c r="R130">
        <v>96.693107999999995</v>
      </c>
      <c r="S130">
        <v>99.494986999999995</v>
      </c>
      <c r="T130">
        <v>102.32</v>
      </c>
      <c r="U130">
        <v>105.216705</v>
      </c>
      <c r="V130">
        <v>108.188377</v>
      </c>
      <c r="W130">
        <v>111.235527</v>
      </c>
      <c r="X130">
        <v>114.361046</v>
      </c>
      <c r="Y130">
        <v>117.506035</v>
      </c>
      <c r="Z130">
        <v>120.728973</v>
      </c>
      <c r="AA130">
        <v>124.031364</v>
      </c>
      <c r="AB130">
        <v>127.412148</v>
      </c>
      <c r="AC130">
        <v>130.871872</v>
      </c>
      <c r="AD130">
        <v>134.342804</v>
      </c>
      <c r="AE130">
        <v>137.89123499999999</v>
      </c>
      <c r="AF130">
        <v>141.52177399999999</v>
      </c>
      <c r="AG130">
        <v>145.23748800000001</v>
      </c>
      <c r="AH130">
        <v>149.04101600000001</v>
      </c>
      <c r="AI130" s="31">
        <v>4.8000000000000001E-2</v>
      </c>
    </row>
    <row r="131" spans="1:35">
      <c r="A131" t="s">
        <v>443</v>
      </c>
      <c r="B131" t="s">
        <v>1840</v>
      </c>
      <c r="C131" t="s">
        <v>1841</v>
      </c>
      <c r="D131" t="s">
        <v>387</v>
      </c>
      <c r="F131">
        <v>4.8107499999999996</v>
      </c>
      <c r="G131">
        <v>6.1307200000000002</v>
      </c>
      <c r="H131">
        <v>7.171532</v>
      </c>
      <c r="I131">
        <v>7.9921449999999998</v>
      </c>
      <c r="J131">
        <v>8.7539029999999993</v>
      </c>
      <c r="K131">
        <v>9.1908320000000003</v>
      </c>
      <c r="L131">
        <v>9.5208630000000003</v>
      </c>
      <c r="M131">
        <v>9.7937060000000002</v>
      </c>
      <c r="N131">
        <v>10.074055</v>
      </c>
      <c r="O131">
        <v>10.367825</v>
      </c>
      <c r="P131">
        <v>10.671106999999999</v>
      </c>
      <c r="Q131">
        <v>10.982485</v>
      </c>
      <c r="R131">
        <v>11.302196</v>
      </c>
      <c r="S131">
        <v>11.630836</v>
      </c>
      <c r="T131">
        <v>11.962536999999999</v>
      </c>
      <c r="U131">
        <v>12.302671</v>
      </c>
      <c r="V131">
        <v>12.651629</v>
      </c>
      <c r="W131">
        <v>13.009482</v>
      </c>
      <c r="X131">
        <v>13.376611</v>
      </c>
      <c r="Y131">
        <v>13.746362</v>
      </c>
      <c r="Z131">
        <v>14.125339</v>
      </c>
      <c r="AA131">
        <v>14.513700999999999</v>
      </c>
      <c r="AB131">
        <v>14.911319000000001</v>
      </c>
      <c r="AC131">
        <v>15.318254</v>
      </c>
      <c r="AD131">
        <v>15.726773</v>
      </c>
      <c r="AE131">
        <v>16.144462999999998</v>
      </c>
      <c r="AF131">
        <v>16.571867000000001</v>
      </c>
      <c r="AG131">
        <v>17.009353999999998</v>
      </c>
      <c r="AH131">
        <v>17.457253999999999</v>
      </c>
      <c r="AI131" s="31">
        <v>4.7E-2</v>
      </c>
    </row>
    <row r="132" spans="1:35">
      <c r="A132" t="s">
        <v>444</v>
      </c>
      <c r="B132" t="s">
        <v>1842</v>
      </c>
      <c r="C132" t="s">
        <v>1843</v>
      </c>
      <c r="D132" t="s">
        <v>387</v>
      </c>
      <c r="F132">
        <v>3.542891</v>
      </c>
      <c r="G132">
        <v>4.4562160000000004</v>
      </c>
      <c r="H132">
        <v>5.3655970000000002</v>
      </c>
      <c r="I132">
        <v>6.0676459999999999</v>
      </c>
      <c r="J132">
        <v>6.6479980000000003</v>
      </c>
      <c r="K132">
        <v>6.9315740000000003</v>
      </c>
      <c r="L132">
        <v>7.161073</v>
      </c>
      <c r="M132">
        <v>7.3624660000000004</v>
      </c>
      <c r="N132">
        <v>7.5694160000000004</v>
      </c>
      <c r="O132">
        <v>7.7868430000000002</v>
      </c>
      <c r="P132">
        <v>8.0114780000000003</v>
      </c>
      <c r="Q132">
        <v>8.2420969999999993</v>
      </c>
      <c r="R132">
        <v>8.4789100000000008</v>
      </c>
      <c r="S132">
        <v>8.7224079999999997</v>
      </c>
      <c r="T132">
        <v>8.9672540000000005</v>
      </c>
      <c r="U132">
        <v>9.2182739999999992</v>
      </c>
      <c r="V132">
        <v>9.4757580000000008</v>
      </c>
      <c r="W132">
        <v>9.7397179999999999</v>
      </c>
      <c r="X132">
        <v>10.010329</v>
      </c>
      <c r="Y132">
        <v>10.281976999999999</v>
      </c>
      <c r="Z132">
        <v>10.560243</v>
      </c>
      <c r="AA132">
        <v>10.845281999999999</v>
      </c>
      <c r="AB132">
        <v>11.137014000000001</v>
      </c>
      <c r="AC132">
        <v>11.435499999999999</v>
      </c>
      <c r="AD132">
        <v>11.734435</v>
      </c>
      <c r="AE132">
        <v>12.039953000000001</v>
      </c>
      <c r="AF132">
        <v>12.352451</v>
      </c>
      <c r="AG132">
        <v>12.67216</v>
      </c>
      <c r="AH132">
        <v>12.999294000000001</v>
      </c>
      <c r="AI132" s="31">
        <v>4.8000000000000001E-2</v>
      </c>
    </row>
    <row r="133" spans="1:35">
      <c r="A133" t="s">
        <v>435</v>
      </c>
      <c r="B133" t="s">
        <v>1844</v>
      </c>
      <c r="C133" t="s">
        <v>1845</v>
      </c>
      <c r="D133" t="s">
        <v>387</v>
      </c>
      <c r="F133">
        <v>782.72277799999995</v>
      </c>
      <c r="G133">
        <v>779.99255400000004</v>
      </c>
      <c r="H133">
        <v>777.24194299999999</v>
      </c>
      <c r="I133">
        <v>836.20019500000001</v>
      </c>
      <c r="J133">
        <v>900.88647500000002</v>
      </c>
      <c r="K133">
        <v>959.77856399999996</v>
      </c>
      <c r="L133">
        <v>1015.328857</v>
      </c>
      <c r="M133">
        <v>1071.4494629999999</v>
      </c>
      <c r="N133">
        <v>1127.8001710000001</v>
      </c>
      <c r="O133">
        <v>1184.857544</v>
      </c>
      <c r="P133">
        <v>1242.602173</v>
      </c>
      <c r="Q133">
        <v>1300.8637699999999</v>
      </c>
      <c r="R133">
        <v>1359.7788089999999</v>
      </c>
      <c r="S133">
        <v>1419.6533199999999</v>
      </c>
      <c r="T133">
        <v>1480.3670649999999</v>
      </c>
      <c r="U133">
        <v>1541.5150149999999</v>
      </c>
      <c r="V133">
        <v>1603.139404</v>
      </c>
      <c r="W133">
        <v>1665.5854489999999</v>
      </c>
      <c r="X133">
        <v>1729.3858640000001</v>
      </c>
      <c r="Y133">
        <v>1795.155029</v>
      </c>
      <c r="Z133">
        <v>1862.857422</v>
      </c>
      <c r="AA133">
        <v>1931.973999</v>
      </c>
      <c r="AB133">
        <v>2001.8626710000001</v>
      </c>
      <c r="AC133">
        <v>2071.8183589999999</v>
      </c>
      <c r="AD133">
        <v>2141.7058109999998</v>
      </c>
      <c r="AE133">
        <v>2211.8625489999999</v>
      </c>
      <c r="AF133">
        <v>2282.0432129999999</v>
      </c>
      <c r="AG133">
        <v>2351.5871579999998</v>
      </c>
      <c r="AH133">
        <v>2419.7944339999999</v>
      </c>
      <c r="AI133" s="31">
        <v>4.1000000000000002E-2</v>
      </c>
    </row>
    <row r="134" spans="1:35">
      <c r="A134" t="s">
        <v>442</v>
      </c>
      <c r="B134" t="s">
        <v>1846</v>
      </c>
      <c r="C134" t="s">
        <v>1847</v>
      </c>
      <c r="D134" t="s">
        <v>387</v>
      </c>
      <c r="F134">
        <v>607.629639</v>
      </c>
      <c r="G134">
        <v>579.78564500000005</v>
      </c>
      <c r="H134">
        <v>554.85424799999998</v>
      </c>
      <c r="I134">
        <v>591.023865</v>
      </c>
      <c r="J134">
        <v>632.18890399999998</v>
      </c>
      <c r="K134">
        <v>672.03393600000004</v>
      </c>
      <c r="L134">
        <v>711.24945100000002</v>
      </c>
      <c r="M134">
        <v>750.78301999999996</v>
      </c>
      <c r="N134">
        <v>790.37164299999995</v>
      </c>
      <c r="O134">
        <v>830.36956799999996</v>
      </c>
      <c r="P134">
        <v>870.75842299999999</v>
      </c>
      <c r="Q134">
        <v>911.40508999999997</v>
      </c>
      <c r="R134">
        <v>952.40625</v>
      </c>
      <c r="S134">
        <v>993.98687700000005</v>
      </c>
      <c r="T134">
        <v>1036.053101</v>
      </c>
      <c r="U134">
        <v>1078.296143</v>
      </c>
      <c r="V134">
        <v>1120.742432</v>
      </c>
      <c r="W134">
        <v>1163.6453859999999</v>
      </c>
      <c r="X134">
        <v>1207.394775</v>
      </c>
      <c r="Y134">
        <v>1252.449341</v>
      </c>
      <c r="Z134">
        <v>1298.7775879999999</v>
      </c>
      <c r="AA134">
        <v>1345.984375</v>
      </c>
      <c r="AB134">
        <v>1393.5820309999999</v>
      </c>
      <c r="AC134">
        <v>1441.0375979999999</v>
      </c>
      <c r="AD134">
        <v>1488.2482910000001</v>
      </c>
      <c r="AE134">
        <v>1535.4626459999999</v>
      </c>
      <c r="AF134">
        <v>1582.492432</v>
      </c>
      <c r="AG134">
        <v>1628.837769</v>
      </c>
      <c r="AH134">
        <v>1673.9719239999999</v>
      </c>
      <c r="AI134" s="31">
        <v>3.6999999999999998E-2</v>
      </c>
    </row>
    <row r="135" spans="1:35">
      <c r="A135" t="s">
        <v>443</v>
      </c>
      <c r="B135" t="s">
        <v>1848</v>
      </c>
      <c r="C135" t="s">
        <v>1849</v>
      </c>
      <c r="D135" t="s">
        <v>387</v>
      </c>
      <c r="F135">
        <v>87.702171000000007</v>
      </c>
      <c r="G135">
        <v>118.64717899999999</v>
      </c>
      <c r="H135">
        <v>145.718872</v>
      </c>
      <c r="I135">
        <v>163.990128</v>
      </c>
      <c r="J135">
        <v>182.23019400000001</v>
      </c>
      <c r="K135">
        <v>195.94972200000001</v>
      </c>
      <c r="L135">
        <v>206.901611</v>
      </c>
      <c r="M135">
        <v>218.06899999999999</v>
      </c>
      <c r="N135">
        <v>229.41262800000001</v>
      </c>
      <c r="O135">
        <v>241.004807</v>
      </c>
      <c r="P135">
        <v>252.84724399999999</v>
      </c>
      <c r="Q135">
        <v>264.92242399999998</v>
      </c>
      <c r="R135">
        <v>277.25662199999999</v>
      </c>
      <c r="S135">
        <v>289.89932299999998</v>
      </c>
      <c r="T135">
        <v>302.83795199999997</v>
      </c>
      <c r="U135">
        <v>316.01998900000001</v>
      </c>
      <c r="V135">
        <v>329.458618</v>
      </c>
      <c r="W135">
        <v>343.209473</v>
      </c>
      <c r="X135">
        <v>357.36090100000001</v>
      </c>
      <c r="Y135">
        <v>372.00381499999997</v>
      </c>
      <c r="Z135">
        <v>387.13888500000002</v>
      </c>
      <c r="AA135">
        <v>402.69903599999998</v>
      </c>
      <c r="AB135">
        <v>418.59939600000001</v>
      </c>
      <c r="AC135">
        <v>434.743561</v>
      </c>
      <c r="AD135">
        <v>451.11456299999998</v>
      </c>
      <c r="AE135">
        <v>467.76574699999998</v>
      </c>
      <c r="AF135">
        <v>484.66757200000001</v>
      </c>
      <c r="AG135">
        <v>501.73037699999998</v>
      </c>
      <c r="AH135">
        <v>518.85571300000004</v>
      </c>
      <c r="AI135" s="31">
        <v>6.6000000000000003E-2</v>
      </c>
    </row>
    <row r="136" spans="1:35">
      <c r="A136" t="s">
        <v>444</v>
      </c>
      <c r="B136" t="s">
        <v>1850</v>
      </c>
      <c r="C136" t="s">
        <v>1851</v>
      </c>
      <c r="D136" t="s">
        <v>387</v>
      </c>
      <c r="F136">
        <v>87.390906999999999</v>
      </c>
      <c r="G136">
        <v>81.559792000000002</v>
      </c>
      <c r="H136">
        <v>76.668800000000005</v>
      </c>
      <c r="I136">
        <v>81.186179999999993</v>
      </c>
      <c r="J136">
        <v>86.467392000000004</v>
      </c>
      <c r="K136">
        <v>91.794830000000005</v>
      </c>
      <c r="L136">
        <v>97.177802999999997</v>
      </c>
      <c r="M136">
        <v>102.597488</v>
      </c>
      <c r="N136">
        <v>108.01593800000001</v>
      </c>
      <c r="O136">
        <v>113.483192</v>
      </c>
      <c r="P136">
        <v>118.996407</v>
      </c>
      <c r="Q136">
        <v>124.536186</v>
      </c>
      <c r="R136">
        <v>130.11586</v>
      </c>
      <c r="S136">
        <v>135.76705899999999</v>
      </c>
      <c r="T136">
        <v>141.47612000000001</v>
      </c>
      <c r="U136">
        <v>147.198837</v>
      </c>
      <c r="V136">
        <v>152.938492</v>
      </c>
      <c r="W136">
        <v>158.73074299999999</v>
      </c>
      <c r="X136">
        <v>164.63017300000001</v>
      </c>
      <c r="Y136">
        <v>170.70181299999999</v>
      </c>
      <c r="Z136">
        <v>176.94079600000001</v>
      </c>
      <c r="AA136">
        <v>183.29051200000001</v>
      </c>
      <c r="AB136">
        <v>189.68124399999999</v>
      </c>
      <c r="AC136">
        <v>196.03698700000001</v>
      </c>
      <c r="AD136">
        <v>202.342896</v>
      </c>
      <c r="AE136">
        <v>208.634064</v>
      </c>
      <c r="AF136">
        <v>214.88330099999999</v>
      </c>
      <c r="AG136">
        <v>221.019318</v>
      </c>
      <c r="AH136">
        <v>226.96713299999999</v>
      </c>
      <c r="AI136" s="31">
        <v>3.5000000000000003E-2</v>
      </c>
    </row>
    <row r="137" spans="1:35">
      <c r="A137" t="s">
        <v>1648</v>
      </c>
      <c r="B137" t="s">
        <v>1852</v>
      </c>
      <c r="C137" t="s">
        <v>1853</v>
      </c>
      <c r="D137" t="s">
        <v>387</v>
      </c>
      <c r="F137">
        <v>105.801849</v>
      </c>
      <c r="G137">
        <v>131.08637999999999</v>
      </c>
      <c r="H137">
        <v>148.97323600000001</v>
      </c>
      <c r="I137">
        <v>162.49697900000001</v>
      </c>
      <c r="J137">
        <v>182.242538</v>
      </c>
      <c r="K137">
        <v>199.04045099999999</v>
      </c>
      <c r="L137">
        <v>215.68579099999999</v>
      </c>
      <c r="M137">
        <v>233.66879299999999</v>
      </c>
      <c r="N137">
        <v>252.08363299999999</v>
      </c>
      <c r="O137">
        <v>270.79431199999999</v>
      </c>
      <c r="P137">
        <v>289.70480300000003</v>
      </c>
      <c r="Q137">
        <v>308.69137599999999</v>
      </c>
      <c r="R137">
        <v>327.61547899999999</v>
      </c>
      <c r="S137">
        <v>346.53881799999999</v>
      </c>
      <c r="T137">
        <v>365.61932400000001</v>
      </c>
      <c r="U137">
        <v>385.17947400000003</v>
      </c>
      <c r="V137">
        <v>405.21984900000001</v>
      </c>
      <c r="W137">
        <v>425.707581</v>
      </c>
      <c r="X137">
        <v>446.58886699999999</v>
      </c>
      <c r="Y137">
        <v>467.84079000000003</v>
      </c>
      <c r="Z137">
        <v>489.42877199999998</v>
      </c>
      <c r="AA137">
        <v>511.33187900000001</v>
      </c>
      <c r="AB137">
        <v>533.48980700000004</v>
      </c>
      <c r="AC137">
        <v>555.85424799999998</v>
      </c>
      <c r="AD137">
        <v>578.37213099999997</v>
      </c>
      <c r="AE137">
        <v>600.98870799999997</v>
      </c>
      <c r="AF137">
        <v>623.63964799999997</v>
      </c>
      <c r="AG137">
        <v>646.26062000000002</v>
      </c>
      <c r="AH137">
        <v>668.79229699999996</v>
      </c>
      <c r="AI137" s="31">
        <v>6.8000000000000005E-2</v>
      </c>
    </row>
    <row r="138" spans="1:35">
      <c r="A138" t="s">
        <v>442</v>
      </c>
      <c r="B138" t="s">
        <v>1854</v>
      </c>
      <c r="C138" t="s">
        <v>1855</v>
      </c>
      <c r="D138" t="s">
        <v>387</v>
      </c>
      <c r="F138">
        <v>75.193489</v>
      </c>
      <c r="G138">
        <v>88.749320999999995</v>
      </c>
      <c r="H138">
        <v>96.573020999999997</v>
      </c>
      <c r="I138">
        <v>102.475159</v>
      </c>
      <c r="J138">
        <v>114.042053</v>
      </c>
      <c r="K138">
        <v>124.892517</v>
      </c>
      <c r="L138">
        <v>135.918442</v>
      </c>
      <c r="M138">
        <v>147.58873</v>
      </c>
      <c r="N138">
        <v>159.55355800000001</v>
      </c>
      <c r="O138">
        <v>171.721115</v>
      </c>
      <c r="P138">
        <v>184.025848</v>
      </c>
      <c r="Q138">
        <v>196.38386499999999</v>
      </c>
      <c r="R138">
        <v>208.70137</v>
      </c>
      <c r="S138">
        <v>221.01852400000001</v>
      </c>
      <c r="T138">
        <v>233.43985000000001</v>
      </c>
      <c r="U138">
        <v>246.18055699999999</v>
      </c>
      <c r="V138">
        <v>259.24078400000002</v>
      </c>
      <c r="W138">
        <v>272.59823599999999</v>
      </c>
      <c r="X138">
        <v>286.21472199999999</v>
      </c>
      <c r="Y138">
        <v>300.07556199999999</v>
      </c>
      <c r="Z138">
        <v>314.157196</v>
      </c>
      <c r="AA138">
        <v>328.44482399999998</v>
      </c>
      <c r="AB138">
        <v>342.89700299999998</v>
      </c>
      <c r="AC138">
        <v>357.48037699999998</v>
      </c>
      <c r="AD138">
        <v>372.15881300000001</v>
      </c>
      <c r="AE138">
        <v>386.89511099999999</v>
      </c>
      <c r="AF138">
        <v>401.64532500000001</v>
      </c>
      <c r="AG138">
        <v>416.36498999999998</v>
      </c>
      <c r="AH138">
        <v>431.01361100000003</v>
      </c>
      <c r="AI138" s="31">
        <v>6.4000000000000001E-2</v>
      </c>
    </row>
    <row r="139" spans="1:35">
      <c r="A139" t="s">
        <v>443</v>
      </c>
      <c r="B139" t="s">
        <v>1856</v>
      </c>
      <c r="C139" t="s">
        <v>1857</v>
      </c>
      <c r="D139" t="s">
        <v>387</v>
      </c>
      <c r="F139">
        <v>20.681094999999999</v>
      </c>
      <c r="G139">
        <v>31.151104</v>
      </c>
      <c r="H139">
        <v>40.734214999999999</v>
      </c>
      <c r="I139">
        <v>48.025737999999997</v>
      </c>
      <c r="J139">
        <v>54.971947</v>
      </c>
      <c r="K139">
        <v>59.613852999999999</v>
      </c>
      <c r="L139">
        <v>63.869911000000002</v>
      </c>
      <c r="M139">
        <v>68.771148999999994</v>
      </c>
      <c r="N139">
        <v>73.772148000000001</v>
      </c>
      <c r="O139">
        <v>78.840309000000005</v>
      </c>
      <c r="P139">
        <v>83.953598</v>
      </c>
      <c r="Q139">
        <v>89.082618999999994</v>
      </c>
      <c r="R139">
        <v>94.194580000000002</v>
      </c>
      <c r="S139">
        <v>99.306160000000006</v>
      </c>
      <c r="T139">
        <v>104.45790100000001</v>
      </c>
      <c r="U139">
        <v>109.730125</v>
      </c>
      <c r="V139">
        <v>115.12342099999999</v>
      </c>
      <c r="W139">
        <v>120.629929</v>
      </c>
      <c r="X139">
        <v>126.239189</v>
      </c>
      <c r="Y139">
        <v>131.944626</v>
      </c>
      <c r="Z139">
        <v>137.73826600000001</v>
      </c>
      <c r="AA139">
        <v>143.61595199999999</v>
      </c>
      <c r="AB139">
        <v>149.56410199999999</v>
      </c>
      <c r="AC139">
        <v>155.57214400000001</v>
      </c>
      <c r="AD139">
        <v>161.627579</v>
      </c>
      <c r="AE139">
        <v>167.71759</v>
      </c>
      <c r="AF139">
        <v>173.827698</v>
      </c>
      <c r="AG139">
        <v>179.94335899999999</v>
      </c>
      <c r="AH139">
        <v>186.051331</v>
      </c>
      <c r="AI139" s="31">
        <v>8.2000000000000003E-2</v>
      </c>
    </row>
    <row r="140" spans="1:35">
      <c r="A140" t="s">
        <v>444</v>
      </c>
      <c r="B140" t="s">
        <v>1858</v>
      </c>
      <c r="C140" t="s">
        <v>1859</v>
      </c>
      <c r="D140" t="s">
        <v>387</v>
      </c>
      <c r="F140">
        <v>9.9272690000000008</v>
      </c>
      <c r="G140">
        <v>11.185945</v>
      </c>
      <c r="H140">
        <v>11.666002000000001</v>
      </c>
      <c r="I140">
        <v>11.996092000000001</v>
      </c>
      <c r="J140">
        <v>13.228529999999999</v>
      </c>
      <c r="K140">
        <v>14.534067</v>
      </c>
      <c r="L140">
        <v>15.897460000000001</v>
      </c>
      <c r="M140">
        <v>17.308926</v>
      </c>
      <c r="N140">
        <v>18.757919000000001</v>
      </c>
      <c r="O140">
        <v>20.232868</v>
      </c>
      <c r="P140">
        <v>21.725401000000002</v>
      </c>
      <c r="Q140">
        <v>23.224907000000002</v>
      </c>
      <c r="R140">
        <v>24.719524</v>
      </c>
      <c r="S140">
        <v>26.214109000000001</v>
      </c>
      <c r="T140">
        <v>27.721582000000001</v>
      </c>
      <c r="U140">
        <v>29.26877</v>
      </c>
      <c r="V140">
        <v>30.855650000000001</v>
      </c>
      <c r="W140">
        <v>32.479407999999999</v>
      </c>
      <c r="X140">
        <v>34.134968000000001</v>
      </c>
      <c r="Y140">
        <v>35.820602000000001</v>
      </c>
      <c r="Z140">
        <v>37.533295000000003</v>
      </c>
      <c r="AA140">
        <v>39.271095000000003</v>
      </c>
      <c r="AB140">
        <v>41.028694000000002</v>
      </c>
      <c r="AC140">
        <v>42.801788000000002</v>
      </c>
      <c r="AD140">
        <v>44.585773000000003</v>
      </c>
      <c r="AE140">
        <v>46.375937999999998</v>
      </c>
      <c r="AF140">
        <v>48.166649</v>
      </c>
      <c r="AG140">
        <v>49.952205999999997</v>
      </c>
      <c r="AH140">
        <v>51.727398000000001</v>
      </c>
      <c r="AI140" s="31">
        <v>6.0999999999999999E-2</v>
      </c>
    </row>
    <row r="141" spans="1:35">
      <c r="A141" t="s">
        <v>1651</v>
      </c>
      <c r="B141" t="s">
        <v>1860</v>
      </c>
      <c r="C141" t="s">
        <v>1861</v>
      </c>
      <c r="D141" t="s">
        <v>387</v>
      </c>
      <c r="F141">
        <v>375.91976899999997</v>
      </c>
      <c r="G141">
        <v>481.70532200000002</v>
      </c>
      <c r="H141">
        <v>566.80071999999996</v>
      </c>
      <c r="I141">
        <v>619.48498500000005</v>
      </c>
      <c r="J141">
        <v>692.50787400000002</v>
      </c>
      <c r="K141">
        <v>742.44305399999996</v>
      </c>
      <c r="L141">
        <v>789.48498500000005</v>
      </c>
      <c r="M141">
        <v>826.39794900000004</v>
      </c>
      <c r="N141">
        <v>863.72631799999999</v>
      </c>
      <c r="O141">
        <v>901.85369900000001</v>
      </c>
      <c r="P141">
        <v>941.02893100000006</v>
      </c>
      <c r="Q141">
        <v>981.25726299999997</v>
      </c>
      <c r="R141">
        <v>1022.627808</v>
      </c>
      <c r="S141">
        <v>1065.224731</v>
      </c>
      <c r="T141">
        <v>1108.5661620000001</v>
      </c>
      <c r="U141">
        <v>1153.0804439999999</v>
      </c>
      <c r="V141">
        <v>1198.8654790000001</v>
      </c>
      <c r="W141">
        <v>1245.9023440000001</v>
      </c>
      <c r="X141">
        <v>1294.303101</v>
      </c>
      <c r="Y141">
        <v>1343.3957519999999</v>
      </c>
      <c r="Z141">
        <v>1393.615845</v>
      </c>
      <c r="AA141">
        <v>1445.0317379999999</v>
      </c>
      <c r="AB141">
        <v>1497.6895750000001</v>
      </c>
      <c r="AC141">
        <v>1551.5473629999999</v>
      </c>
      <c r="AD141">
        <v>1605.368774</v>
      </c>
      <c r="AE141">
        <v>1660.1064449999999</v>
      </c>
      <c r="AF141">
        <v>1716.0744629999999</v>
      </c>
      <c r="AG141">
        <v>1773.384644</v>
      </c>
      <c r="AH141">
        <v>1832.1719969999999</v>
      </c>
      <c r="AI141" s="31">
        <v>5.8000000000000003E-2</v>
      </c>
    </row>
    <row r="142" spans="1:35">
      <c r="A142" t="s">
        <v>442</v>
      </c>
      <c r="B142" t="s">
        <v>1862</v>
      </c>
      <c r="C142" t="s">
        <v>1863</v>
      </c>
      <c r="D142" t="s">
        <v>387</v>
      </c>
      <c r="F142">
        <v>202.08255</v>
      </c>
      <c r="G142">
        <v>239.99041700000001</v>
      </c>
      <c r="H142">
        <v>264.53637700000002</v>
      </c>
      <c r="I142">
        <v>278.37924199999998</v>
      </c>
      <c r="J142">
        <v>305.40206899999998</v>
      </c>
      <c r="K142">
        <v>325.109375</v>
      </c>
      <c r="L142">
        <v>344.39532500000001</v>
      </c>
      <c r="M142">
        <v>361.64950599999997</v>
      </c>
      <c r="N142">
        <v>379.05777</v>
      </c>
      <c r="O142">
        <v>396.874908</v>
      </c>
      <c r="P142">
        <v>415.19317599999999</v>
      </c>
      <c r="Q142">
        <v>434.01336700000002</v>
      </c>
      <c r="R142">
        <v>453.38519300000002</v>
      </c>
      <c r="S142">
        <v>473.35357699999997</v>
      </c>
      <c r="T142">
        <v>493.69140599999997</v>
      </c>
      <c r="U142">
        <v>514.59161400000005</v>
      </c>
      <c r="V142">
        <v>536.10888699999998</v>
      </c>
      <c r="W142">
        <v>558.22985800000004</v>
      </c>
      <c r="X142">
        <v>581.01440400000001</v>
      </c>
      <c r="Y142">
        <v>604.13098100000002</v>
      </c>
      <c r="Z142">
        <v>627.776794</v>
      </c>
      <c r="AA142">
        <v>651.98644999999999</v>
      </c>
      <c r="AB142">
        <v>676.78234899999995</v>
      </c>
      <c r="AC142">
        <v>702.13751200000002</v>
      </c>
      <c r="AD142">
        <v>727.42218000000003</v>
      </c>
      <c r="AE142">
        <v>753.10339399999998</v>
      </c>
      <c r="AF142">
        <v>779.35504200000003</v>
      </c>
      <c r="AG142">
        <v>806.23724400000003</v>
      </c>
      <c r="AH142">
        <v>833.82495100000006</v>
      </c>
      <c r="AI142" s="31">
        <v>5.1999999999999998E-2</v>
      </c>
    </row>
    <row r="143" spans="1:35">
      <c r="A143" t="s">
        <v>443</v>
      </c>
      <c r="B143" t="s">
        <v>1864</v>
      </c>
      <c r="C143" t="s">
        <v>1865</v>
      </c>
      <c r="D143" t="s">
        <v>387</v>
      </c>
      <c r="F143">
        <v>155.46173099999999</v>
      </c>
      <c r="G143">
        <v>220.74285900000001</v>
      </c>
      <c r="H143">
        <v>279.43624899999998</v>
      </c>
      <c r="I143">
        <v>317.849243</v>
      </c>
      <c r="J143">
        <v>362.02066000000002</v>
      </c>
      <c r="K143">
        <v>390.80450400000001</v>
      </c>
      <c r="L143">
        <v>417.08648699999998</v>
      </c>
      <c r="M143">
        <v>435.25451700000002</v>
      </c>
      <c r="N143">
        <v>453.67334</v>
      </c>
      <c r="O143">
        <v>472.444458</v>
      </c>
      <c r="P143">
        <v>491.71816999999999</v>
      </c>
      <c r="Q143">
        <v>511.49902300000002</v>
      </c>
      <c r="R143">
        <v>531.82147199999997</v>
      </c>
      <c r="S143">
        <v>552.72070299999996</v>
      </c>
      <c r="T143">
        <v>573.96124299999997</v>
      </c>
      <c r="U143">
        <v>595.76293899999996</v>
      </c>
      <c r="V143">
        <v>618.16339100000005</v>
      </c>
      <c r="W143">
        <v>641.15844700000002</v>
      </c>
      <c r="X143">
        <v>664.79449499999998</v>
      </c>
      <c r="Y143">
        <v>688.76110800000004</v>
      </c>
      <c r="Z143">
        <v>713.28021200000001</v>
      </c>
      <c r="AA143">
        <v>738.38207999999997</v>
      </c>
      <c r="AB143">
        <v>764.08868399999994</v>
      </c>
      <c r="AC143">
        <v>790.38763400000005</v>
      </c>
      <c r="AD143">
        <v>816.730591</v>
      </c>
      <c r="AE143">
        <v>843.56140100000005</v>
      </c>
      <c r="AF143">
        <v>871.00286900000003</v>
      </c>
      <c r="AG143">
        <v>899.10162400000002</v>
      </c>
      <c r="AH143">
        <v>927.90972899999997</v>
      </c>
      <c r="AI143" s="31">
        <v>6.6000000000000003E-2</v>
      </c>
    </row>
    <row r="144" spans="1:35">
      <c r="A144" t="s">
        <v>444</v>
      </c>
      <c r="B144" t="s">
        <v>1866</v>
      </c>
      <c r="C144" t="s">
        <v>1867</v>
      </c>
      <c r="D144" t="s">
        <v>387</v>
      </c>
      <c r="F144">
        <v>18.375473</v>
      </c>
      <c r="G144">
        <v>20.972035999999999</v>
      </c>
      <c r="H144">
        <v>22.828130999999999</v>
      </c>
      <c r="I144">
        <v>23.256474000000001</v>
      </c>
      <c r="J144">
        <v>25.085111999999999</v>
      </c>
      <c r="K144">
        <v>26.529171000000002</v>
      </c>
      <c r="L144">
        <v>28.003108999999998</v>
      </c>
      <c r="M144">
        <v>29.493925000000001</v>
      </c>
      <c r="N144">
        <v>30.995201000000002</v>
      </c>
      <c r="O144">
        <v>32.534325000000003</v>
      </c>
      <c r="P144">
        <v>34.117558000000002</v>
      </c>
      <c r="Q144">
        <v>35.744843000000003</v>
      </c>
      <c r="R144">
        <v>37.421059</v>
      </c>
      <c r="S144">
        <v>39.150475</v>
      </c>
      <c r="T144">
        <v>40.913345</v>
      </c>
      <c r="U144">
        <v>42.7258</v>
      </c>
      <c r="V144">
        <v>44.593226999999999</v>
      </c>
      <c r="W144">
        <v>46.514130000000002</v>
      </c>
      <c r="X144">
        <v>48.494213000000002</v>
      </c>
      <c r="Y144">
        <v>50.503624000000002</v>
      </c>
      <c r="Z144">
        <v>52.558903000000001</v>
      </c>
      <c r="AA144">
        <v>54.663254000000002</v>
      </c>
      <c r="AB144">
        <v>56.818660999999999</v>
      </c>
      <c r="AC144">
        <v>59.022284999999997</v>
      </c>
      <c r="AD144">
        <v>61.216000000000001</v>
      </c>
      <c r="AE144">
        <v>63.441715000000002</v>
      </c>
      <c r="AF144">
        <v>65.716399999999993</v>
      </c>
      <c r="AG144">
        <v>68.045783999999998</v>
      </c>
      <c r="AH144">
        <v>70.437195000000003</v>
      </c>
      <c r="AI144" s="31">
        <v>4.9000000000000002E-2</v>
      </c>
    </row>
    <row r="145" spans="1:35">
      <c r="A145" t="s">
        <v>1654</v>
      </c>
      <c r="B145" t="s">
        <v>1868</v>
      </c>
      <c r="C145" t="s">
        <v>1869</v>
      </c>
      <c r="D145" t="s">
        <v>387</v>
      </c>
      <c r="F145">
        <v>162.27954099999999</v>
      </c>
      <c r="G145">
        <v>220.34437600000001</v>
      </c>
      <c r="H145">
        <v>283.60168499999997</v>
      </c>
      <c r="I145">
        <v>335.28662100000003</v>
      </c>
      <c r="J145">
        <v>373.78436299999998</v>
      </c>
      <c r="K145">
        <v>399.65692100000001</v>
      </c>
      <c r="L145">
        <v>424.588165</v>
      </c>
      <c r="M145">
        <v>444.73553500000003</v>
      </c>
      <c r="N145">
        <v>465.55981400000002</v>
      </c>
      <c r="O145">
        <v>486.492706</v>
      </c>
      <c r="P145">
        <v>508.21795700000001</v>
      </c>
      <c r="Q145">
        <v>530.80432099999996</v>
      </c>
      <c r="R145">
        <v>554.29113800000005</v>
      </c>
      <c r="S145">
        <v>578.72289999999998</v>
      </c>
      <c r="T145">
        <v>603.86834699999997</v>
      </c>
      <c r="U145">
        <v>629.992615</v>
      </c>
      <c r="V145">
        <v>657.12609899999995</v>
      </c>
      <c r="W145">
        <v>685.28576699999996</v>
      </c>
      <c r="X145">
        <v>714.50665300000003</v>
      </c>
      <c r="Y145">
        <v>744.58624299999997</v>
      </c>
      <c r="Z145">
        <v>775.77813700000002</v>
      </c>
      <c r="AA145">
        <v>808.120544</v>
      </c>
      <c r="AB145">
        <v>841.64727800000003</v>
      </c>
      <c r="AC145">
        <v>876.40563999999995</v>
      </c>
      <c r="AD145">
        <v>912.07891800000004</v>
      </c>
      <c r="AE145">
        <v>949.02533000000005</v>
      </c>
      <c r="AF145">
        <v>987.29339600000003</v>
      </c>
      <c r="AG145">
        <v>1026.921143</v>
      </c>
      <c r="AH145">
        <v>1067.9521480000001</v>
      </c>
      <c r="AI145" s="31">
        <v>7.0000000000000007E-2</v>
      </c>
    </row>
    <row r="146" spans="1:35">
      <c r="A146" t="s">
        <v>442</v>
      </c>
      <c r="B146" t="s">
        <v>1870</v>
      </c>
      <c r="C146" t="s">
        <v>1871</v>
      </c>
      <c r="D146" t="s">
        <v>387</v>
      </c>
      <c r="F146">
        <v>47.925185999999997</v>
      </c>
      <c r="G146">
        <v>65.206665000000001</v>
      </c>
      <c r="H146">
        <v>84.260093999999995</v>
      </c>
      <c r="I146">
        <v>98.283669000000003</v>
      </c>
      <c r="J146">
        <v>106.965828</v>
      </c>
      <c r="K146">
        <v>113.162628</v>
      </c>
      <c r="L146">
        <v>119.248817</v>
      </c>
      <c r="M146">
        <v>124.49781</v>
      </c>
      <c r="N146">
        <v>129.91471899999999</v>
      </c>
      <c r="O146">
        <v>135.37001000000001</v>
      </c>
      <c r="P146">
        <v>140.99529999999999</v>
      </c>
      <c r="Q146">
        <v>146.82103000000001</v>
      </c>
      <c r="R146">
        <v>152.85952800000001</v>
      </c>
      <c r="S146">
        <v>159.126328</v>
      </c>
      <c r="T146">
        <v>165.56712300000001</v>
      </c>
      <c r="U146">
        <v>172.23751799999999</v>
      </c>
      <c r="V146">
        <v>179.143967</v>
      </c>
      <c r="W146">
        <v>186.28448499999999</v>
      </c>
      <c r="X146">
        <v>193.666122</v>
      </c>
      <c r="Y146">
        <v>201.24624600000001</v>
      </c>
      <c r="Z146">
        <v>209.07875100000001</v>
      </c>
      <c r="AA146">
        <v>217.173676</v>
      </c>
      <c r="AB146">
        <v>225.537994</v>
      </c>
      <c r="AC146">
        <v>234.18237300000001</v>
      </c>
      <c r="AD146">
        <v>243.03521699999999</v>
      </c>
      <c r="AE146">
        <v>252.17364499999999</v>
      </c>
      <c r="AF146">
        <v>261.61105300000003</v>
      </c>
      <c r="AG146">
        <v>271.35537699999998</v>
      </c>
      <c r="AH146">
        <v>281.41656499999999</v>
      </c>
      <c r="AI146" s="31">
        <v>6.5000000000000002E-2</v>
      </c>
    </row>
    <row r="147" spans="1:35">
      <c r="A147" t="s">
        <v>443</v>
      </c>
      <c r="B147" t="s">
        <v>1872</v>
      </c>
      <c r="C147" t="s">
        <v>1873</v>
      </c>
      <c r="D147" t="s">
        <v>387</v>
      </c>
      <c r="F147">
        <v>111.985527</v>
      </c>
      <c r="G147">
        <v>151.942352</v>
      </c>
      <c r="H147">
        <v>195.23732000000001</v>
      </c>
      <c r="I147">
        <v>232.306488</v>
      </c>
      <c r="J147">
        <v>261.88717700000001</v>
      </c>
      <c r="K147">
        <v>281.36276199999998</v>
      </c>
      <c r="L147">
        <v>300.00149499999998</v>
      </c>
      <c r="M147">
        <v>314.694458</v>
      </c>
      <c r="N147">
        <v>329.890533</v>
      </c>
      <c r="O147">
        <v>345.15454099999999</v>
      </c>
      <c r="P147">
        <v>361.03707900000001</v>
      </c>
      <c r="Q147">
        <v>377.57427999999999</v>
      </c>
      <c r="R147">
        <v>394.79260299999999</v>
      </c>
      <c r="S147">
        <v>412.71994000000001</v>
      </c>
      <c r="T147">
        <v>431.18127399999997</v>
      </c>
      <c r="U147">
        <v>450.384613</v>
      </c>
      <c r="V147">
        <v>470.35406499999999</v>
      </c>
      <c r="W147">
        <v>491.10906999999997</v>
      </c>
      <c r="X147">
        <v>512.677368</v>
      </c>
      <c r="Y147">
        <v>534.90020800000002</v>
      </c>
      <c r="Z147">
        <v>557.97601299999997</v>
      </c>
      <c r="AA147">
        <v>581.93243399999994</v>
      </c>
      <c r="AB147">
        <v>606.79632600000002</v>
      </c>
      <c r="AC147">
        <v>632.60412599999995</v>
      </c>
      <c r="AD147">
        <v>659.11236599999995</v>
      </c>
      <c r="AE147">
        <v>686.60070800000005</v>
      </c>
      <c r="AF147">
        <v>715.10357699999997</v>
      </c>
      <c r="AG147">
        <v>744.650757</v>
      </c>
      <c r="AH147">
        <v>775.27581799999996</v>
      </c>
      <c r="AI147" s="31">
        <v>7.1999999999999995E-2</v>
      </c>
    </row>
    <row r="148" spans="1:35">
      <c r="A148" t="s">
        <v>444</v>
      </c>
      <c r="B148" t="s">
        <v>1874</v>
      </c>
      <c r="C148" t="s">
        <v>1875</v>
      </c>
      <c r="D148" t="s">
        <v>387</v>
      </c>
      <c r="F148">
        <v>2.3688289999999999</v>
      </c>
      <c r="G148">
        <v>3.1953429999999998</v>
      </c>
      <c r="H148">
        <v>4.1042870000000002</v>
      </c>
      <c r="I148">
        <v>4.6964689999999996</v>
      </c>
      <c r="J148">
        <v>4.9313560000000001</v>
      </c>
      <c r="K148">
        <v>5.1315350000000004</v>
      </c>
      <c r="L148">
        <v>5.3378620000000003</v>
      </c>
      <c r="M148">
        <v>5.5432589999999999</v>
      </c>
      <c r="N148">
        <v>5.7545710000000003</v>
      </c>
      <c r="O148">
        <v>5.968172</v>
      </c>
      <c r="P148">
        <v>6.1855859999999998</v>
      </c>
      <c r="Q148">
        <v>6.4089879999999999</v>
      </c>
      <c r="R148">
        <v>6.6390180000000001</v>
      </c>
      <c r="S148">
        <v>6.8765869999999998</v>
      </c>
      <c r="T148">
        <v>7.1200349999999997</v>
      </c>
      <c r="U148">
        <v>7.3704929999999997</v>
      </c>
      <c r="V148">
        <v>7.6280970000000003</v>
      </c>
      <c r="W148">
        <v>7.8922679999999996</v>
      </c>
      <c r="X148">
        <v>8.1631269999999994</v>
      </c>
      <c r="Y148">
        <v>8.4397870000000008</v>
      </c>
      <c r="Z148">
        <v>8.7234130000000007</v>
      </c>
      <c r="AA148">
        <v>9.0144040000000007</v>
      </c>
      <c r="AB148">
        <v>9.3128930000000008</v>
      </c>
      <c r="AC148">
        <v>9.6191580000000005</v>
      </c>
      <c r="AD148">
        <v>9.93126</v>
      </c>
      <c r="AE148">
        <v>10.250947</v>
      </c>
      <c r="AF148">
        <v>10.578808</v>
      </c>
      <c r="AG148">
        <v>10.914996</v>
      </c>
      <c r="AH148">
        <v>11.259789</v>
      </c>
      <c r="AI148" s="31">
        <v>5.7000000000000002E-2</v>
      </c>
    </row>
    <row r="149" spans="1:35">
      <c r="A149" t="s">
        <v>432</v>
      </c>
      <c r="B149" t="s">
        <v>1876</v>
      </c>
      <c r="C149" t="s">
        <v>1877</v>
      </c>
      <c r="D149" t="s">
        <v>387</v>
      </c>
      <c r="F149">
        <v>108.068314</v>
      </c>
      <c r="G149">
        <v>134.33866900000001</v>
      </c>
      <c r="H149">
        <v>160.460846</v>
      </c>
      <c r="I149">
        <v>175.372849</v>
      </c>
      <c r="J149">
        <v>190.59790000000001</v>
      </c>
      <c r="K149">
        <v>200.96203600000001</v>
      </c>
      <c r="L149">
        <v>209.95349100000001</v>
      </c>
      <c r="M149">
        <v>219.482651</v>
      </c>
      <c r="N149">
        <v>229.459</v>
      </c>
      <c r="O149">
        <v>239.86399800000001</v>
      </c>
      <c r="P149">
        <v>250.63970900000001</v>
      </c>
      <c r="Q149">
        <v>261.76123000000001</v>
      </c>
      <c r="R149">
        <v>273.22671500000001</v>
      </c>
      <c r="S149">
        <v>285.03585800000002</v>
      </c>
      <c r="T149">
        <v>297.30960099999999</v>
      </c>
      <c r="U149">
        <v>309.96319599999998</v>
      </c>
      <c r="V149">
        <v>322.98092700000001</v>
      </c>
      <c r="W149">
        <v>336.36114500000002</v>
      </c>
      <c r="X149">
        <v>350.11276199999998</v>
      </c>
      <c r="Y149">
        <v>364.35461400000003</v>
      </c>
      <c r="Z149">
        <v>378.99136399999998</v>
      </c>
      <c r="AA149">
        <v>394.01416</v>
      </c>
      <c r="AB149">
        <v>409.428406</v>
      </c>
      <c r="AC149">
        <v>425.250519</v>
      </c>
      <c r="AD149">
        <v>441.58010899999999</v>
      </c>
      <c r="AE149">
        <v>458.33084100000002</v>
      </c>
      <c r="AF149">
        <v>475.49792500000001</v>
      </c>
      <c r="AG149">
        <v>493.08587599999998</v>
      </c>
      <c r="AH149">
        <v>511.11007699999999</v>
      </c>
      <c r="AI149" s="31">
        <v>5.7000000000000002E-2</v>
      </c>
    </row>
    <row r="150" spans="1:35">
      <c r="A150" t="s">
        <v>442</v>
      </c>
      <c r="B150" t="s">
        <v>1878</v>
      </c>
      <c r="C150" t="s">
        <v>1879</v>
      </c>
      <c r="D150" t="s">
        <v>387</v>
      </c>
      <c r="F150">
        <v>45.485579999999999</v>
      </c>
      <c r="G150">
        <v>55.676124999999999</v>
      </c>
      <c r="H150">
        <v>66.977654000000001</v>
      </c>
      <c r="I150">
        <v>72.654563999999993</v>
      </c>
      <c r="J150">
        <v>78.271675000000002</v>
      </c>
      <c r="K150">
        <v>82.364295999999996</v>
      </c>
      <c r="L150">
        <v>86.127701000000002</v>
      </c>
      <c r="M150">
        <v>90.092490999999995</v>
      </c>
      <c r="N150">
        <v>94.245590000000007</v>
      </c>
      <c r="O150">
        <v>98.584045000000003</v>
      </c>
      <c r="P150">
        <v>103.082115</v>
      </c>
      <c r="Q150">
        <v>107.73053</v>
      </c>
      <c r="R150">
        <v>112.529045</v>
      </c>
      <c r="S150">
        <v>117.478104</v>
      </c>
      <c r="T150">
        <v>122.62938699999999</v>
      </c>
      <c r="U150">
        <v>127.946747</v>
      </c>
      <c r="V150">
        <v>133.42456100000001</v>
      </c>
      <c r="W150">
        <v>139.062714</v>
      </c>
      <c r="X150">
        <v>144.863831</v>
      </c>
      <c r="Y150">
        <v>150.87931800000001</v>
      </c>
      <c r="Z150">
        <v>157.06916799999999</v>
      </c>
      <c r="AA150">
        <v>163.43048099999999</v>
      </c>
      <c r="AB150">
        <v>169.96601899999999</v>
      </c>
      <c r="AC150">
        <v>176.68287699999999</v>
      </c>
      <c r="AD150">
        <v>183.623535</v>
      </c>
      <c r="AE150">
        <v>190.75221300000001</v>
      </c>
      <c r="AF150">
        <v>198.06779499999999</v>
      </c>
      <c r="AG150">
        <v>205.57281499999999</v>
      </c>
      <c r="AH150">
        <v>213.27409399999999</v>
      </c>
      <c r="AI150" s="31">
        <v>5.7000000000000002E-2</v>
      </c>
    </row>
    <row r="151" spans="1:35">
      <c r="A151" t="s">
        <v>443</v>
      </c>
      <c r="B151" t="s">
        <v>1880</v>
      </c>
      <c r="C151" t="s">
        <v>1881</v>
      </c>
      <c r="D151" t="s">
        <v>387</v>
      </c>
      <c r="F151">
        <v>57.727024</v>
      </c>
      <c r="G151">
        <v>72.771004000000005</v>
      </c>
      <c r="H151">
        <v>86.377089999999995</v>
      </c>
      <c r="I151">
        <v>95.095618999999999</v>
      </c>
      <c r="J151">
        <v>104.223206</v>
      </c>
      <c r="K151">
        <v>110.09704600000001</v>
      </c>
      <c r="L151">
        <v>114.92420199999999</v>
      </c>
      <c r="M151">
        <v>120.06993900000001</v>
      </c>
      <c r="N151">
        <v>125.454285</v>
      </c>
      <c r="O151">
        <v>131.06126399999999</v>
      </c>
      <c r="P151">
        <v>136.86163300000001</v>
      </c>
      <c r="Q151">
        <v>142.84060700000001</v>
      </c>
      <c r="R151">
        <v>148.99646000000001</v>
      </c>
      <c r="S151">
        <v>155.32835399999999</v>
      </c>
      <c r="T151">
        <v>161.89987199999999</v>
      </c>
      <c r="U151">
        <v>168.666382</v>
      </c>
      <c r="V151">
        <v>175.618225</v>
      </c>
      <c r="W151">
        <v>182.753784</v>
      </c>
      <c r="X151">
        <v>190.07925399999999</v>
      </c>
      <c r="Y151">
        <v>197.656296</v>
      </c>
      <c r="Z151">
        <v>205.43386799999999</v>
      </c>
      <c r="AA151">
        <v>213.40623500000001</v>
      </c>
      <c r="AB151">
        <v>221.57566800000001</v>
      </c>
      <c r="AC151">
        <v>229.95066800000001</v>
      </c>
      <c r="AD151">
        <v>238.58374000000001</v>
      </c>
      <c r="AE151">
        <v>247.42799400000001</v>
      </c>
      <c r="AF151">
        <v>256.47988900000001</v>
      </c>
      <c r="AG151">
        <v>265.74093599999998</v>
      </c>
      <c r="AH151">
        <v>275.21890300000001</v>
      </c>
      <c r="AI151" s="31">
        <v>5.7000000000000002E-2</v>
      </c>
    </row>
    <row r="152" spans="1:35">
      <c r="A152" t="s">
        <v>444</v>
      </c>
      <c r="B152" t="s">
        <v>1882</v>
      </c>
      <c r="C152" t="s">
        <v>1883</v>
      </c>
      <c r="D152" t="s">
        <v>387</v>
      </c>
      <c r="F152">
        <v>4.855702</v>
      </c>
      <c r="G152">
        <v>5.891534</v>
      </c>
      <c r="H152">
        <v>7.1060939999999997</v>
      </c>
      <c r="I152">
        <v>7.6226510000000003</v>
      </c>
      <c r="J152">
        <v>8.1030320000000007</v>
      </c>
      <c r="K152">
        <v>8.5006830000000004</v>
      </c>
      <c r="L152">
        <v>8.9015810000000002</v>
      </c>
      <c r="M152">
        <v>9.3202309999999997</v>
      </c>
      <c r="N152">
        <v>9.7591210000000004</v>
      </c>
      <c r="O152">
        <v>10.218685000000001</v>
      </c>
      <c r="P152">
        <v>10.695945999999999</v>
      </c>
      <c r="Q152">
        <v>11.190096</v>
      </c>
      <c r="R152">
        <v>11.701198</v>
      </c>
      <c r="S152">
        <v>12.229378000000001</v>
      </c>
      <c r="T152">
        <v>12.780315999999999</v>
      </c>
      <c r="U152">
        <v>13.350054</v>
      </c>
      <c r="V152">
        <v>13.938138</v>
      </c>
      <c r="W152">
        <v>14.544650000000001</v>
      </c>
      <c r="X152">
        <v>15.169689</v>
      </c>
      <c r="Y152">
        <v>15.819004</v>
      </c>
      <c r="Z152">
        <v>16.488309999999998</v>
      </c>
      <c r="AA152">
        <v>17.177424999999999</v>
      </c>
      <c r="AB152">
        <v>17.886718999999999</v>
      </c>
      <c r="AC152">
        <v>18.616985</v>
      </c>
      <c r="AD152">
        <v>19.372869000000001</v>
      </c>
      <c r="AE152">
        <v>20.150623</v>
      </c>
      <c r="AF152">
        <v>20.950258000000002</v>
      </c>
      <c r="AG152">
        <v>21.772144000000001</v>
      </c>
      <c r="AH152">
        <v>22.617076999999998</v>
      </c>
      <c r="AI152" s="31">
        <v>5.6000000000000001E-2</v>
      </c>
    </row>
    <row r="153" spans="1:35">
      <c r="A153" t="s">
        <v>1659</v>
      </c>
      <c r="B153" t="s">
        <v>1884</v>
      </c>
      <c r="C153" t="s">
        <v>1885</v>
      </c>
      <c r="D153" t="s">
        <v>387</v>
      </c>
      <c r="F153">
        <v>87.274039999999999</v>
      </c>
      <c r="G153">
        <v>97.675728000000007</v>
      </c>
      <c r="H153">
        <v>104.957893</v>
      </c>
      <c r="I153">
        <v>111.186455</v>
      </c>
      <c r="J153">
        <v>117.21154</v>
      </c>
      <c r="K153">
        <v>121.512398</v>
      </c>
      <c r="L153">
        <v>125.17572</v>
      </c>
      <c r="M153">
        <v>128.093277</v>
      </c>
      <c r="N153">
        <v>130.81806900000001</v>
      </c>
      <c r="O153">
        <v>133.28259299999999</v>
      </c>
      <c r="P153">
        <v>135.629974</v>
      </c>
      <c r="Q153">
        <v>137.85252399999999</v>
      </c>
      <c r="R153">
        <v>139.94085699999999</v>
      </c>
      <c r="S153">
        <v>141.886719</v>
      </c>
      <c r="T153">
        <v>143.68980400000001</v>
      </c>
      <c r="U153">
        <v>145.369553</v>
      </c>
      <c r="V153">
        <v>146.93897999999999</v>
      </c>
      <c r="W153">
        <v>148.411224</v>
      </c>
      <c r="X153">
        <v>149.79480000000001</v>
      </c>
      <c r="Y153">
        <v>151.101685</v>
      </c>
      <c r="Z153">
        <v>152.338089</v>
      </c>
      <c r="AA153">
        <v>153.50933800000001</v>
      </c>
      <c r="AB153">
        <v>154.61885100000001</v>
      </c>
      <c r="AC153">
        <v>155.67060900000001</v>
      </c>
      <c r="AD153">
        <v>156.67411799999999</v>
      </c>
      <c r="AE153">
        <v>157.629074</v>
      </c>
      <c r="AF153">
        <v>158.53407300000001</v>
      </c>
      <c r="AG153">
        <v>159.38314800000001</v>
      </c>
      <c r="AH153">
        <v>160.178146</v>
      </c>
      <c r="AI153" s="31">
        <v>2.1999999999999999E-2</v>
      </c>
    </row>
    <row r="154" spans="1:35">
      <c r="A154" t="s">
        <v>442</v>
      </c>
      <c r="B154" t="s">
        <v>1886</v>
      </c>
      <c r="C154" t="s">
        <v>1887</v>
      </c>
      <c r="D154" t="s">
        <v>387</v>
      </c>
      <c r="F154">
        <v>55.069285999999998</v>
      </c>
      <c r="G154">
        <v>58.950187999999997</v>
      </c>
      <c r="H154">
        <v>60.784492</v>
      </c>
      <c r="I154">
        <v>63.028281999999997</v>
      </c>
      <c r="J154">
        <v>65.069220999999999</v>
      </c>
      <c r="K154">
        <v>66.783760000000001</v>
      </c>
      <c r="L154">
        <v>68.396538000000007</v>
      </c>
      <c r="M154">
        <v>69.879149999999996</v>
      </c>
      <c r="N154">
        <v>71.271529999999998</v>
      </c>
      <c r="O154">
        <v>72.542534000000003</v>
      </c>
      <c r="P154">
        <v>73.758780999999999</v>
      </c>
      <c r="Q154">
        <v>74.916718000000003</v>
      </c>
      <c r="R154">
        <v>76.011939999999996</v>
      </c>
      <c r="S154">
        <v>77.040688000000003</v>
      </c>
      <c r="T154">
        <v>78.002571000000003</v>
      </c>
      <c r="U154">
        <v>78.906502000000003</v>
      </c>
      <c r="V154">
        <v>79.758544999999998</v>
      </c>
      <c r="W154">
        <v>80.564812000000003</v>
      </c>
      <c r="X154">
        <v>81.327788999999996</v>
      </c>
      <c r="Y154">
        <v>82.053589000000002</v>
      </c>
      <c r="Z154">
        <v>82.744964999999993</v>
      </c>
      <c r="AA154">
        <v>83.404449</v>
      </c>
      <c r="AB154">
        <v>84.033835999999994</v>
      </c>
      <c r="AC154">
        <v>84.634856999999997</v>
      </c>
      <c r="AD154">
        <v>85.210953000000003</v>
      </c>
      <c r="AE154">
        <v>85.762046999999995</v>
      </c>
      <c r="AF154">
        <v>86.288871999999998</v>
      </c>
      <c r="AG154">
        <v>86.790169000000006</v>
      </c>
      <c r="AH154">
        <v>87.267905999999996</v>
      </c>
      <c r="AI154" s="31">
        <v>1.7000000000000001E-2</v>
      </c>
    </row>
    <row r="155" spans="1:35">
      <c r="A155" t="s">
        <v>443</v>
      </c>
      <c r="B155" t="s">
        <v>1888</v>
      </c>
      <c r="C155" t="s">
        <v>1889</v>
      </c>
      <c r="D155" t="s">
        <v>387</v>
      </c>
      <c r="F155">
        <v>24.418623</v>
      </c>
      <c r="G155">
        <v>30.534485</v>
      </c>
      <c r="H155">
        <v>35.821396</v>
      </c>
      <c r="I155">
        <v>39.563567999999997</v>
      </c>
      <c r="J155">
        <v>43.337069999999997</v>
      </c>
      <c r="K155">
        <v>45.72522</v>
      </c>
      <c r="L155">
        <v>47.578659000000002</v>
      </c>
      <c r="M155">
        <v>48.819865999999998</v>
      </c>
      <c r="N155">
        <v>49.969912999999998</v>
      </c>
      <c r="O155">
        <v>50.996322999999997</v>
      </c>
      <c r="P155">
        <v>51.967243000000003</v>
      </c>
      <c r="Q155">
        <v>52.878990000000002</v>
      </c>
      <c r="R155">
        <v>53.727093000000004</v>
      </c>
      <c r="S155">
        <v>54.507576</v>
      </c>
      <c r="T155">
        <v>55.220581000000003</v>
      </c>
      <c r="U155">
        <v>55.875506999999999</v>
      </c>
      <c r="V155">
        <v>56.478569</v>
      </c>
      <c r="W155">
        <v>57.035995</v>
      </c>
      <c r="X155">
        <v>57.553618999999998</v>
      </c>
      <c r="Y155">
        <v>58.036453000000002</v>
      </c>
      <c r="Z155">
        <v>58.487693999999998</v>
      </c>
      <c r="AA155">
        <v>58.909728999999999</v>
      </c>
      <c r="AB155">
        <v>59.304004999999997</v>
      </c>
      <c r="AC155">
        <v>59.672576999999997</v>
      </c>
      <c r="AD155">
        <v>60.021061000000003</v>
      </c>
      <c r="AE155">
        <v>60.349293000000003</v>
      </c>
      <c r="AF155">
        <v>60.654957000000003</v>
      </c>
      <c r="AG155">
        <v>60.933376000000003</v>
      </c>
      <c r="AH155">
        <v>61.184170000000002</v>
      </c>
      <c r="AI155" s="31">
        <v>3.3000000000000002E-2</v>
      </c>
    </row>
    <row r="156" spans="1:35">
      <c r="A156" t="s">
        <v>444</v>
      </c>
      <c r="B156" t="s">
        <v>1890</v>
      </c>
      <c r="C156" t="s">
        <v>1891</v>
      </c>
      <c r="D156" t="s">
        <v>387</v>
      </c>
      <c r="F156">
        <v>7.7861359999999999</v>
      </c>
      <c r="G156">
        <v>8.1910520000000009</v>
      </c>
      <c r="H156">
        <v>8.3520000000000003</v>
      </c>
      <c r="I156">
        <v>8.5946079999999991</v>
      </c>
      <c r="J156">
        <v>8.8052489999999999</v>
      </c>
      <c r="K156">
        <v>9.0034290000000006</v>
      </c>
      <c r="L156">
        <v>9.2005160000000004</v>
      </c>
      <c r="M156">
        <v>9.3942560000000004</v>
      </c>
      <c r="N156">
        <v>9.5766290000000005</v>
      </c>
      <c r="O156">
        <v>9.7437380000000005</v>
      </c>
      <c r="P156">
        <v>9.9039549999999998</v>
      </c>
      <c r="Q156">
        <v>10.056832999999999</v>
      </c>
      <c r="R156">
        <v>10.201817999999999</v>
      </c>
      <c r="S156">
        <v>10.338438999999999</v>
      </c>
      <c r="T156">
        <v>10.46664</v>
      </c>
      <c r="U156">
        <v>10.587524</v>
      </c>
      <c r="V156">
        <v>10.701859000000001</v>
      </c>
      <c r="W156">
        <v>10.810409999999999</v>
      </c>
      <c r="X156">
        <v>10.913398000000001</v>
      </c>
      <c r="Y156">
        <v>11.011628</v>
      </c>
      <c r="Z156">
        <v>11.105437</v>
      </c>
      <c r="AA156">
        <v>11.195148</v>
      </c>
      <c r="AB156">
        <v>11.280993</v>
      </c>
      <c r="AC156">
        <v>11.363185</v>
      </c>
      <c r="AD156">
        <v>11.442098</v>
      </c>
      <c r="AE156">
        <v>11.517728</v>
      </c>
      <c r="AF156">
        <v>11.590244</v>
      </c>
      <c r="AG156">
        <v>11.659587999999999</v>
      </c>
      <c r="AH156">
        <v>11.726065</v>
      </c>
      <c r="AI156" s="31">
        <v>1.4999999999999999E-2</v>
      </c>
    </row>
    <row r="157" spans="1:35">
      <c r="A157" t="s">
        <v>1662</v>
      </c>
      <c r="B157" t="s">
        <v>1892</v>
      </c>
      <c r="C157" t="s">
        <v>1893</v>
      </c>
      <c r="D157" t="s">
        <v>387</v>
      </c>
      <c r="F157">
        <v>79.301177999999993</v>
      </c>
      <c r="G157">
        <v>101.63005099999999</v>
      </c>
      <c r="H157">
        <v>121.146072</v>
      </c>
      <c r="I157">
        <v>133.75103799999999</v>
      </c>
      <c r="J157">
        <v>144.38346899999999</v>
      </c>
      <c r="K157">
        <v>151.58453399999999</v>
      </c>
      <c r="L157">
        <v>157.44383199999999</v>
      </c>
      <c r="M157">
        <v>162.801773</v>
      </c>
      <c r="N157">
        <v>168.194412</v>
      </c>
      <c r="O157">
        <v>173.57832300000001</v>
      </c>
      <c r="P157">
        <v>179.07577499999999</v>
      </c>
      <c r="Q157">
        <v>184.704071</v>
      </c>
      <c r="R157">
        <v>190.47181699999999</v>
      </c>
      <c r="S157">
        <v>196.386841</v>
      </c>
      <c r="T157">
        <v>202.43138099999999</v>
      </c>
      <c r="U157">
        <v>208.633804</v>
      </c>
      <c r="V157">
        <v>214.996399</v>
      </c>
      <c r="W157">
        <v>221.51997399999999</v>
      </c>
      <c r="X157">
        <v>228.20277400000001</v>
      </c>
      <c r="Y157">
        <v>235.039368</v>
      </c>
      <c r="Z157">
        <v>242.04367099999999</v>
      </c>
      <c r="AA157">
        <v>249.21748400000001</v>
      </c>
      <c r="AB157">
        <v>256.56286599999999</v>
      </c>
      <c r="AC157">
        <v>264.08050500000002</v>
      </c>
      <c r="AD157">
        <v>271.71682700000002</v>
      </c>
      <c r="AE157">
        <v>279.52886999999998</v>
      </c>
      <c r="AF157">
        <v>287.52255200000002</v>
      </c>
      <c r="AG157">
        <v>295.70309400000002</v>
      </c>
      <c r="AH157">
        <v>304.07415800000001</v>
      </c>
      <c r="AI157" s="31">
        <v>4.9000000000000002E-2</v>
      </c>
    </row>
    <row r="158" spans="1:35">
      <c r="A158" t="s">
        <v>442</v>
      </c>
      <c r="B158" t="s">
        <v>1894</v>
      </c>
      <c r="C158" t="s">
        <v>1895</v>
      </c>
      <c r="D158" t="s">
        <v>387</v>
      </c>
      <c r="F158">
        <v>47.678085000000003</v>
      </c>
      <c r="G158">
        <v>60.579250000000002</v>
      </c>
      <c r="H158">
        <v>71.433159000000003</v>
      </c>
      <c r="I158">
        <v>77.759079</v>
      </c>
      <c r="J158">
        <v>83.222747999999996</v>
      </c>
      <c r="K158">
        <v>87.090667999999994</v>
      </c>
      <c r="L158">
        <v>90.329620000000006</v>
      </c>
      <c r="M158">
        <v>93.328048999999993</v>
      </c>
      <c r="N158">
        <v>96.334464999999994</v>
      </c>
      <c r="O158">
        <v>99.321999000000005</v>
      </c>
      <c r="P158">
        <v>102.368782</v>
      </c>
      <c r="Q158">
        <v>105.485298</v>
      </c>
      <c r="R158">
        <v>108.67620100000001</v>
      </c>
      <c r="S158">
        <v>111.94573200000001</v>
      </c>
      <c r="T158">
        <v>115.283394</v>
      </c>
      <c r="U158">
        <v>118.70564299999999</v>
      </c>
      <c r="V158">
        <v>122.213562</v>
      </c>
      <c r="W158">
        <v>125.807327</v>
      </c>
      <c r="X158">
        <v>129.48561100000001</v>
      </c>
      <c r="Y158">
        <v>133.24620100000001</v>
      </c>
      <c r="Z158">
        <v>137.09582499999999</v>
      </c>
      <c r="AA158">
        <v>141.03517199999999</v>
      </c>
      <c r="AB158">
        <v>145.06509399999999</v>
      </c>
      <c r="AC158">
        <v>149.185654</v>
      </c>
      <c r="AD158">
        <v>153.36450199999999</v>
      </c>
      <c r="AE158">
        <v>157.63568100000001</v>
      </c>
      <c r="AF158">
        <v>162.00212099999999</v>
      </c>
      <c r="AG158">
        <v>166.46650700000001</v>
      </c>
      <c r="AH158">
        <v>171.03038000000001</v>
      </c>
      <c r="AI158" s="31">
        <v>4.7E-2</v>
      </c>
    </row>
    <row r="159" spans="1:35">
      <c r="A159" t="s">
        <v>443</v>
      </c>
      <c r="B159" t="s">
        <v>1896</v>
      </c>
      <c r="C159" t="s">
        <v>1897</v>
      </c>
      <c r="D159" t="s">
        <v>387</v>
      </c>
      <c r="F159">
        <v>27.672314</v>
      </c>
      <c r="G159">
        <v>36.190651000000003</v>
      </c>
      <c r="H159">
        <v>44.102626999999998</v>
      </c>
      <c r="I159">
        <v>50.092044999999999</v>
      </c>
      <c r="J159">
        <v>54.982585999999998</v>
      </c>
      <c r="K159">
        <v>58.082782999999999</v>
      </c>
      <c r="L159">
        <v>60.489162</v>
      </c>
      <c r="M159">
        <v>62.643284000000001</v>
      </c>
      <c r="N159">
        <v>64.825858999999994</v>
      </c>
      <c r="O159">
        <v>67.022644</v>
      </c>
      <c r="P159">
        <v>69.270484999999994</v>
      </c>
      <c r="Q159">
        <v>71.575378000000001</v>
      </c>
      <c r="R159">
        <v>73.940926000000005</v>
      </c>
      <c r="S159">
        <v>76.370498999999995</v>
      </c>
      <c r="T159">
        <v>78.857642999999996</v>
      </c>
      <c r="U159">
        <v>81.413055</v>
      </c>
      <c r="V159">
        <v>84.037871999999993</v>
      </c>
      <c r="W159">
        <v>86.732758000000004</v>
      </c>
      <c r="X159">
        <v>89.497505000000004</v>
      </c>
      <c r="Y159">
        <v>92.328818999999996</v>
      </c>
      <c r="Z159">
        <v>95.233681000000004</v>
      </c>
      <c r="AA159">
        <v>98.213158000000007</v>
      </c>
      <c r="AB159">
        <v>101.268517</v>
      </c>
      <c r="AC159">
        <v>104.400452</v>
      </c>
      <c r="AD159">
        <v>107.59034</v>
      </c>
      <c r="AE159">
        <v>110.858566</v>
      </c>
      <c r="AF159">
        <v>114.207832</v>
      </c>
      <c r="AG159">
        <v>117.64065600000001</v>
      </c>
      <c r="AH159">
        <v>121.159058</v>
      </c>
      <c r="AI159" s="31">
        <v>5.3999999999999999E-2</v>
      </c>
    </row>
    <row r="160" spans="1:35">
      <c r="A160" t="s">
        <v>444</v>
      </c>
      <c r="B160" t="s">
        <v>1898</v>
      </c>
      <c r="C160" t="s">
        <v>1899</v>
      </c>
      <c r="D160" t="s">
        <v>387</v>
      </c>
      <c r="F160">
        <v>3.9507759999999998</v>
      </c>
      <c r="G160">
        <v>4.8601390000000002</v>
      </c>
      <c r="H160">
        <v>5.6102879999999997</v>
      </c>
      <c r="I160">
        <v>5.8999009999999998</v>
      </c>
      <c r="J160">
        <v>6.1781309999999996</v>
      </c>
      <c r="K160">
        <v>6.4110950000000004</v>
      </c>
      <c r="L160">
        <v>6.6250410000000004</v>
      </c>
      <c r="M160">
        <v>6.8304140000000002</v>
      </c>
      <c r="N160">
        <v>7.0340759999999998</v>
      </c>
      <c r="O160">
        <v>7.2336809999999998</v>
      </c>
      <c r="P160">
        <v>7.4365009999999998</v>
      </c>
      <c r="Q160">
        <v>7.6434049999999996</v>
      </c>
      <c r="R160">
        <v>7.8546870000000002</v>
      </c>
      <c r="S160">
        <v>8.0706039999999994</v>
      </c>
      <c r="T160">
        <v>8.2903300000000009</v>
      </c>
      <c r="U160">
        <v>8.5151039999999991</v>
      </c>
      <c r="V160">
        <v>8.7449670000000008</v>
      </c>
      <c r="W160">
        <v>8.9798720000000003</v>
      </c>
      <c r="X160">
        <v>9.2196569999999998</v>
      </c>
      <c r="Y160">
        <v>9.4643420000000003</v>
      </c>
      <c r="Z160">
        <v>9.7141710000000003</v>
      </c>
      <c r="AA160">
        <v>9.9691340000000004</v>
      </c>
      <c r="AB160">
        <v>10.229227</v>
      </c>
      <c r="AC160">
        <v>10.494389999999999</v>
      </c>
      <c r="AD160">
        <v>10.761946999999999</v>
      </c>
      <c r="AE160">
        <v>11.034632999999999</v>
      </c>
      <c r="AF160">
        <v>11.31259</v>
      </c>
      <c r="AG160">
        <v>11.595942000000001</v>
      </c>
      <c r="AH160">
        <v>11.884709000000001</v>
      </c>
      <c r="AI160" s="31">
        <v>0.04</v>
      </c>
    </row>
    <row r="161" spans="1:35">
      <c r="A161" t="s">
        <v>1900</v>
      </c>
      <c r="B161" t="s">
        <v>1901</v>
      </c>
      <c r="C161" t="s">
        <v>1902</v>
      </c>
      <c r="D161" t="s">
        <v>387</v>
      </c>
      <c r="F161">
        <v>4373.3583980000003</v>
      </c>
      <c r="G161">
        <v>5169.9628910000001</v>
      </c>
      <c r="H161">
        <v>5704.986328</v>
      </c>
      <c r="I161">
        <v>6061.9882809999999</v>
      </c>
      <c r="J161">
        <v>6486.1030270000001</v>
      </c>
      <c r="K161">
        <v>6773.2924800000001</v>
      </c>
      <c r="L161">
        <v>7038.0502930000002</v>
      </c>
      <c r="M161">
        <v>7267.8666990000002</v>
      </c>
      <c r="N161">
        <v>7496.404297</v>
      </c>
      <c r="O161">
        <v>7728.0527339999999</v>
      </c>
      <c r="P161">
        <v>7969.5229490000002</v>
      </c>
      <c r="Q161">
        <v>8218.796875</v>
      </c>
      <c r="R161">
        <v>8471.8828119999998</v>
      </c>
      <c r="S161">
        <v>8729.8085940000001</v>
      </c>
      <c r="T161">
        <v>8994.9101559999999</v>
      </c>
      <c r="U161">
        <v>9267.7148440000001</v>
      </c>
      <c r="V161">
        <v>9546.7949219999991</v>
      </c>
      <c r="W161">
        <v>9831.6953119999998</v>
      </c>
      <c r="X161">
        <v>10127.839844</v>
      </c>
      <c r="Y161">
        <v>10429.796875</v>
      </c>
      <c r="Z161">
        <v>10739.313477</v>
      </c>
      <c r="AA161">
        <v>11056.318359000001</v>
      </c>
      <c r="AB161">
        <v>11377.703125</v>
      </c>
      <c r="AC161">
        <v>11702.694336</v>
      </c>
      <c r="AD161">
        <v>12031.28125</v>
      </c>
      <c r="AE161">
        <v>12367.683594</v>
      </c>
      <c r="AF161">
        <v>12709.627930000001</v>
      </c>
      <c r="AG161">
        <v>13056.267578000001</v>
      </c>
      <c r="AH161">
        <v>13410.994140999999</v>
      </c>
      <c r="AI161" s="31">
        <v>4.1000000000000002E-2</v>
      </c>
    </row>
    <row r="162" spans="1:35">
      <c r="A162" t="s">
        <v>1903</v>
      </c>
      <c r="B162" t="s">
        <v>1904</v>
      </c>
      <c r="C162" t="s">
        <v>1905</v>
      </c>
      <c r="D162" t="s">
        <v>387</v>
      </c>
      <c r="F162">
        <v>2683.0664059999999</v>
      </c>
      <c r="G162">
        <v>3004.8544919999999</v>
      </c>
      <c r="H162">
        <v>3189.0339359999998</v>
      </c>
      <c r="I162">
        <v>3333.350586</v>
      </c>
      <c r="J162">
        <v>3512.0295409999999</v>
      </c>
      <c r="K162">
        <v>3652.1213379999999</v>
      </c>
      <c r="L162">
        <v>3785.1130370000001</v>
      </c>
      <c r="M162">
        <v>3909.9748540000001</v>
      </c>
      <c r="N162">
        <v>4033.5424800000001</v>
      </c>
      <c r="O162">
        <v>4159.1660160000001</v>
      </c>
      <c r="P162">
        <v>4290.7993159999996</v>
      </c>
      <c r="Q162">
        <v>4426.7041019999997</v>
      </c>
      <c r="R162">
        <v>4564.2529299999997</v>
      </c>
      <c r="S162">
        <v>4704.125</v>
      </c>
      <c r="T162">
        <v>4847.890625</v>
      </c>
      <c r="U162">
        <v>4995.7368159999996</v>
      </c>
      <c r="V162">
        <v>5146.732422</v>
      </c>
      <c r="W162">
        <v>5300.5415039999998</v>
      </c>
      <c r="X162">
        <v>5460.5395509999998</v>
      </c>
      <c r="Y162">
        <v>5623.4580079999996</v>
      </c>
      <c r="Z162">
        <v>5790.2529299999997</v>
      </c>
      <c r="AA162">
        <v>5960.8364259999998</v>
      </c>
      <c r="AB162">
        <v>6133.1469729999999</v>
      </c>
      <c r="AC162">
        <v>6306.5971680000002</v>
      </c>
      <c r="AD162">
        <v>6481.4169920000004</v>
      </c>
      <c r="AE162">
        <v>6660.0419920000004</v>
      </c>
      <c r="AF162">
        <v>6840.9291990000002</v>
      </c>
      <c r="AG162">
        <v>7023.3911129999997</v>
      </c>
      <c r="AH162">
        <v>7209.3994140000004</v>
      </c>
      <c r="AI162" s="31">
        <v>3.5999999999999997E-2</v>
      </c>
    </row>
    <row r="163" spans="1:35">
      <c r="A163" t="s">
        <v>1906</v>
      </c>
      <c r="B163" t="s">
        <v>1907</v>
      </c>
      <c r="C163" t="s">
        <v>1908</v>
      </c>
      <c r="D163" t="s">
        <v>387</v>
      </c>
      <c r="F163">
        <v>1365.956543</v>
      </c>
      <c r="G163">
        <v>1815.0357670000001</v>
      </c>
      <c r="H163">
        <v>2153.0739749999998</v>
      </c>
      <c r="I163">
        <v>2353.8952640000002</v>
      </c>
      <c r="J163">
        <v>2582.8857419999999</v>
      </c>
      <c r="K163">
        <v>2715.4416500000002</v>
      </c>
      <c r="L163">
        <v>2833.0561520000001</v>
      </c>
      <c r="M163">
        <v>2924.1845699999999</v>
      </c>
      <c r="N163">
        <v>3015.576172</v>
      </c>
      <c r="O163">
        <v>3107.7626949999999</v>
      </c>
      <c r="P163">
        <v>3202.9577640000002</v>
      </c>
      <c r="Q163">
        <v>3301.172607</v>
      </c>
      <c r="R163">
        <v>3401.4245609999998</v>
      </c>
      <c r="S163">
        <v>3503.9650879999999</v>
      </c>
      <c r="T163">
        <v>3609.3312989999999</v>
      </c>
      <c r="U163">
        <v>3717.852539</v>
      </c>
      <c r="V163">
        <v>3829.1669919999999</v>
      </c>
      <c r="W163">
        <v>3943.2114259999998</v>
      </c>
      <c r="X163">
        <v>4061.5683589999999</v>
      </c>
      <c r="Y163">
        <v>4182.5180659999996</v>
      </c>
      <c r="Z163">
        <v>4306.732422</v>
      </c>
      <c r="AA163">
        <v>4434.2412109999996</v>
      </c>
      <c r="AB163">
        <v>4564.2856449999999</v>
      </c>
      <c r="AC163">
        <v>4696.7617190000001</v>
      </c>
      <c r="AD163">
        <v>4831.3510740000002</v>
      </c>
      <c r="AE163">
        <v>4969.5302730000003</v>
      </c>
      <c r="AF163">
        <v>5110.8076170000004</v>
      </c>
      <c r="AG163">
        <v>5255.1259769999997</v>
      </c>
      <c r="AH163">
        <v>5403.6381840000004</v>
      </c>
      <c r="AI163" s="31">
        <v>0.05</v>
      </c>
    </row>
    <row r="164" spans="1:35">
      <c r="A164" t="s">
        <v>118</v>
      </c>
      <c r="B164" t="s">
        <v>1909</v>
      </c>
      <c r="C164" t="s">
        <v>1910</v>
      </c>
      <c r="D164" t="s">
        <v>387</v>
      </c>
      <c r="F164">
        <v>324.33532700000001</v>
      </c>
      <c r="G164">
        <v>350.07336400000003</v>
      </c>
      <c r="H164">
        <v>362.87820399999998</v>
      </c>
      <c r="I164">
        <v>374.74331699999999</v>
      </c>
      <c r="J164">
        <v>391.18713400000001</v>
      </c>
      <c r="K164">
        <v>405.72949199999999</v>
      </c>
      <c r="L164">
        <v>419.88110399999999</v>
      </c>
      <c r="M164">
        <v>433.70675699999998</v>
      </c>
      <c r="N164">
        <v>447.28530899999998</v>
      </c>
      <c r="O164">
        <v>461.123627</v>
      </c>
      <c r="P164">
        <v>475.76504499999999</v>
      </c>
      <c r="Q164">
        <v>490.91918900000002</v>
      </c>
      <c r="R164">
        <v>506.20510899999999</v>
      </c>
      <c r="S164">
        <v>521.71698000000004</v>
      </c>
      <c r="T164">
        <v>537.6875</v>
      </c>
      <c r="U164">
        <v>554.12542699999995</v>
      </c>
      <c r="V164">
        <v>570.89569100000006</v>
      </c>
      <c r="W164">
        <v>587.94293200000004</v>
      </c>
      <c r="X164">
        <v>605.730774</v>
      </c>
      <c r="Y164">
        <v>623.81982400000004</v>
      </c>
      <c r="Z164">
        <v>642.32647699999995</v>
      </c>
      <c r="AA164">
        <v>661.24029499999995</v>
      </c>
      <c r="AB164">
        <v>680.27038600000003</v>
      </c>
      <c r="AC164">
        <v>699.33538799999997</v>
      </c>
      <c r="AD164">
        <v>718.51324499999998</v>
      </c>
      <c r="AE164">
        <v>738.10925299999997</v>
      </c>
      <c r="AF164">
        <v>757.89080799999999</v>
      </c>
      <c r="AG164">
        <v>777.75109899999995</v>
      </c>
      <c r="AH164">
        <v>797.95684800000004</v>
      </c>
      <c r="AI164" s="31">
        <v>3.3000000000000002E-2</v>
      </c>
    </row>
    <row r="165" spans="1:35">
      <c r="A165" t="s">
        <v>1911</v>
      </c>
    </row>
    <row r="166" spans="1:35">
      <c r="A166" t="s">
        <v>427</v>
      </c>
      <c r="B166" t="s">
        <v>1912</v>
      </c>
      <c r="C166" t="s">
        <v>1106</v>
      </c>
      <c r="D166" t="s">
        <v>352</v>
      </c>
      <c r="F166">
        <v>539.82806400000004</v>
      </c>
      <c r="G166">
        <v>555.01080300000001</v>
      </c>
      <c r="H166">
        <v>240.10987900000001</v>
      </c>
      <c r="I166">
        <v>195.879456</v>
      </c>
      <c r="J166">
        <v>383.18585200000001</v>
      </c>
      <c r="K166">
        <v>397.42700200000002</v>
      </c>
      <c r="L166">
        <v>389.21536300000002</v>
      </c>
      <c r="M166">
        <v>374.38278200000002</v>
      </c>
      <c r="N166">
        <v>360.36273199999999</v>
      </c>
      <c r="O166">
        <v>371.35995500000001</v>
      </c>
      <c r="P166">
        <v>413.48968500000001</v>
      </c>
      <c r="Q166">
        <v>439.33099399999998</v>
      </c>
      <c r="R166">
        <v>441.440155</v>
      </c>
      <c r="S166">
        <v>446.81085200000001</v>
      </c>
      <c r="T166">
        <v>466.78561400000001</v>
      </c>
      <c r="U166">
        <v>486.83136000000002</v>
      </c>
      <c r="V166">
        <v>499.04101600000001</v>
      </c>
      <c r="W166">
        <v>506.68572999999998</v>
      </c>
      <c r="X166">
        <v>538.37341300000003</v>
      </c>
      <c r="Y166">
        <v>543.35778800000003</v>
      </c>
      <c r="Z166">
        <v>554.06219499999997</v>
      </c>
      <c r="AA166">
        <v>567.82055700000001</v>
      </c>
      <c r="AB166">
        <v>569.10339399999998</v>
      </c>
      <c r="AC166">
        <v>570.74981700000001</v>
      </c>
      <c r="AD166">
        <v>582.32244900000001</v>
      </c>
      <c r="AE166">
        <v>606.70001200000002</v>
      </c>
      <c r="AF166">
        <v>618.58166500000004</v>
      </c>
      <c r="AG166">
        <v>628.19116199999996</v>
      </c>
      <c r="AH166">
        <v>657.48895300000004</v>
      </c>
      <c r="AI166" s="31">
        <v>7.0000000000000001E-3</v>
      </c>
    </row>
    <row r="167" spans="1:35">
      <c r="A167" t="s">
        <v>442</v>
      </c>
      <c r="B167" t="s">
        <v>1913</v>
      </c>
      <c r="C167" t="s">
        <v>1106</v>
      </c>
      <c r="D167" t="s">
        <v>352</v>
      </c>
      <c r="F167">
        <v>335.96209700000003</v>
      </c>
      <c r="G167">
        <v>350.61816399999998</v>
      </c>
      <c r="H167">
        <v>145.26670799999999</v>
      </c>
      <c r="I167">
        <v>129.51503</v>
      </c>
      <c r="J167">
        <v>208.80259699999999</v>
      </c>
      <c r="K167">
        <v>214.47662399999999</v>
      </c>
      <c r="L167">
        <v>210.31191999999999</v>
      </c>
      <c r="M167">
        <v>202.565887</v>
      </c>
      <c r="N167">
        <v>195.35475199999999</v>
      </c>
      <c r="O167">
        <v>202.117279</v>
      </c>
      <c r="P167">
        <v>226.17236299999999</v>
      </c>
      <c r="Q167">
        <v>240.87524400000001</v>
      </c>
      <c r="R167">
        <v>242.455566</v>
      </c>
      <c r="S167">
        <v>245.90283199999999</v>
      </c>
      <c r="T167">
        <v>257.31298800000002</v>
      </c>
      <c r="U167">
        <v>268.57910199999998</v>
      </c>
      <c r="V167">
        <v>275.35498000000001</v>
      </c>
      <c r="W167">
        <v>279.55126999999999</v>
      </c>
      <c r="X167">
        <v>297.056152</v>
      </c>
      <c r="Y167">
        <v>299.58154300000001</v>
      </c>
      <c r="Z167">
        <v>305.335938</v>
      </c>
      <c r="AA167">
        <v>312.82226600000001</v>
      </c>
      <c r="AB167">
        <v>313.44476300000002</v>
      </c>
      <c r="AC167">
        <v>314.49087500000002</v>
      </c>
      <c r="AD167">
        <v>321.07968099999999</v>
      </c>
      <c r="AE167">
        <v>334.69555700000001</v>
      </c>
      <c r="AF167">
        <v>341.29492199999999</v>
      </c>
      <c r="AG167">
        <v>346.57534800000002</v>
      </c>
      <c r="AH167">
        <v>362.83862299999998</v>
      </c>
      <c r="AI167" s="31">
        <v>3.0000000000000001E-3</v>
      </c>
    </row>
    <row r="168" spans="1:35">
      <c r="A168" t="s">
        <v>443</v>
      </c>
      <c r="B168" t="s">
        <v>1914</v>
      </c>
      <c r="C168" t="s">
        <v>1106</v>
      </c>
      <c r="D168" t="s">
        <v>352</v>
      </c>
      <c r="F168">
        <v>0</v>
      </c>
      <c r="G168">
        <v>39.340881000000003</v>
      </c>
      <c r="H168">
        <v>38.709868999999998</v>
      </c>
      <c r="I168">
        <v>12.628342</v>
      </c>
      <c r="J168">
        <v>71.145934999999994</v>
      </c>
      <c r="K168">
        <v>75.438416000000004</v>
      </c>
      <c r="L168">
        <v>73.298705999999996</v>
      </c>
      <c r="M168">
        <v>70.090332000000004</v>
      </c>
      <c r="N168">
        <v>66.757262999999995</v>
      </c>
      <c r="O168">
        <v>66.275634999999994</v>
      </c>
      <c r="P168">
        <v>69.520447000000004</v>
      </c>
      <c r="Q168">
        <v>70.853438999999995</v>
      </c>
      <c r="R168">
        <v>69.180381999999994</v>
      </c>
      <c r="S168">
        <v>68.041573</v>
      </c>
      <c r="T168">
        <v>69.126677999999998</v>
      </c>
      <c r="U168">
        <v>70.625564999999995</v>
      </c>
      <c r="V168">
        <v>71.534912000000006</v>
      </c>
      <c r="W168">
        <v>72.152512000000002</v>
      </c>
      <c r="X168">
        <v>76.074096999999995</v>
      </c>
      <c r="Y168">
        <v>76.887848000000005</v>
      </c>
      <c r="Z168">
        <v>78.550735000000003</v>
      </c>
      <c r="AA168">
        <v>80.678496999999993</v>
      </c>
      <c r="AB168">
        <v>81.193016</v>
      </c>
      <c r="AC168">
        <v>81.704009999999997</v>
      </c>
      <c r="AD168">
        <v>83.519371000000007</v>
      </c>
      <c r="AE168">
        <v>86.947097999999997</v>
      </c>
      <c r="AF168">
        <v>88.823836999999997</v>
      </c>
      <c r="AG168">
        <v>90.511550999999997</v>
      </c>
      <c r="AH168">
        <v>94.700371000000004</v>
      </c>
      <c r="AI168" t="s">
        <v>117</v>
      </c>
    </row>
    <row r="169" spans="1:35">
      <c r="A169" t="s">
        <v>444</v>
      </c>
      <c r="B169" t="s">
        <v>1915</v>
      </c>
      <c r="C169" t="s">
        <v>1106</v>
      </c>
      <c r="D169" t="s">
        <v>352</v>
      </c>
      <c r="F169">
        <v>203.86596700000001</v>
      </c>
      <c r="G169">
        <v>165.05175800000001</v>
      </c>
      <c r="H169">
        <v>56.133301000000003</v>
      </c>
      <c r="I169">
        <v>53.736083999999998</v>
      </c>
      <c r="J169">
        <v>103.23730500000001</v>
      </c>
      <c r="K169">
        <v>107.51196299999999</v>
      </c>
      <c r="L169">
        <v>105.604736</v>
      </c>
      <c r="M169">
        <v>101.726562</v>
      </c>
      <c r="N169">
        <v>98.250731999999999</v>
      </c>
      <c r="O169">
        <v>102.96704099999999</v>
      </c>
      <c r="P169">
        <v>117.796875</v>
      </c>
      <c r="Q169">
        <v>127.602295</v>
      </c>
      <c r="R169">
        <v>129.80419900000001</v>
      </c>
      <c r="S169">
        <v>132.866455</v>
      </c>
      <c r="T169">
        <v>140.345947</v>
      </c>
      <c r="U169">
        <v>147.62670900000001</v>
      </c>
      <c r="V169">
        <v>152.15112300000001</v>
      </c>
      <c r="W169">
        <v>154.981934</v>
      </c>
      <c r="X169">
        <v>165.24316400000001</v>
      </c>
      <c r="Y169">
        <v>166.888428</v>
      </c>
      <c r="Z169">
        <v>170.17553699999999</v>
      </c>
      <c r="AA169">
        <v>174.31982400000001</v>
      </c>
      <c r="AB169">
        <v>174.465576</v>
      </c>
      <c r="AC169">
        <v>174.55493200000001</v>
      </c>
      <c r="AD169">
        <v>177.723389</v>
      </c>
      <c r="AE169">
        <v>185.05737300000001</v>
      </c>
      <c r="AF169">
        <v>188.46289100000001</v>
      </c>
      <c r="AG169">
        <v>191.10424800000001</v>
      </c>
      <c r="AH169">
        <v>199.949951</v>
      </c>
      <c r="AI169" s="31">
        <v>-1E-3</v>
      </c>
    </row>
    <row r="170" spans="1:35">
      <c r="A170" t="s">
        <v>428</v>
      </c>
      <c r="B170" t="s">
        <v>1916</v>
      </c>
      <c r="C170" t="s">
        <v>1106</v>
      </c>
      <c r="D170" t="s">
        <v>352</v>
      </c>
      <c r="F170">
        <v>0</v>
      </c>
      <c r="G170">
        <v>15.678391</v>
      </c>
      <c r="H170">
        <v>51.316887000000001</v>
      </c>
      <c r="I170">
        <v>50.117165</v>
      </c>
      <c r="J170">
        <v>52.954346000000001</v>
      </c>
      <c r="K170">
        <v>57.051322999999996</v>
      </c>
      <c r="L170">
        <v>44.861697999999997</v>
      </c>
      <c r="M170">
        <v>46.635117000000001</v>
      </c>
      <c r="N170">
        <v>49.951324</v>
      </c>
      <c r="O170">
        <v>50.769165000000001</v>
      </c>
      <c r="P170">
        <v>51.472060999999997</v>
      </c>
      <c r="Q170">
        <v>52.399932999999997</v>
      </c>
      <c r="R170">
        <v>53.103180000000002</v>
      </c>
      <c r="S170">
        <v>53.605300999999997</v>
      </c>
      <c r="T170">
        <v>56.171036000000001</v>
      </c>
      <c r="U170">
        <v>56.427169999999997</v>
      </c>
      <c r="V170">
        <v>57.608795000000001</v>
      </c>
      <c r="W170">
        <v>58.449553999999999</v>
      </c>
      <c r="X170">
        <v>58.490127999999999</v>
      </c>
      <c r="Y170">
        <v>58.666182999999997</v>
      </c>
      <c r="Z170">
        <v>58.960326999999999</v>
      </c>
      <c r="AA170">
        <v>59.343628000000002</v>
      </c>
      <c r="AB170">
        <v>59.845576999999999</v>
      </c>
      <c r="AC170">
        <v>60.470764000000003</v>
      </c>
      <c r="AD170">
        <v>61.182304000000002</v>
      </c>
      <c r="AE170">
        <v>61.965812999999997</v>
      </c>
      <c r="AF170">
        <v>62.802154999999999</v>
      </c>
      <c r="AG170">
        <v>63.733001999999999</v>
      </c>
      <c r="AH170">
        <v>64.763489000000007</v>
      </c>
      <c r="AI170" t="s">
        <v>117</v>
      </c>
    </row>
    <row r="171" spans="1:35">
      <c r="A171" t="s">
        <v>442</v>
      </c>
      <c r="B171" t="s">
        <v>1917</v>
      </c>
      <c r="C171" t="s">
        <v>1106</v>
      </c>
      <c r="D171" t="s">
        <v>352</v>
      </c>
      <c r="F171">
        <v>0</v>
      </c>
      <c r="G171">
        <v>0</v>
      </c>
      <c r="H171">
        <v>17.463474000000001</v>
      </c>
      <c r="I171">
        <v>21.329653</v>
      </c>
      <c r="J171">
        <v>24.371399</v>
      </c>
      <c r="K171">
        <v>23.494506999999999</v>
      </c>
      <c r="L171">
        <v>18.943511999999998</v>
      </c>
      <c r="M171">
        <v>19.374298</v>
      </c>
      <c r="N171">
        <v>19.766327</v>
      </c>
      <c r="O171">
        <v>20.132964999999999</v>
      </c>
      <c r="P171">
        <v>20.452881000000001</v>
      </c>
      <c r="Q171">
        <v>20.728363000000002</v>
      </c>
      <c r="R171">
        <v>20.983429000000001</v>
      </c>
      <c r="S171">
        <v>21.226134999999999</v>
      </c>
      <c r="T171">
        <v>23.542083999999999</v>
      </c>
      <c r="U171">
        <v>23.546509</v>
      </c>
      <c r="V171">
        <v>23.508330999999998</v>
      </c>
      <c r="W171">
        <v>23.525696</v>
      </c>
      <c r="X171">
        <v>23.583984000000001</v>
      </c>
      <c r="Y171">
        <v>23.695709000000001</v>
      </c>
      <c r="Z171">
        <v>23.852905</v>
      </c>
      <c r="AA171">
        <v>24.047637999999999</v>
      </c>
      <c r="AB171">
        <v>24.291533999999999</v>
      </c>
      <c r="AC171">
        <v>24.574981999999999</v>
      </c>
      <c r="AD171">
        <v>24.892365000000002</v>
      </c>
      <c r="AE171">
        <v>25.243469000000001</v>
      </c>
      <c r="AF171">
        <v>25.627898999999999</v>
      </c>
      <c r="AG171">
        <v>26.047516000000002</v>
      </c>
      <c r="AH171">
        <v>26.498474000000002</v>
      </c>
      <c r="AI171" t="s">
        <v>117</v>
      </c>
    </row>
    <row r="172" spans="1:35">
      <c r="A172" t="s">
        <v>443</v>
      </c>
      <c r="B172" t="s">
        <v>1918</v>
      </c>
      <c r="C172" t="s">
        <v>1106</v>
      </c>
      <c r="D172" t="s">
        <v>352</v>
      </c>
      <c r="F172">
        <v>0</v>
      </c>
      <c r="G172">
        <v>0</v>
      </c>
      <c r="H172">
        <v>2.6847050000000001</v>
      </c>
      <c r="I172">
        <v>8.6334879999999998</v>
      </c>
      <c r="J172">
        <v>7.5640429999999999</v>
      </c>
      <c r="K172">
        <v>7.6775729999999998</v>
      </c>
      <c r="L172">
        <v>4.8536409999999997</v>
      </c>
      <c r="M172">
        <v>5.8987879999999997</v>
      </c>
      <c r="N172">
        <v>8.4926449999999996</v>
      </c>
      <c r="O172">
        <v>8.6243289999999995</v>
      </c>
      <c r="P172">
        <v>8.7234649999999991</v>
      </c>
      <c r="Q172">
        <v>8.8013309999999993</v>
      </c>
      <c r="R172">
        <v>8.8686830000000008</v>
      </c>
      <c r="S172">
        <v>8.9318390000000001</v>
      </c>
      <c r="T172">
        <v>8.9949490000000001</v>
      </c>
      <c r="U172">
        <v>9.0618739999999995</v>
      </c>
      <c r="V172">
        <v>10.095367</v>
      </c>
      <c r="W172">
        <v>10.726288</v>
      </c>
      <c r="X172">
        <v>10.520554000000001</v>
      </c>
      <c r="Y172">
        <v>10.378677</v>
      </c>
      <c r="Z172">
        <v>10.290741000000001</v>
      </c>
      <c r="AA172">
        <v>10.238586</v>
      </c>
      <c r="AB172">
        <v>10.221401</v>
      </c>
      <c r="AC172">
        <v>10.25827</v>
      </c>
      <c r="AD172">
        <v>10.321465</v>
      </c>
      <c r="AE172">
        <v>10.393303</v>
      </c>
      <c r="AF172">
        <v>10.454742</v>
      </c>
      <c r="AG172">
        <v>10.542479999999999</v>
      </c>
      <c r="AH172">
        <v>10.666687</v>
      </c>
      <c r="AI172" t="s">
        <v>117</v>
      </c>
    </row>
    <row r="173" spans="1:35">
      <c r="A173" t="s">
        <v>444</v>
      </c>
      <c r="B173" t="s">
        <v>1919</v>
      </c>
      <c r="C173" t="s">
        <v>1106</v>
      </c>
      <c r="D173" t="s">
        <v>352</v>
      </c>
      <c r="F173">
        <v>0</v>
      </c>
      <c r="G173">
        <v>15.678391</v>
      </c>
      <c r="H173">
        <v>31.168710999999998</v>
      </c>
      <c r="I173">
        <v>20.154024</v>
      </c>
      <c r="J173">
        <v>21.018902000000001</v>
      </c>
      <c r="K173">
        <v>25.879242000000001</v>
      </c>
      <c r="L173">
        <v>21.064544999999999</v>
      </c>
      <c r="M173">
        <v>21.362030000000001</v>
      </c>
      <c r="N173">
        <v>21.692352</v>
      </c>
      <c r="O173">
        <v>22.011870999999999</v>
      </c>
      <c r="P173">
        <v>22.295715000000001</v>
      </c>
      <c r="Q173">
        <v>22.870239000000002</v>
      </c>
      <c r="R173">
        <v>23.251068</v>
      </c>
      <c r="S173">
        <v>23.447327000000001</v>
      </c>
      <c r="T173">
        <v>23.634003</v>
      </c>
      <c r="U173">
        <v>23.818787</v>
      </c>
      <c r="V173">
        <v>24.005096000000002</v>
      </c>
      <c r="W173">
        <v>24.197571</v>
      </c>
      <c r="X173">
        <v>24.385590000000001</v>
      </c>
      <c r="Y173">
        <v>24.591797</v>
      </c>
      <c r="Z173">
        <v>24.816680999999999</v>
      </c>
      <c r="AA173">
        <v>25.057403999999998</v>
      </c>
      <c r="AB173">
        <v>25.332642</v>
      </c>
      <c r="AC173">
        <v>25.637512000000001</v>
      </c>
      <c r="AD173">
        <v>25.968475000000002</v>
      </c>
      <c r="AE173">
        <v>26.329041</v>
      </c>
      <c r="AF173">
        <v>26.719512999999999</v>
      </c>
      <c r="AG173">
        <v>27.143004999999999</v>
      </c>
      <c r="AH173">
        <v>27.598327999999999</v>
      </c>
      <c r="AI173" t="s">
        <v>117</v>
      </c>
    </row>
    <row r="174" spans="1:35">
      <c r="A174" t="s">
        <v>1625</v>
      </c>
      <c r="B174" t="s">
        <v>1920</v>
      </c>
      <c r="C174" t="s">
        <v>1106</v>
      </c>
      <c r="D174" t="s">
        <v>352</v>
      </c>
      <c r="F174">
        <v>0</v>
      </c>
      <c r="G174">
        <v>22.792006000000001</v>
      </c>
      <c r="H174">
        <v>74.402717999999993</v>
      </c>
      <c r="I174">
        <v>44.716248</v>
      </c>
      <c r="J174">
        <v>57.993133999999998</v>
      </c>
      <c r="K174">
        <v>54.273457000000001</v>
      </c>
      <c r="L174">
        <v>51.795287999999999</v>
      </c>
      <c r="M174">
        <v>51.212234000000002</v>
      </c>
      <c r="N174">
        <v>52.077075999999998</v>
      </c>
      <c r="O174">
        <v>54.758178999999998</v>
      </c>
      <c r="P174">
        <v>57.779369000000003</v>
      </c>
      <c r="Q174">
        <v>61.833809000000002</v>
      </c>
      <c r="R174">
        <v>66.168610000000001</v>
      </c>
      <c r="S174">
        <v>69.022034000000005</v>
      </c>
      <c r="T174">
        <v>71.720344999999995</v>
      </c>
      <c r="U174">
        <v>74.601128000000003</v>
      </c>
      <c r="V174">
        <v>77.492294000000001</v>
      </c>
      <c r="W174">
        <v>80.764747999999997</v>
      </c>
      <c r="X174">
        <v>83.840393000000006</v>
      </c>
      <c r="Y174">
        <v>85.916290000000004</v>
      </c>
      <c r="Z174">
        <v>88.354316999999995</v>
      </c>
      <c r="AA174">
        <v>90.725646999999995</v>
      </c>
      <c r="AB174">
        <v>93.012282999999996</v>
      </c>
      <c r="AC174">
        <v>95.275702999999993</v>
      </c>
      <c r="AD174">
        <v>96.930526999999998</v>
      </c>
      <c r="AE174">
        <v>99.070449999999994</v>
      </c>
      <c r="AF174">
        <v>101.387764</v>
      </c>
      <c r="AG174">
        <v>103.807503</v>
      </c>
      <c r="AH174">
        <v>106.413315</v>
      </c>
      <c r="AI174" t="s">
        <v>117</v>
      </c>
    </row>
    <row r="175" spans="1:35">
      <c r="A175" t="s">
        <v>442</v>
      </c>
      <c r="B175" t="s">
        <v>1921</v>
      </c>
      <c r="C175" t="s">
        <v>1106</v>
      </c>
      <c r="D175" t="s">
        <v>352</v>
      </c>
      <c r="F175">
        <v>0</v>
      </c>
      <c r="G175">
        <v>3.6042939999999999</v>
      </c>
      <c r="H175">
        <v>47.323338</v>
      </c>
      <c r="I175">
        <v>25.081547</v>
      </c>
      <c r="J175">
        <v>36.088225999999999</v>
      </c>
      <c r="K175">
        <v>35.250145000000003</v>
      </c>
      <c r="L175">
        <v>33.467136000000004</v>
      </c>
      <c r="M175">
        <v>32.919186000000003</v>
      </c>
      <c r="N175">
        <v>34.377158999999999</v>
      </c>
      <c r="O175">
        <v>35.893459</v>
      </c>
      <c r="P175">
        <v>37.667839000000001</v>
      </c>
      <c r="Q175">
        <v>39.338538999999997</v>
      </c>
      <c r="R175">
        <v>41.088473999999998</v>
      </c>
      <c r="S175">
        <v>42.883583000000002</v>
      </c>
      <c r="T175">
        <v>44.583351</v>
      </c>
      <c r="U175">
        <v>46.405234999999998</v>
      </c>
      <c r="V175">
        <v>48.237968000000002</v>
      </c>
      <c r="W175">
        <v>50.054909000000002</v>
      </c>
      <c r="X175">
        <v>51.816090000000003</v>
      </c>
      <c r="Y175">
        <v>53.149906000000001</v>
      </c>
      <c r="Z175">
        <v>54.709114</v>
      </c>
      <c r="AA175">
        <v>56.237555999999998</v>
      </c>
      <c r="AB175">
        <v>57.744278000000001</v>
      </c>
      <c r="AC175">
        <v>59.240203999999999</v>
      </c>
      <c r="AD175">
        <v>60.373123</v>
      </c>
      <c r="AE175">
        <v>61.808743</v>
      </c>
      <c r="AF175">
        <v>63.379292</v>
      </c>
      <c r="AG175">
        <v>65.004767999999999</v>
      </c>
      <c r="AH175">
        <v>66.742683</v>
      </c>
      <c r="AI175" t="s">
        <v>117</v>
      </c>
    </row>
    <row r="176" spans="1:35">
      <c r="A176" t="s">
        <v>443</v>
      </c>
      <c r="B176" t="s">
        <v>1922</v>
      </c>
      <c r="C176" t="s">
        <v>1106</v>
      </c>
      <c r="D176" t="s">
        <v>352</v>
      </c>
      <c r="F176">
        <v>0</v>
      </c>
      <c r="G176">
        <v>0</v>
      </c>
      <c r="H176">
        <v>1.1706829999999999</v>
      </c>
      <c r="I176">
        <v>6.5943160000000001</v>
      </c>
      <c r="J176">
        <v>5.9159930000000003</v>
      </c>
      <c r="K176">
        <v>4.2207160000000004</v>
      </c>
      <c r="L176">
        <v>3.7680630000000002</v>
      </c>
      <c r="M176">
        <v>3.664326</v>
      </c>
      <c r="N176">
        <v>2.497312</v>
      </c>
      <c r="O176">
        <v>3.0966079999999998</v>
      </c>
      <c r="P176">
        <v>3.723773</v>
      </c>
      <c r="Q176">
        <v>5.5370480000000004</v>
      </c>
      <c r="R176">
        <v>7.546837</v>
      </c>
      <c r="S176">
        <v>8.0298370000000006</v>
      </c>
      <c r="T176">
        <v>8.4824219999999997</v>
      </c>
      <c r="U176">
        <v>8.9627379999999999</v>
      </c>
      <c r="V176">
        <v>9.4329149999999995</v>
      </c>
      <c r="W176">
        <v>9.8785399999999992</v>
      </c>
      <c r="X176">
        <v>10.28767</v>
      </c>
      <c r="Y176">
        <v>10.555084000000001</v>
      </c>
      <c r="Z176">
        <v>10.858917</v>
      </c>
      <c r="AA176">
        <v>11.105093</v>
      </c>
      <c r="AB176">
        <v>11.269012999999999</v>
      </c>
      <c r="AC176">
        <v>11.400671000000001</v>
      </c>
      <c r="AD176">
        <v>11.372805</v>
      </c>
      <c r="AE176">
        <v>11.416981</v>
      </c>
      <c r="AF176">
        <v>11.454242000000001</v>
      </c>
      <c r="AG176">
        <v>11.487852</v>
      </c>
      <c r="AH176">
        <v>11.547215</v>
      </c>
      <c r="AI176" t="s">
        <v>117</v>
      </c>
    </row>
    <row r="177" spans="1:35">
      <c r="A177" t="s">
        <v>444</v>
      </c>
      <c r="B177" t="s">
        <v>1923</v>
      </c>
      <c r="C177" t="s">
        <v>1106</v>
      </c>
      <c r="D177" t="s">
        <v>352</v>
      </c>
      <c r="F177">
        <v>0</v>
      </c>
      <c r="G177">
        <v>19.187712000000001</v>
      </c>
      <c r="H177">
        <v>25.908698999999999</v>
      </c>
      <c r="I177">
        <v>13.040388</v>
      </c>
      <c r="J177">
        <v>15.988916</v>
      </c>
      <c r="K177">
        <v>14.802597</v>
      </c>
      <c r="L177">
        <v>14.560089</v>
      </c>
      <c r="M177">
        <v>14.628723000000001</v>
      </c>
      <c r="N177">
        <v>15.202605999999999</v>
      </c>
      <c r="O177">
        <v>15.768112</v>
      </c>
      <c r="P177">
        <v>16.387756</v>
      </c>
      <c r="Q177">
        <v>16.958221000000002</v>
      </c>
      <c r="R177">
        <v>17.533294999999999</v>
      </c>
      <c r="S177">
        <v>18.108612000000001</v>
      </c>
      <c r="T177">
        <v>18.654572000000002</v>
      </c>
      <c r="U177">
        <v>19.233153999999999</v>
      </c>
      <c r="V177">
        <v>19.821411000000001</v>
      </c>
      <c r="W177">
        <v>20.831299000000001</v>
      </c>
      <c r="X177">
        <v>21.736633000000001</v>
      </c>
      <c r="Y177">
        <v>22.211303999999998</v>
      </c>
      <c r="Z177">
        <v>22.786284999999999</v>
      </c>
      <c r="AA177">
        <v>23.382995999999999</v>
      </c>
      <c r="AB177">
        <v>23.998992999999999</v>
      </c>
      <c r="AC177">
        <v>24.634827000000001</v>
      </c>
      <c r="AD177">
        <v>25.184601000000001</v>
      </c>
      <c r="AE177">
        <v>25.844726999999999</v>
      </c>
      <c r="AF177">
        <v>26.55423</v>
      </c>
      <c r="AG177">
        <v>27.314879999999999</v>
      </c>
      <c r="AH177">
        <v>28.123412999999999</v>
      </c>
      <c r="AI177" t="s">
        <v>117</v>
      </c>
    </row>
    <row r="178" spans="1:35">
      <c r="A178" t="s">
        <v>1628</v>
      </c>
      <c r="B178" t="s">
        <v>1924</v>
      </c>
      <c r="C178" t="s">
        <v>1106</v>
      </c>
      <c r="D178" t="s">
        <v>352</v>
      </c>
      <c r="F178">
        <v>0</v>
      </c>
      <c r="G178">
        <v>209.46492000000001</v>
      </c>
      <c r="H178">
        <v>460.13586400000003</v>
      </c>
      <c r="I178">
        <v>229.08583100000001</v>
      </c>
      <c r="J178">
        <v>317.47808800000001</v>
      </c>
      <c r="K178">
        <v>187.26048299999999</v>
      </c>
      <c r="L178">
        <v>214.348862</v>
      </c>
      <c r="M178">
        <v>249.834259</v>
      </c>
      <c r="N178">
        <v>296.81411700000001</v>
      </c>
      <c r="O178">
        <v>319.17443800000001</v>
      </c>
      <c r="P178">
        <v>339.22967499999999</v>
      </c>
      <c r="Q178">
        <v>397.25842299999999</v>
      </c>
      <c r="R178">
        <v>406.20275900000001</v>
      </c>
      <c r="S178">
        <v>413.12435900000003</v>
      </c>
      <c r="T178">
        <v>419.67819200000002</v>
      </c>
      <c r="U178">
        <v>426.31133999999997</v>
      </c>
      <c r="V178">
        <v>432.356964</v>
      </c>
      <c r="W178">
        <v>437.99243200000001</v>
      </c>
      <c r="X178">
        <v>444.01953099999997</v>
      </c>
      <c r="Y178">
        <v>449.06921399999999</v>
      </c>
      <c r="Z178">
        <v>453.67553700000002</v>
      </c>
      <c r="AA178">
        <v>457.88363600000002</v>
      </c>
      <c r="AB178">
        <v>461.77047700000003</v>
      </c>
      <c r="AC178">
        <v>465.51147500000002</v>
      </c>
      <c r="AD178">
        <v>469.37573200000003</v>
      </c>
      <c r="AE178">
        <v>473.366669</v>
      </c>
      <c r="AF178">
        <v>477.805969</v>
      </c>
      <c r="AG178">
        <v>483.20083599999998</v>
      </c>
      <c r="AH178">
        <v>489.35626200000002</v>
      </c>
      <c r="AI178" t="s">
        <v>117</v>
      </c>
    </row>
    <row r="179" spans="1:35">
      <c r="A179" t="s">
        <v>442</v>
      </c>
      <c r="B179" t="s">
        <v>1925</v>
      </c>
      <c r="C179" t="s">
        <v>1106</v>
      </c>
      <c r="D179" t="s">
        <v>352</v>
      </c>
      <c r="F179">
        <v>0</v>
      </c>
      <c r="G179">
        <v>0</v>
      </c>
      <c r="H179">
        <v>221.829926</v>
      </c>
      <c r="I179">
        <v>120.38294999999999</v>
      </c>
      <c r="J179">
        <v>159.10351600000001</v>
      </c>
      <c r="K179">
        <v>105.838966</v>
      </c>
      <c r="L179">
        <v>123.445007</v>
      </c>
      <c r="M179">
        <v>142.73538199999999</v>
      </c>
      <c r="N179">
        <v>161.134232</v>
      </c>
      <c r="O179">
        <v>178.18235799999999</v>
      </c>
      <c r="P179">
        <v>193.75765999999999</v>
      </c>
      <c r="Q179">
        <v>247.382935</v>
      </c>
      <c r="R179">
        <v>252.203857</v>
      </c>
      <c r="S179">
        <v>255.38964799999999</v>
      </c>
      <c r="T179">
        <v>258.36474600000003</v>
      </c>
      <c r="U179">
        <v>261.22705100000002</v>
      </c>
      <c r="V179">
        <v>263.53198200000003</v>
      </c>
      <c r="W179">
        <v>265.51074199999999</v>
      </c>
      <c r="X179">
        <v>267.742188</v>
      </c>
      <c r="Y179">
        <v>269.3125</v>
      </c>
      <c r="Z179">
        <v>270.68798800000002</v>
      </c>
      <c r="AA179">
        <v>271.945312</v>
      </c>
      <c r="AB179">
        <v>273.14111300000002</v>
      </c>
      <c r="AC179">
        <v>274.41601600000001</v>
      </c>
      <c r="AD179">
        <v>275.93505900000002</v>
      </c>
      <c r="AE179">
        <v>277.73779300000001</v>
      </c>
      <c r="AF179">
        <v>280.03198200000003</v>
      </c>
      <c r="AG179">
        <v>283.20404100000002</v>
      </c>
      <c r="AH179">
        <v>286.96154799999999</v>
      </c>
      <c r="AI179" t="s">
        <v>117</v>
      </c>
    </row>
    <row r="180" spans="1:35">
      <c r="A180" t="s">
        <v>443</v>
      </c>
      <c r="B180" t="s">
        <v>1926</v>
      </c>
      <c r="C180" t="s">
        <v>1106</v>
      </c>
      <c r="D180" t="s">
        <v>352</v>
      </c>
      <c r="F180">
        <v>0</v>
      </c>
      <c r="G180">
        <v>0</v>
      </c>
      <c r="H180">
        <v>47.794128000000001</v>
      </c>
      <c r="I180">
        <v>34.290160999999998</v>
      </c>
      <c r="J180">
        <v>78.167045999999999</v>
      </c>
      <c r="K180">
        <v>21.906136</v>
      </c>
      <c r="L180">
        <v>29.046921000000001</v>
      </c>
      <c r="M180">
        <v>42.34742</v>
      </c>
      <c r="N180">
        <v>67.976646000000002</v>
      </c>
      <c r="O180">
        <v>70.347549000000001</v>
      </c>
      <c r="P180">
        <v>71.901809999999998</v>
      </c>
      <c r="Q180">
        <v>73.409531000000001</v>
      </c>
      <c r="R180">
        <v>74.759415000000004</v>
      </c>
      <c r="S180">
        <v>75.880463000000006</v>
      </c>
      <c r="T180">
        <v>76.833099000000004</v>
      </c>
      <c r="U180">
        <v>77.983086</v>
      </c>
      <c r="V180">
        <v>79.231110000000001</v>
      </c>
      <c r="W180">
        <v>80.483269000000007</v>
      </c>
      <c r="X180">
        <v>81.913345000000007</v>
      </c>
      <c r="Y180">
        <v>83.149544000000006</v>
      </c>
      <c r="Z180">
        <v>84.208145000000002</v>
      </c>
      <c r="AA180">
        <v>85.047950999999998</v>
      </c>
      <c r="AB180">
        <v>85.678557999999995</v>
      </c>
      <c r="AC180">
        <v>86.113647</v>
      </c>
      <c r="AD180">
        <v>86.440674000000001</v>
      </c>
      <c r="AE180">
        <v>86.611412000000001</v>
      </c>
      <c r="AF180">
        <v>86.682541000000001</v>
      </c>
      <c r="AG180">
        <v>86.753997999999996</v>
      </c>
      <c r="AH180">
        <v>86.938659999999999</v>
      </c>
      <c r="AI180" t="s">
        <v>117</v>
      </c>
    </row>
    <row r="181" spans="1:35">
      <c r="A181" t="s">
        <v>444</v>
      </c>
      <c r="B181" t="s">
        <v>1927</v>
      </c>
      <c r="C181" t="s">
        <v>1106</v>
      </c>
      <c r="D181" t="s">
        <v>352</v>
      </c>
      <c r="F181">
        <v>0</v>
      </c>
      <c r="G181">
        <v>209.46492000000001</v>
      </c>
      <c r="H181">
        <v>190.51182600000001</v>
      </c>
      <c r="I181">
        <v>74.412719999999993</v>
      </c>
      <c r="J181">
        <v>80.207520000000002</v>
      </c>
      <c r="K181">
        <v>59.515380999999998</v>
      </c>
      <c r="L181">
        <v>61.856934000000003</v>
      </c>
      <c r="M181">
        <v>64.751464999999996</v>
      </c>
      <c r="N181">
        <v>67.703247000000005</v>
      </c>
      <c r="O181">
        <v>70.644531000000001</v>
      </c>
      <c r="P181">
        <v>73.570189999999997</v>
      </c>
      <c r="Q181">
        <v>76.465941999999998</v>
      </c>
      <c r="R181">
        <v>79.239502000000002</v>
      </c>
      <c r="S181">
        <v>81.854247999999998</v>
      </c>
      <c r="T181">
        <v>84.480346999999995</v>
      </c>
      <c r="U181">
        <v>87.101196000000002</v>
      </c>
      <c r="V181">
        <v>89.593872000000005</v>
      </c>
      <c r="W181">
        <v>91.998412999999999</v>
      </c>
      <c r="X181">
        <v>94.364013999999997</v>
      </c>
      <c r="Y181">
        <v>96.607178000000005</v>
      </c>
      <c r="Z181">
        <v>98.779419000000004</v>
      </c>
      <c r="AA181">
        <v>100.890381</v>
      </c>
      <c r="AB181">
        <v>102.950806</v>
      </c>
      <c r="AC181">
        <v>104.98181200000001</v>
      </c>
      <c r="AD181">
        <v>107</v>
      </c>
      <c r="AE181">
        <v>109.017456</v>
      </c>
      <c r="AF181">
        <v>111.091431</v>
      </c>
      <c r="AG181">
        <v>113.24279799999999</v>
      </c>
      <c r="AH181">
        <v>115.45605500000001</v>
      </c>
      <c r="AI181" t="s">
        <v>117</v>
      </c>
    </row>
    <row r="182" spans="1:35">
      <c r="A182" t="s">
        <v>1631</v>
      </c>
      <c r="B182" t="s">
        <v>1928</v>
      </c>
      <c r="C182" t="s">
        <v>1106</v>
      </c>
      <c r="D182" t="s">
        <v>352</v>
      </c>
      <c r="F182">
        <v>0.79372399999999999</v>
      </c>
      <c r="G182">
        <v>12.980262</v>
      </c>
      <c r="H182">
        <v>13.87327</v>
      </c>
      <c r="I182">
        <v>26.350292</v>
      </c>
      <c r="J182">
        <v>34.025683999999998</v>
      </c>
      <c r="K182">
        <v>23.44116</v>
      </c>
      <c r="L182">
        <v>23.946943000000001</v>
      </c>
      <c r="M182">
        <v>7.5498479999999999</v>
      </c>
      <c r="N182">
        <v>10.049531999999999</v>
      </c>
      <c r="O182">
        <v>12.750522999999999</v>
      </c>
      <c r="P182">
        <v>15.652850000000001</v>
      </c>
      <c r="Q182">
        <v>19.172958000000001</v>
      </c>
      <c r="R182">
        <v>21.966609999999999</v>
      </c>
      <c r="S182">
        <v>24.430050000000001</v>
      </c>
      <c r="T182">
        <v>26.608149000000001</v>
      </c>
      <c r="U182">
        <v>29.806080000000001</v>
      </c>
      <c r="V182">
        <v>31.115946000000001</v>
      </c>
      <c r="W182">
        <v>32.410407999999997</v>
      </c>
      <c r="X182">
        <v>32.874062000000002</v>
      </c>
      <c r="Y182">
        <v>33.091309000000003</v>
      </c>
      <c r="Z182">
        <v>35.272255000000001</v>
      </c>
      <c r="AA182">
        <v>35.527016000000003</v>
      </c>
      <c r="AB182">
        <v>34.892966999999999</v>
      </c>
      <c r="AC182">
        <v>34.265090999999998</v>
      </c>
      <c r="AD182">
        <v>33.642463999999997</v>
      </c>
      <c r="AE182">
        <v>33.005409</v>
      </c>
      <c r="AF182">
        <v>32.366652999999999</v>
      </c>
      <c r="AG182">
        <v>31.752213000000001</v>
      </c>
      <c r="AH182">
        <v>31.186401</v>
      </c>
      <c r="AI182" s="31">
        <v>0.14000000000000001</v>
      </c>
    </row>
    <row r="183" spans="1:35">
      <c r="A183" t="s">
        <v>442</v>
      </c>
      <c r="B183" t="s">
        <v>1929</v>
      </c>
      <c r="C183" t="s">
        <v>1106</v>
      </c>
      <c r="D183" t="s">
        <v>352</v>
      </c>
      <c r="F183">
        <v>0.79372399999999999</v>
      </c>
      <c r="G183">
        <v>7.4462910000000004</v>
      </c>
      <c r="H183">
        <v>10.540979</v>
      </c>
      <c r="I183">
        <v>9.1241839999999996</v>
      </c>
      <c r="J183">
        <v>8.5874229999999994</v>
      </c>
      <c r="K183">
        <v>6.9385599999999998</v>
      </c>
      <c r="L183">
        <v>7.4051960000000001</v>
      </c>
      <c r="M183">
        <v>4.6872920000000002</v>
      </c>
      <c r="N183">
        <v>5.5550129999999998</v>
      </c>
      <c r="O183">
        <v>6.4856889999999998</v>
      </c>
      <c r="P183">
        <v>7.4760400000000002</v>
      </c>
      <c r="Q183">
        <v>8.5032789999999991</v>
      </c>
      <c r="R183">
        <v>9.4984909999999996</v>
      </c>
      <c r="S183">
        <v>10.436935999999999</v>
      </c>
      <c r="T183">
        <v>11.300264</v>
      </c>
      <c r="U183">
        <v>12.071911</v>
      </c>
      <c r="V183">
        <v>13.071901</v>
      </c>
      <c r="W183">
        <v>14.14739</v>
      </c>
      <c r="X183">
        <v>14.482977</v>
      </c>
      <c r="Y183">
        <v>14.647125000000001</v>
      </c>
      <c r="Z183">
        <v>14.705292</v>
      </c>
      <c r="AA183">
        <v>14.677673</v>
      </c>
      <c r="AB183">
        <v>14.582153</v>
      </c>
      <c r="AC183">
        <v>14.438843</v>
      </c>
      <c r="AD183">
        <v>14.260223</v>
      </c>
      <c r="AE183">
        <v>14.050934</v>
      </c>
      <c r="AF183">
        <v>13.821960000000001</v>
      </c>
      <c r="AG183">
        <v>13.586792000000001</v>
      </c>
      <c r="AH183">
        <v>13.356964</v>
      </c>
      <c r="AI183" s="31">
        <v>0.106</v>
      </c>
    </row>
    <row r="184" spans="1:35">
      <c r="A184" t="s">
        <v>443</v>
      </c>
      <c r="B184" t="s">
        <v>1930</v>
      </c>
      <c r="C184" t="s">
        <v>1106</v>
      </c>
      <c r="D184" t="s">
        <v>352</v>
      </c>
      <c r="F184">
        <v>0</v>
      </c>
      <c r="G184">
        <v>0</v>
      </c>
      <c r="H184">
        <v>0.42932500000000001</v>
      </c>
      <c r="I184">
        <v>14.579053</v>
      </c>
      <c r="J184">
        <v>24.163519000000001</v>
      </c>
      <c r="K184">
        <v>14.927294</v>
      </c>
      <c r="L184">
        <v>14.637105999999999</v>
      </c>
      <c r="M184">
        <v>0.63064600000000004</v>
      </c>
      <c r="N184">
        <v>1.9469030000000001</v>
      </c>
      <c r="O184">
        <v>3.405764</v>
      </c>
      <c r="P184">
        <v>4.9879540000000002</v>
      </c>
      <c r="Q184">
        <v>6.6358100000000002</v>
      </c>
      <c r="R184">
        <v>8.1877010000000006</v>
      </c>
      <c r="S184">
        <v>9.5605790000000006</v>
      </c>
      <c r="T184">
        <v>10.737700999999999</v>
      </c>
      <c r="U184">
        <v>13.039307000000001</v>
      </c>
      <c r="V184">
        <v>13.238830999999999</v>
      </c>
      <c r="W184">
        <v>13.362273999999999</v>
      </c>
      <c r="X184">
        <v>13.415436</v>
      </c>
      <c r="Y184">
        <v>13.404968</v>
      </c>
      <c r="Z184">
        <v>15.479445999999999</v>
      </c>
      <c r="AA184">
        <v>15.727722</v>
      </c>
      <c r="AB184">
        <v>15.166382</v>
      </c>
      <c r="AC184">
        <v>14.668182</v>
      </c>
      <c r="AD184">
        <v>14.217926</v>
      </c>
      <c r="AE184">
        <v>13.793549000000001</v>
      </c>
      <c r="AF184">
        <v>13.395325</v>
      </c>
      <c r="AG184">
        <v>13.034515000000001</v>
      </c>
      <c r="AH184">
        <v>12.721436000000001</v>
      </c>
      <c r="AI184" t="s">
        <v>117</v>
      </c>
    </row>
    <row r="185" spans="1:35">
      <c r="A185" t="s">
        <v>444</v>
      </c>
      <c r="B185" t="s">
        <v>1931</v>
      </c>
      <c r="C185" t="s">
        <v>1106</v>
      </c>
      <c r="D185" t="s">
        <v>352</v>
      </c>
      <c r="F185">
        <v>0</v>
      </c>
      <c r="G185">
        <v>5.5339710000000002</v>
      </c>
      <c r="H185">
        <v>2.9029660000000002</v>
      </c>
      <c r="I185">
        <v>2.6470570000000002</v>
      </c>
      <c r="J185">
        <v>1.2747409999999999</v>
      </c>
      <c r="K185">
        <v>1.5753060000000001</v>
      </c>
      <c r="L185">
        <v>1.9046419999999999</v>
      </c>
      <c r="M185">
        <v>2.2319100000000001</v>
      </c>
      <c r="N185">
        <v>2.5476160000000001</v>
      </c>
      <c r="O185">
        <v>2.8590689999999999</v>
      </c>
      <c r="P185">
        <v>3.1888550000000002</v>
      </c>
      <c r="Q185">
        <v>4.0338690000000001</v>
      </c>
      <c r="R185">
        <v>4.2804180000000001</v>
      </c>
      <c r="S185">
        <v>4.4325330000000003</v>
      </c>
      <c r="T185">
        <v>4.5701830000000001</v>
      </c>
      <c r="U185">
        <v>4.6948619999999996</v>
      </c>
      <c r="V185">
        <v>4.8052140000000003</v>
      </c>
      <c r="W185">
        <v>4.9007420000000002</v>
      </c>
      <c r="X185">
        <v>4.9756470000000004</v>
      </c>
      <c r="Y185">
        <v>5.0392150000000004</v>
      </c>
      <c r="Z185">
        <v>5.0875170000000001</v>
      </c>
      <c r="AA185">
        <v>5.1216200000000001</v>
      </c>
      <c r="AB185">
        <v>5.1444320000000001</v>
      </c>
      <c r="AC185">
        <v>5.1580659999999998</v>
      </c>
      <c r="AD185">
        <v>5.1643140000000001</v>
      </c>
      <c r="AE185">
        <v>5.160927</v>
      </c>
      <c r="AF185">
        <v>5.1493679999999999</v>
      </c>
      <c r="AG185">
        <v>5.1309050000000003</v>
      </c>
      <c r="AH185">
        <v>5.1080019999999999</v>
      </c>
      <c r="AI185" t="s">
        <v>117</v>
      </c>
    </row>
    <row r="186" spans="1:35">
      <c r="A186" t="s">
        <v>1634</v>
      </c>
      <c r="B186" t="s">
        <v>1932</v>
      </c>
      <c r="C186" t="s">
        <v>1106</v>
      </c>
      <c r="D186" t="s">
        <v>352</v>
      </c>
      <c r="F186">
        <v>0</v>
      </c>
      <c r="G186">
        <v>8.2998980000000007</v>
      </c>
      <c r="H186">
        <v>38.095581000000003</v>
      </c>
      <c r="I186">
        <v>52.605324000000003</v>
      </c>
      <c r="J186">
        <v>38.831344999999999</v>
      </c>
      <c r="K186">
        <v>36.263339999999999</v>
      </c>
      <c r="L186">
        <v>38.536208999999999</v>
      </c>
      <c r="M186">
        <v>37.579514000000003</v>
      </c>
      <c r="N186">
        <v>40.607680999999999</v>
      </c>
      <c r="O186">
        <v>43.308140000000002</v>
      </c>
      <c r="P186">
        <v>45.546779999999998</v>
      </c>
      <c r="Q186">
        <v>51.024161999999997</v>
      </c>
      <c r="R186">
        <v>55.126358000000003</v>
      </c>
      <c r="S186">
        <v>55.12912</v>
      </c>
      <c r="T186">
        <v>55.547545999999997</v>
      </c>
      <c r="U186">
        <v>56.460537000000002</v>
      </c>
      <c r="V186">
        <v>57.931061</v>
      </c>
      <c r="W186">
        <v>57.521850999999998</v>
      </c>
      <c r="X186">
        <v>61.387970000000003</v>
      </c>
      <c r="Y186">
        <v>62.124954000000002</v>
      </c>
      <c r="Z186">
        <v>63.149524999999997</v>
      </c>
      <c r="AA186">
        <v>64.233458999999996</v>
      </c>
      <c r="AB186">
        <v>65.384048000000007</v>
      </c>
      <c r="AC186">
        <v>66.553618999999998</v>
      </c>
      <c r="AD186">
        <v>67.687691000000001</v>
      </c>
      <c r="AE186">
        <v>68.894240999999994</v>
      </c>
      <c r="AF186">
        <v>70.257583999999994</v>
      </c>
      <c r="AG186">
        <v>71.682845999999998</v>
      </c>
      <c r="AH186">
        <v>73.041831999999999</v>
      </c>
      <c r="AI186" t="s">
        <v>117</v>
      </c>
    </row>
    <row r="187" spans="1:35">
      <c r="A187" t="s">
        <v>442</v>
      </c>
      <c r="B187" t="s">
        <v>1933</v>
      </c>
      <c r="C187" t="s">
        <v>1106</v>
      </c>
      <c r="D187" t="s">
        <v>352</v>
      </c>
      <c r="F187">
        <v>0</v>
      </c>
      <c r="G187">
        <v>0</v>
      </c>
      <c r="H187">
        <v>2.1184859999999999</v>
      </c>
      <c r="I187">
        <v>14.333235</v>
      </c>
      <c r="J187">
        <v>8.4892459999999996</v>
      </c>
      <c r="K187">
        <v>9.3029770000000003</v>
      </c>
      <c r="L187">
        <v>11.527939</v>
      </c>
      <c r="M187">
        <v>13.043364</v>
      </c>
      <c r="N187">
        <v>15.177201</v>
      </c>
      <c r="O187">
        <v>17.062756</v>
      </c>
      <c r="P187">
        <v>18.632449999999999</v>
      </c>
      <c r="Q187">
        <v>23.383787000000002</v>
      </c>
      <c r="R187">
        <v>26.739440999999999</v>
      </c>
      <c r="S187">
        <v>26.429901000000001</v>
      </c>
      <c r="T187">
        <v>26.310669000000001</v>
      </c>
      <c r="U187">
        <v>26.42334</v>
      </c>
      <c r="V187">
        <v>26.262481999999999</v>
      </c>
      <c r="W187">
        <v>25.816986</v>
      </c>
      <c r="X187">
        <v>29.670959</v>
      </c>
      <c r="Y187">
        <v>30.239594</v>
      </c>
      <c r="Z187">
        <v>31.060184</v>
      </c>
      <c r="AA187">
        <v>31.933064000000002</v>
      </c>
      <c r="AB187">
        <v>32.858215000000001</v>
      </c>
      <c r="AC187">
        <v>33.782725999999997</v>
      </c>
      <c r="AD187">
        <v>34.653114000000002</v>
      </c>
      <c r="AE187">
        <v>35.545791999999999</v>
      </c>
      <c r="AF187">
        <v>36.475109000000003</v>
      </c>
      <c r="AG187">
        <v>37.396743999999998</v>
      </c>
      <c r="AH187">
        <v>38.194510999999999</v>
      </c>
      <c r="AI187" t="s">
        <v>117</v>
      </c>
    </row>
    <row r="188" spans="1:35">
      <c r="A188" t="s">
        <v>443</v>
      </c>
      <c r="B188" t="s">
        <v>1934</v>
      </c>
      <c r="C188" t="s">
        <v>1106</v>
      </c>
      <c r="D188" t="s">
        <v>352</v>
      </c>
      <c r="F188">
        <v>0</v>
      </c>
      <c r="G188">
        <v>0</v>
      </c>
      <c r="H188">
        <v>2.6404640000000001</v>
      </c>
      <c r="I188">
        <v>8.6513419999999996</v>
      </c>
      <c r="J188">
        <v>8.5475119999999993</v>
      </c>
      <c r="K188">
        <v>5.0834099999999998</v>
      </c>
      <c r="L188">
        <v>4.9653910000000003</v>
      </c>
      <c r="M188">
        <v>2.3322020000000001</v>
      </c>
      <c r="N188">
        <v>3.053315</v>
      </c>
      <c r="O188">
        <v>3.8036720000000002</v>
      </c>
      <c r="P188">
        <v>4.5707329999999997</v>
      </c>
      <c r="Q188">
        <v>5.3463390000000004</v>
      </c>
      <c r="R188">
        <v>6.1272130000000002</v>
      </c>
      <c r="S188">
        <v>6.8328249999999997</v>
      </c>
      <c r="T188">
        <v>7.5031720000000002</v>
      </c>
      <c r="U188">
        <v>8.1220660000000002</v>
      </c>
      <c r="V188">
        <v>9.6340640000000004</v>
      </c>
      <c r="W188">
        <v>9.7615359999999995</v>
      </c>
      <c r="X188">
        <v>9.8415529999999993</v>
      </c>
      <c r="Y188">
        <v>9.8936919999999997</v>
      </c>
      <c r="Z188">
        <v>9.9146879999999999</v>
      </c>
      <c r="AA188">
        <v>9.9091640000000005</v>
      </c>
      <c r="AB188">
        <v>9.8867650000000005</v>
      </c>
      <c r="AC188">
        <v>9.8553010000000008</v>
      </c>
      <c r="AD188">
        <v>9.8242189999999994</v>
      </c>
      <c r="AE188">
        <v>9.8048400000000004</v>
      </c>
      <c r="AF188">
        <v>9.8116149999999998</v>
      </c>
      <c r="AG188">
        <v>9.8472600000000003</v>
      </c>
      <c r="AH188">
        <v>9.9160160000000008</v>
      </c>
      <c r="AI188" t="s">
        <v>117</v>
      </c>
    </row>
    <row r="189" spans="1:35">
      <c r="A189" t="s">
        <v>444</v>
      </c>
      <c r="B189" t="s">
        <v>1935</v>
      </c>
      <c r="C189" t="s">
        <v>1106</v>
      </c>
      <c r="D189" t="s">
        <v>352</v>
      </c>
      <c r="F189">
        <v>0</v>
      </c>
      <c r="G189">
        <v>8.2998980000000007</v>
      </c>
      <c r="H189">
        <v>33.336632000000002</v>
      </c>
      <c r="I189">
        <v>29.620747000000001</v>
      </c>
      <c r="J189">
        <v>21.794585999999999</v>
      </c>
      <c r="K189">
        <v>21.876953</v>
      </c>
      <c r="L189">
        <v>22.042877000000001</v>
      </c>
      <c r="M189">
        <v>22.203949000000001</v>
      </c>
      <c r="N189">
        <v>22.377167</v>
      </c>
      <c r="O189">
        <v>22.441711000000002</v>
      </c>
      <c r="P189">
        <v>22.343596999999999</v>
      </c>
      <c r="Q189">
        <v>22.294036999999999</v>
      </c>
      <c r="R189">
        <v>22.259705</v>
      </c>
      <c r="S189">
        <v>21.866394</v>
      </c>
      <c r="T189">
        <v>21.733703999999999</v>
      </c>
      <c r="U189">
        <v>21.915130999999999</v>
      </c>
      <c r="V189">
        <v>22.034514999999999</v>
      </c>
      <c r="W189">
        <v>21.943328999999999</v>
      </c>
      <c r="X189">
        <v>21.875457999999998</v>
      </c>
      <c r="Y189">
        <v>21.991669000000002</v>
      </c>
      <c r="Z189">
        <v>22.174651999999998</v>
      </c>
      <c r="AA189">
        <v>22.391235000000002</v>
      </c>
      <c r="AB189">
        <v>22.639068999999999</v>
      </c>
      <c r="AC189">
        <v>22.915588</v>
      </c>
      <c r="AD189">
        <v>23.210357999999999</v>
      </c>
      <c r="AE189">
        <v>23.543610000000001</v>
      </c>
      <c r="AF189">
        <v>23.970856000000001</v>
      </c>
      <c r="AG189">
        <v>24.438842999999999</v>
      </c>
      <c r="AH189">
        <v>24.931304999999998</v>
      </c>
      <c r="AI189" t="s">
        <v>117</v>
      </c>
    </row>
    <row r="190" spans="1:35">
      <c r="A190" t="s">
        <v>1637</v>
      </c>
      <c r="B190" t="s">
        <v>1936</v>
      </c>
      <c r="C190" t="s">
        <v>1106</v>
      </c>
      <c r="D190" t="s">
        <v>352</v>
      </c>
      <c r="F190">
        <v>1.548062</v>
      </c>
      <c r="G190">
        <v>0.40694900000000001</v>
      </c>
      <c r="H190">
        <v>4.8166710000000004</v>
      </c>
      <c r="I190">
        <v>20.534969</v>
      </c>
      <c r="J190">
        <v>32.079707999999997</v>
      </c>
      <c r="K190">
        <v>20.609804</v>
      </c>
      <c r="L190">
        <v>20.630108</v>
      </c>
      <c r="M190">
        <v>13.326860999999999</v>
      </c>
      <c r="N190">
        <v>15.014462</v>
      </c>
      <c r="O190">
        <v>14.232529</v>
      </c>
      <c r="P190">
        <v>11.986039</v>
      </c>
      <c r="Q190">
        <v>15.703169000000001</v>
      </c>
      <c r="R190">
        <v>17.806175</v>
      </c>
      <c r="S190">
        <v>18.755282999999999</v>
      </c>
      <c r="T190">
        <v>21.919620999999999</v>
      </c>
      <c r="U190">
        <v>21.439056000000001</v>
      </c>
      <c r="V190">
        <v>20.925242999999998</v>
      </c>
      <c r="W190">
        <v>21.061748999999999</v>
      </c>
      <c r="X190">
        <v>21.5837</v>
      </c>
      <c r="Y190">
        <v>22.559345</v>
      </c>
      <c r="Z190">
        <v>23.275272000000001</v>
      </c>
      <c r="AA190">
        <v>23.497261000000002</v>
      </c>
      <c r="AB190">
        <v>23.522503</v>
      </c>
      <c r="AC190">
        <v>23.249434999999998</v>
      </c>
      <c r="AD190">
        <v>22.661169000000001</v>
      </c>
      <c r="AE190">
        <v>22.079357000000002</v>
      </c>
      <c r="AF190">
        <v>21.822834</v>
      </c>
      <c r="AG190">
        <v>21.902353000000002</v>
      </c>
      <c r="AH190">
        <v>22.206213000000002</v>
      </c>
      <c r="AI190" s="31">
        <v>0.1</v>
      </c>
    </row>
    <row r="191" spans="1:35">
      <c r="A191" t="s">
        <v>442</v>
      </c>
      <c r="B191" t="s">
        <v>1937</v>
      </c>
      <c r="C191" t="s">
        <v>1106</v>
      </c>
      <c r="D191" t="s">
        <v>352</v>
      </c>
      <c r="F191">
        <v>0</v>
      </c>
      <c r="G191">
        <v>0</v>
      </c>
      <c r="H191">
        <v>0</v>
      </c>
      <c r="I191">
        <v>10.911906999999999</v>
      </c>
      <c r="J191">
        <v>16.296938000000001</v>
      </c>
      <c r="K191">
        <v>10.302027000000001</v>
      </c>
      <c r="L191">
        <v>10.519545000000001</v>
      </c>
      <c r="M191">
        <v>7.0495219999999996</v>
      </c>
      <c r="N191">
        <v>8.0902919999999998</v>
      </c>
      <c r="O191">
        <v>7.8387279999999997</v>
      </c>
      <c r="P191">
        <v>6.8081899999999997</v>
      </c>
      <c r="Q191">
        <v>7.5327210000000004</v>
      </c>
      <c r="R191">
        <v>8.5408380000000008</v>
      </c>
      <c r="S191">
        <v>9.3576350000000001</v>
      </c>
      <c r="T191">
        <v>12.303055000000001</v>
      </c>
      <c r="U191">
        <v>12.014191</v>
      </c>
      <c r="V191">
        <v>11.662108999999999</v>
      </c>
      <c r="W191">
        <v>11.604355</v>
      </c>
      <c r="X191">
        <v>11.726746</v>
      </c>
      <c r="Y191">
        <v>12.056839</v>
      </c>
      <c r="Z191">
        <v>12.26825</v>
      </c>
      <c r="AA191">
        <v>12.228882</v>
      </c>
      <c r="AB191">
        <v>12.117050000000001</v>
      </c>
      <c r="AC191">
        <v>11.890594</v>
      </c>
      <c r="AD191">
        <v>11.539612</v>
      </c>
      <c r="AE191">
        <v>11.207397</v>
      </c>
      <c r="AF191">
        <v>11.077102999999999</v>
      </c>
      <c r="AG191">
        <v>11.135910000000001</v>
      </c>
      <c r="AH191">
        <v>11.343048</v>
      </c>
      <c r="AI191" t="s">
        <v>117</v>
      </c>
    </row>
    <row r="192" spans="1:35">
      <c r="A192" t="s">
        <v>443</v>
      </c>
      <c r="B192" t="s">
        <v>1938</v>
      </c>
      <c r="C192" t="s">
        <v>1106</v>
      </c>
      <c r="D192" t="s">
        <v>352</v>
      </c>
      <c r="F192">
        <v>0</v>
      </c>
      <c r="G192">
        <v>0</v>
      </c>
      <c r="H192">
        <v>4.2203200000000001</v>
      </c>
      <c r="I192">
        <v>8.9817909999999994</v>
      </c>
      <c r="J192">
        <v>15.300864000000001</v>
      </c>
      <c r="K192">
        <v>9.8738729999999997</v>
      </c>
      <c r="L192">
        <v>9.6676289999999998</v>
      </c>
      <c r="M192">
        <v>5.8619880000000002</v>
      </c>
      <c r="N192">
        <v>6.5125869999999999</v>
      </c>
      <c r="O192">
        <v>6.0127410000000001</v>
      </c>
      <c r="P192">
        <v>4.8427749999999996</v>
      </c>
      <c r="Q192">
        <v>7.8420709999999998</v>
      </c>
      <c r="R192">
        <v>8.9356120000000008</v>
      </c>
      <c r="S192">
        <v>9.0690570000000008</v>
      </c>
      <c r="T192">
        <v>9.2871439999999996</v>
      </c>
      <c r="U192">
        <v>9.1031060000000004</v>
      </c>
      <c r="V192">
        <v>8.948658</v>
      </c>
      <c r="W192">
        <v>9.1422129999999999</v>
      </c>
      <c r="X192">
        <v>9.5360320000000005</v>
      </c>
      <c r="Y192">
        <v>10.170254999999999</v>
      </c>
      <c r="Z192">
        <v>10.665497</v>
      </c>
      <c r="AA192">
        <v>10.922416999999999</v>
      </c>
      <c r="AB192">
        <v>11.056387000000001</v>
      </c>
      <c r="AC192">
        <v>11.009218000000001</v>
      </c>
      <c r="AD192">
        <v>10.773937999999999</v>
      </c>
      <c r="AE192">
        <v>10.526306</v>
      </c>
      <c r="AF192">
        <v>10.397843999999999</v>
      </c>
      <c r="AG192">
        <v>10.412478</v>
      </c>
      <c r="AH192">
        <v>10.500457000000001</v>
      </c>
      <c r="AI192" t="s">
        <v>117</v>
      </c>
    </row>
    <row r="193" spans="1:35">
      <c r="A193" t="s">
        <v>444</v>
      </c>
      <c r="B193" t="s">
        <v>1939</v>
      </c>
      <c r="C193" t="s">
        <v>1106</v>
      </c>
      <c r="D193" t="s">
        <v>352</v>
      </c>
      <c r="F193">
        <v>1.548062</v>
      </c>
      <c r="G193">
        <v>0.40694900000000001</v>
      </c>
      <c r="H193">
        <v>0.59635099999999996</v>
      </c>
      <c r="I193">
        <v>0.64127100000000004</v>
      </c>
      <c r="J193">
        <v>0.481906</v>
      </c>
      <c r="K193">
        <v>0.43390400000000001</v>
      </c>
      <c r="L193">
        <v>0.44293300000000002</v>
      </c>
      <c r="M193">
        <v>0.41535100000000003</v>
      </c>
      <c r="N193">
        <v>0.41158400000000001</v>
      </c>
      <c r="O193">
        <v>0.38105899999999998</v>
      </c>
      <c r="P193">
        <v>0.33507399999999998</v>
      </c>
      <c r="Q193">
        <v>0.32837699999999997</v>
      </c>
      <c r="R193">
        <v>0.32972499999999999</v>
      </c>
      <c r="S193">
        <v>0.32858900000000002</v>
      </c>
      <c r="T193">
        <v>0.32942300000000002</v>
      </c>
      <c r="U193">
        <v>0.32175900000000002</v>
      </c>
      <c r="V193">
        <v>0.31447599999999998</v>
      </c>
      <c r="W193">
        <v>0.31518099999999999</v>
      </c>
      <c r="X193">
        <v>0.32092300000000001</v>
      </c>
      <c r="Y193">
        <v>0.33225300000000002</v>
      </c>
      <c r="Z193">
        <v>0.34152500000000002</v>
      </c>
      <c r="AA193">
        <v>0.34596300000000002</v>
      </c>
      <c r="AB193">
        <v>0.34906500000000001</v>
      </c>
      <c r="AC193">
        <v>0.34962300000000002</v>
      </c>
      <c r="AD193">
        <v>0.34761999999999998</v>
      </c>
      <c r="AE193">
        <v>0.34565400000000002</v>
      </c>
      <c r="AF193">
        <v>0.347887</v>
      </c>
      <c r="AG193">
        <v>0.35396300000000003</v>
      </c>
      <c r="AH193">
        <v>0.36270599999999997</v>
      </c>
      <c r="AI193" s="31">
        <v>-5.0999999999999997E-2</v>
      </c>
    </row>
    <row r="194" spans="1:35">
      <c r="A194" t="s">
        <v>1640</v>
      </c>
      <c r="B194" t="s">
        <v>1940</v>
      </c>
      <c r="C194" t="s">
        <v>1106</v>
      </c>
      <c r="D194" t="s">
        <v>352</v>
      </c>
      <c r="F194">
        <v>42.537201000000003</v>
      </c>
      <c r="G194">
        <v>46.682068000000001</v>
      </c>
      <c r="H194">
        <v>72.607048000000006</v>
      </c>
      <c r="I194">
        <v>53.570805</v>
      </c>
      <c r="J194">
        <v>52.307175000000001</v>
      </c>
      <c r="K194">
        <v>46.307720000000003</v>
      </c>
      <c r="L194">
        <v>46.639373999999997</v>
      </c>
      <c r="M194">
        <v>44.061912999999997</v>
      </c>
      <c r="N194">
        <v>45.929980999999998</v>
      </c>
      <c r="O194">
        <v>48.113509999999998</v>
      </c>
      <c r="P194">
        <v>50.033737000000002</v>
      </c>
      <c r="Q194">
        <v>51.740509000000003</v>
      </c>
      <c r="R194">
        <v>53.489006000000003</v>
      </c>
      <c r="S194">
        <v>55.207909000000001</v>
      </c>
      <c r="T194">
        <v>56.873610999999997</v>
      </c>
      <c r="U194">
        <v>58.480736</v>
      </c>
      <c r="V194">
        <v>60.160851000000001</v>
      </c>
      <c r="W194">
        <v>63.030822999999998</v>
      </c>
      <c r="X194">
        <v>64.656334000000001</v>
      </c>
      <c r="Y194">
        <v>66.313468999999998</v>
      </c>
      <c r="Z194">
        <v>67.954903000000002</v>
      </c>
      <c r="AA194">
        <v>69.566649999999996</v>
      </c>
      <c r="AB194">
        <v>71.175880000000006</v>
      </c>
      <c r="AC194">
        <v>72.77655</v>
      </c>
      <c r="AD194">
        <v>74.328766000000002</v>
      </c>
      <c r="AE194">
        <v>75.799423000000004</v>
      </c>
      <c r="AF194">
        <v>77.223754999999997</v>
      </c>
      <c r="AG194">
        <v>78.564887999999996</v>
      </c>
      <c r="AH194">
        <v>79.808670000000006</v>
      </c>
      <c r="AI194" s="31">
        <v>2.3E-2</v>
      </c>
    </row>
    <row r="195" spans="1:35">
      <c r="A195" t="s">
        <v>442</v>
      </c>
      <c r="B195" t="s">
        <v>1941</v>
      </c>
      <c r="C195" t="s">
        <v>1106</v>
      </c>
      <c r="D195" t="s">
        <v>352</v>
      </c>
      <c r="F195">
        <v>17.589843999999999</v>
      </c>
      <c r="G195">
        <v>37.309508999999998</v>
      </c>
      <c r="H195">
        <v>48.998595999999999</v>
      </c>
      <c r="I195">
        <v>37.353088</v>
      </c>
      <c r="J195">
        <v>35.851115999999998</v>
      </c>
      <c r="K195">
        <v>30.517347000000001</v>
      </c>
      <c r="L195">
        <v>29.273925999999999</v>
      </c>
      <c r="M195">
        <v>27.503081999999999</v>
      </c>
      <c r="N195">
        <v>28.547916000000001</v>
      </c>
      <c r="O195">
        <v>29.790039</v>
      </c>
      <c r="P195">
        <v>30.867187999999999</v>
      </c>
      <c r="Q195">
        <v>31.817748999999999</v>
      </c>
      <c r="R195">
        <v>32.78302</v>
      </c>
      <c r="S195">
        <v>33.770935000000001</v>
      </c>
      <c r="T195">
        <v>34.748168999999997</v>
      </c>
      <c r="U195">
        <v>35.713684000000001</v>
      </c>
      <c r="V195">
        <v>36.717224000000002</v>
      </c>
      <c r="W195">
        <v>37.763184000000003</v>
      </c>
      <c r="X195">
        <v>38.828978999999997</v>
      </c>
      <c r="Y195">
        <v>39.938170999999997</v>
      </c>
      <c r="Z195">
        <v>41.061278999999999</v>
      </c>
      <c r="AA195">
        <v>42.187012000000003</v>
      </c>
      <c r="AB195">
        <v>43.312927000000002</v>
      </c>
      <c r="AC195">
        <v>44.426940999999999</v>
      </c>
      <c r="AD195">
        <v>45.539856</v>
      </c>
      <c r="AE195">
        <v>46.608459000000003</v>
      </c>
      <c r="AF195">
        <v>47.610962000000001</v>
      </c>
      <c r="AG195">
        <v>48.541809000000001</v>
      </c>
      <c r="AH195">
        <v>49.383423000000001</v>
      </c>
      <c r="AI195" s="31">
        <v>3.7999999999999999E-2</v>
      </c>
    </row>
    <row r="196" spans="1:35">
      <c r="A196" t="s">
        <v>443</v>
      </c>
      <c r="B196" t="s">
        <v>1942</v>
      </c>
      <c r="C196" t="s">
        <v>1106</v>
      </c>
      <c r="D196" t="s">
        <v>352</v>
      </c>
      <c r="F196">
        <v>0</v>
      </c>
      <c r="G196">
        <v>0</v>
      </c>
      <c r="H196">
        <v>8.5974660000000007</v>
      </c>
      <c r="I196">
        <v>5.9324389999999996</v>
      </c>
      <c r="J196">
        <v>4.411505</v>
      </c>
      <c r="K196">
        <v>4.3788140000000002</v>
      </c>
      <c r="L196">
        <v>5.8503109999999996</v>
      </c>
      <c r="M196">
        <v>4.9938890000000002</v>
      </c>
      <c r="N196">
        <v>5.3139500000000002</v>
      </c>
      <c r="O196">
        <v>5.6372530000000003</v>
      </c>
      <c r="P196">
        <v>5.9198459999999997</v>
      </c>
      <c r="Q196">
        <v>6.1641539999999999</v>
      </c>
      <c r="R196">
        <v>6.382225</v>
      </c>
      <c r="S196">
        <v>6.5721049999999996</v>
      </c>
      <c r="T196">
        <v>6.7250819999999996</v>
      </c>
      <c r="U196">
        <v>6.8400189999999998</v>
      </c>
      <c r="V196">
        <v>6.9813460000000003</v>
      </c>
      <c r="W196">
        <v>8.2631530000000009</v>
      </c>
      <c r="X196">
        <v>8.2911000000000001</v>
      </c>
      <c r="Y196">
        <v>8.3037030000000005</v>
      </c>
      <c r="Z196">
        <v>8.2986830000000005</v>
      </c>
      <c r="AA196">
        <v>8.2781040000000008</v>
      </c>
      <c r="AB196">
        <v>8.2707879999999996</v>
      </c>
      <c r="AC196">
        <v>8.2884239999999991</v>
      </c>
      <c r="AD196">
        <v>8.2699239999999996</v>
      </c>
      <c r="AE196">
        <v>8.2352419999999995</v>
      </c>
      <c r="AF196">
        <v>8.2510630000000003</v>
      </c>
      <c r="AG196">
        <v>8.2850420000000007</v>
      </c>
      <c r="AH196">
        <v>8.3432750000000002</v>
      </c>
      <c r="AI196" t="s">
        <v>117</v>
      </c>
    </row>
    <row r="197" spans="1:35">
      <c r="A197" t="s">
        <v>444</v>
      </c>
      <c r="B197" t="s">
        <v>1943</v>
      </c>
      <c r="C197" t="s">
        <v>1106</v>
      </c>
      <c r="D197" t="s">
        <v>352</v>
      </c>
      <c r="F197">
        <v>24.947357</v>
      </c>
      <c r="G197">
        <v>9.3725590000000008</v>
      </c>
      <c r="H197">
        <v>15.010986000000001</v>
      </c>
      <c r="I197">
        <v>10.285278</v>
      </c>
      <c r="J197">
        <v>12.044556</v>
      </c>
      <c r="K197">
        <v>11.41156</v>
      </c>
      <c r="L197">
        <v>11.515136999999999</v>
      </c>
      <c r="M197">
        <v>11.564940999999999</v>
      </c>
      <c r="N197">
        <v>12.068115000000001</v>
      </c>
      <c r="O197">
        <v>12.686218</v>
      </c>
      <c r="P197">
        <v>13.246703999999999</v>
      </c>
      <c r="Q197">
        <v>13.758606</v>
      </c>
      <c r="R197">
        <v>14.323760999999999</v>
      </c>
      <c r="S197">
        <v>14.864868</v>
      </c>
      <c r="T197">
        <v>15.400359999999999</v>
      </c>
      <c r="U197">
        <v>15.927032000000001</v>
      </c>
      <c r="V197">
        <v>16.46228</v>
      </c>
      <c r="W197">
        <v>17.004486</v>
      </c>
      <c r="X197">
        <v>17.536255000000001</v>
      </c>
      <c r="Y197">
        <v>18.071594000000001</v>
      </c>
      <c r="Z197">
        <v>18.594940000000001</v>
      </c>
      <c r="AA197">
        <v>19.101531999999999</v>
      </c>
      <c r="AB197">
        <v>19.592162999999999</v>
      </c>
      <c r="AC197">
        <v>20.061188000000001</v>
      </c>
      <c r="AD197">
        <v>20.518982000000001</v>
      </c>
      <c r="AE197">
        <v>20.955718999999998</v>
      </c>
      <c r="AF197">
        <v>21.361725</v>
      </c>
      <c r="AG197">
        <v>21.738036999999998</v>
      </c>
      <c r="AH197">
        <v>22.081969999999998</v>
      </c>
      <c r="AI197" s="31">
        <v>-4.0000000000000001E-3</v>
      </c>
    </row>
    <row r="198" spans="1:35">
      <c r="A198" t="s">
        <v>1643</v>
      </c>
      <c r="B198" t="s">
        <v>1944</v>
      </c>
      <c r="C198" t="s">
        <v>1106</v>
      </c>
      <c r="D198" t="s">
        <v>352</v>
      </c>
      <c r="F198">
        <v>0</v>
      </c>
      <c r="G198">
        <v>0</v>
      </c>
      <c r="H198">
        <v>11.400624000000001</v>
      </c>
      <c r="I198">
        <v>28.608160000000002</v>
      </c>
      <c r="J198">
        <v>27.450500000000002</v>
      </c>
      <c r="K198">
        <v>10.437824000000001</v>
      </c>
      <c r="L198">
        <v>10.705201000000001</v>
      </c>
      <c r="M198">
        <v>17.573795</v>
      </c>
      <c r="N198">
        <v>23.538584</v>
      </c>
      <c r="O198">
        <v>34.001067999999997</v>
      </c>
      <c r="P198">
        <v>45.988883999999999</v>
      </c>
      <c r="Q198">
        <v>48.363425999999997</v>
      </c>
      <c r="R198">
        <v>49.233001999999999</v>
      </c>
      <c r="S198">
        <v>50.046734000000001</v>
      </c>
      <c r="T198">
        <v>50.387711000000003</v>
      </c>
      <c r="U198">
        <v>51.022582999999997</v>
      </c>
      <c r="V198">
        <v>51.635016999999998</v>
      </c>
      <c r="W198">
        <v>52.211258000000001</v>
      </c>
      <c r="X198">
        <v>54.691260999999997</v>
      </c>
      <c r="Y198">
        <v>56.252898999999999</v>
      </c>
      <c r="Z198">
        <v>56.312221999999998</v>
      </c>
      <c r="AA198">
        <v>56.506599000000001</v>
      </c>
      <c r="AB198">
        <v>56.766818999999998</v>
      </c>
      <c r="AC198">
        <v>57.069298000000003</v>
      </c>
      <c r="AD198">
        <v>56.914524</v>
      </c>
      <c r="AE198">
        <v>57.307701000000002</v>
      </c>
      <c r="AF198">
        <v>57.811962000000001</v>
      </c>
      <c r="AG198">
        <v>58.449829000000001</v>
      </c>
      <c r="AH198">
        <v>59.263297999999999</v>
      </c>
      <c r="AI198" t="s">
        <v>117</v>
      </c>
    </row>
    <row r="199" spans="1:35">
      <c r="A199" t="s">
        <v>442</v>
      </c>
      <c r="B199" t="s">
        <v>1945</v>
      </c>
      <c r="C199" t="s">
        <v>1106</v>
      </c>
      <c r="D199" t="s">
        <v>352</v>
      </c>
      <c r="F199">
        <v>0</v>
      </c>
      <c r="G199">
        <v>0</v>
      </c>
      <c r="H199">
        <v>0</v>
      </c>
      <c r="I199">
        <v>13.281041999999999</v>
      </c>
      <c r="J199">
        <v>13.797884</v>
      </c>
      <c r="K199">
        <v>3.919664</v>
      </c>
      <c r="L199">
        <v>4.5410389999999996</v>
      </c>
      <c r="M199">
        <v>7.1247809999999996</v>
      </c>
      <c r="N199">
        <v>11.895087999999999</v>
      </c>
      <c r="O199">
        <v>21.353241000000001</v>
      </c>
      <c r="P199">
        <v>32.486815999999997</v>
      </c>
      <c r="Q199">
        <v>33.063201999999997</v>
      </c>
      <c r="R199">
        <v>33.509796000000001</v>
      </c>
      <c r="S199">
        <v>33.918151999999999</v>
      </c>
      <c r="T199">
        <v>34.029724000000002</v>
      </c>
      <c r="U199">
        <v>34.326202000000002</v>
      </c>
      <c r="V199">
        <v>34.609985000000002</v>
      </c>
      <c r="W199">
        <v>34.874054000000001</v>
      </c>
      <c r="X199">
        <v>36.248077000000002</v>
      </c>
      <c r="Y199">
        <v>36.147308000000002</v>
      </c>
      <c r="Z199">
        <v>36.240234000000001</v>
      </c>
      <c r="AA199">
        <v>36.358215000000001</v>
      </c>
      <c r="AB199">
        <v>36.489319000000002</v>
      </c>
      <c r="AC199">
        <v>36.645752000000002</v>
      </c>
      <c r="AD199">
        <v>36.515503000000002</v>
      </c>
      <c r="AE199">
        <v>36.736145</v>
      </c>
      <c r="AF199">
        <v>37.036681999999999</v>
      </c>
      <c r="AG199">
        <v>37.424804999999999</v>
      </c>
      <c r="AH199">
        <v>37.911926000000001</v>
      </c>
      <c r="AI199" t="s">
        <v>117</v>
      </c>
    </row>
    <row r="200" spans="1:35">
      <c r="A200" t="s">
        <v>443</v>
      </c>
      <c r="B200" t="s">
        <v>1946</v>
      </c>
      <c r="C200" t="s">
        <v>1106</v>
      </c>
      <c r="D200" t="s">
        <v>352</v>
      </c>
      <c r="F200">
        <v>0</v>
      </c>
      <c r="G200">
        <v>0</v>
      </c>
      <c r="H200">
        <v>0</v>
      </c>
      <c r="I200">
        <v>1.662442</v>
      </c>
      <c r="J200">
        <v>1.7636639999999999</v>
      </c>
      <c r="K200">
        <v>0.694241</v>
      </c>
      <c r="L200">
        <v>0.65227100000000005</v>
      </c>
      <c r="M200">
        <v>0.86325600000000002</v>
      </c>
      <c r="N200">
        <v>1.358935</v>
      </c>
      <c r="O200">
        <v>1.874633</v>
      </c>
      <c r="P200">
        <v>2.333412</v>
      </c>
      <c r="Q200">
        <v>3.7786330000000001</v>
      </c>
      <c r="R200">
        <v>3.8557130000000002</v>
      </c>
      <c r="S200">
        <v>3.914669</v>
      </c>
      <c r="T200">
        <v>3.931702</v>
      </c>
      <c r="U200">
        <v>3.9577330000000002</v>
      </c>
      <c r="V200">
        <v>3.9734729999999998</v>
      </c>
      <c r="W200">
        <v>3.979263</v>
      </c>
      <c r="X200">
        <v>4.7802809999999996</v>
      </c>
      <c r="Y200">
        <v>6.2711940000000004</v>
      </c>
      <c r="Z200">
        <v>5.9429439999999998</v>
      </c>
      <c r="AA200">
        <v>5.7203900000000001</v>
      </c>
      <c r="AB200">
        <v>5.5504810000000004</v>
      </c>
      <c r="AC200">
        <v>5.3932409999999997</v>
      </c>
      <c r="AD200">
        <v>5.2043340000000002</v>
      </c>
      <c r="AE200">
        <v>5.0682010000000002</v>
      </c>
      <c r="AF200">
        <v>4.9422410000000001</v>
      </c>
      <c r="AG200">
        <v>4.8455830000000004</v>
      </c>
      <c r="AH200">
        <v>4.8084319999999998</v>
      </c>
      <c r="AI200" t="s">
        <v>117</v>
      </c>
    </row>
    <row r="201" spans="1:35">
      <c r="A201" t="s">
        <v>444</v>
      </c>
      <c r="B201" t="s">
        <v>1947</v>
      </c>
      <c r="C201" t="s">
        <v>1106</v>
      </c>
      <c r="D201" t="s">
        <v>352</v>
      </c>
      <c r="F201">
        <v>0</v>
      </c>
      <c r="G201">
        <v>0</v>
      </c>
      <c r="H201">
        <v>11.400624000000001</v>
      </c>
      <c r="I201">
        <v>13.664676999999999</v>
      </c>
      <c r="J201">
        <v>11.888952</v>
      </c>
      <c r="K201">
        <v>5.8239190000000001</v>
      </c>
      <c r="L201">
        <v>5.5118910000000003</v>
      </c>
      <c r="M201">
        <v>9.5857600000000005</v>
      </c>
      <c r="N201">
        <v>10.284561</v>
      </c>
      <c r="O201">
        <v>10.773192999999999</v>
      </c>
      <c r="P201">
        <v>11.168654999999999</v>
      </c>
      <c r="Q201">
        <v>11.521591000000001</v>
      </c>
      <c r="R201">
        <v>11.867493</v>
      </c>
      <c r="S201">
        <v>12.213913</v>
      </c>
      <c r="T201">
        <v>12.426285</v>
      </c>
      <c r="U201">
        <v>12.738647</v>
      </c>
      <c r="V201">
        <v>13.051558999999999</v>
      </c>
      <c r="W201">
        <v>13.357941</v>
      </c>
      <c r="X201">
        <v>13.662903</v>
      </c>
      <c r="Y201">
        <v>13.834396</v>
      </c>
      <c r="Z201">
        <v>14.129044</v>
      </c>
      <c r="AA201">
        <v>14.427994</v>
      </c>
      <c r="AB201">
        <v>14.72702</v>
      </c>
      <c r="AC201">
        <v>15.030303999999999</v>
      </c>
      <c r="AD201">
        <v>15.194687</v>
      </c>
      <c r="AE201">
        <v>15.503356999999999</v>
      </c>
      <c r="AF201">
        <v>15.833038</v>
      </c>
      <c r="AG201">
        <v>16.179442999999999</v>
      </c>
      <c r="AH201">
        <v>16.542937999999999</v>
      </c>
      <c r="AI201" t="s">
        <v>117</v>
      </c>
    </row>
    <row r="202" spans="1:35">
      <c r="A202" t="s">
        <v>435</v>
      </c>
      <c r="B202" t="s">
        <v>1948</v>
      </c>
      <c r="C202" t="s">
        <v>1106</v>
      </c>
      <c r="D202" t="s">
        <v>352</v>
      </c>
      <c r="F202">
        <v>317.549194</v>
      </c>
      <c r="G202">
        <v>1.758273</v>
      </c>
      <c r="H202">
        <v>168.91333</v>
      </c>
      <c r="I202">
        <v>238.54864499999999</v>
      </c>
      <c r="J202">
        <v>283.53619400000002</v>
      </c>
      <c r="K202">
        <v>274.57504299999999</v>
      </c>
      <c r="L202">
        <v>283.61230499999999</v>
      </c>
      <c r="M202">
        <v>303.40252700000002</v>
      </c>
      <c r="N202">
        <v>320.147583</v>
      </c>
      <c r="O202">
        <v>340.08663899999999</v>
      </c>
      <c r="P202">
        <v>360.24667399999998</v>
      </c>
      <c r="Q202">
        <v>383.15853900000002</v>
      </c>
      <c r="R202">
        <v>410.91729700000002</v>
      </c>
      <c r="S202">
        <v>441.58975199999998</v>
      </c>
      <c r="T202">
        <v>469.80987499999998</v>
      </c>
      <c r="U202">
        <v>483.945831</v>
      </c>
      <c r="V202">
        <v>497.86975100000001</v>
      </c>
      <c r="W202">
        <v>512.85089100000005</v>
      </c>
      <c r="X202">
        <v>529.68298300000004</v>
      </c>
      <c r="Y202">
        <v>548.31646699999999</v>
      </c>
      <c r="Z202">
        <v>565.95513900000003</v>
      </c>
      <c r="AA202">
        <v>580.40490699999998</v>
      </c>
      <c r="AB202">
        <v>591.05664100000001</v>
      </c>
      <c r="AC202">
        <v>597.67596400000002</v>
      </c>
      <c r="AD202">
        <v>603.14685099999997</v>
      </c>
      <c r="AE202">
        <v>609.84252900000001</v>
      </c>
      <c r="AF202">
        <v>615.32525599999997</v>
      </c>
      <c r="AG202">
        <v>617.96179199999995</v>
      </c>
      <c r="AH202">
        <v>617.78692599999999</v>
      </c>
      <c r="AI202" s="31">
        <v>2.4E-2</v>
      </c>
    </row>
    <row r="203" spans="1:35">
      <c r="A203" t="s">
        <v>442</v>
      </c>
      <c r="B203" t="s">
        <v>1949</v>
      </c>
      <c r="C203" t="s">
        <v>1106</v>
      </c>
      <c r="D203" t="s">
        <v>352</v>
      </c>
      <c r="F203">
        <v>257.63265999999999</v>
      </c>
      <c r="G203">
        <v>0</v>
      </c>
      <c r="H203">
        <v>107.223663</v>
      </c>
      <c r="I203">
        <v>181.98464999999999</v>
      </c>
      <c r="J203">
        <v>220.65786700000001</v>
      </c>
      <c r="K203">
        <v>225.57939099999999</v>
      </c>
      <c r="L203">
        <v>234.46928399999999</v>
      </c>
      <c r="M203">
        <v>248.778381</v>
      </c>
      <c r="N203">
        <v>262.13681000000003</v>
      </c>
      <c r="O203">
        <v>277.70367399999998</v>
      </c>
      <c r="P203">
        <v>293.36627199999998</v>
      </c>
      <c r="Q203">
        <v>308.38406400000002</v>
      </c>
      <c r="R203">
        <v>323.80810500000001</v>
      </c>
      <c r="S203">
        <v>350.23843399999998</v>
      </c>
      <c r="T203">
        <v>374.19927999999999</v>
      </c>
      <c r="U203">
        <v>384.34942599999999</v>
      </c>
      <c r="V203">
        <v>394.26177999999999</v>
      </c>
      <c r="W203">
        <v>405.03121900000002</v>
      </c>
      <c r="X203">
        <v>417.30566399999998</v>
      </c>
      <c r="Y203">
        <v>431.12255900000002</v>
      </c>
      <c r="Z203">
        <v>444.23486300000002</v>
      </c>
      <c r="AA203">
        <v>454.86328099999997</v>
      </c>
      <c r="AB203">
        <v>462.55566399999998</v>
      </c>
      <c r="AC203">
        <v>467.16845699999999</v>
      </c>
      <c r="AD203">
        <v>470.984375</v>
      </c>
      <c r="AE203">
        <v>475.98486300000002</v>
      </c>
      <c r="AF203">
        <v>480.09179699999999</v>
      </c>
      <c r="AG203">
        <v>481.84716800000001</v>
      </c>
      <c r="AH203">
        <v>481.23046900000003</v>
      </c>
      <c r="AI203" s="31">
        <v>2.3E-2</v>
      </c>
    </row>
    <row r="204" spans="1:35">
      <c r="A204" t="s">
        <v>443</v>
      </c>
      <c r="B204" t="s">
        <v>1950</v>
      </c>
      <c r="C204" t="s">
        <v>1106</v>
      </c>
      <c r="D204" t="s">
        <v>352</v>
      </c>
      <c r="F204">
        <v>0</v>
      </c>
      <c r="G204">
        <v>1.758273</v>
      </c>
      <c r="H204">
        <v>40.168472000000001</v>
      </c>
      <c r="I204">
        <v>50.282882999999998</v>
      </c>
      <c r="J204">
        <v>53.445442</v>
      </c>
      <c r="K204">
        <v>38.153796999999997</v>
      </c>
      <c r="L204">
        <v>36.912163</v>
      </c>
      <c r="M204">
        <v>37.020930999999997</v>
      </c>
      <c r="N204">
        <v>37.949924000000003</v>
      </c>
      <c r="O204">
        <v>41.662593999999999</v>
      </c>
      <c r="P204">
        <v>45.507534</v>
      </c>
      <c r="Q204">
        <v>52.775832999999999</v>
      </c>
      <c r="R204">
        <v>64.423462000000001</v>
      </c>
      <c r="S204">
        <v>67.867737000000005</v>
      </c>
      <c r="T204">
        <v>71.344559000000004</v>
      </c>
      <c r="U204">
        <v>74.652694999999994</v>
      </c>
      <c r="V204">
        <v>77.966949</v>
      </c>
      <c r="W204">
        <v>81.374542000000005</v>
      </c>
      <c r="X204">
        <v>84.935364000000007</v>
      </c>
      <c r="Y204">
        <v>88.598358000000005</v>
      </c>
      <c r="Z204">
        <v>91.978866999999994</v>
      </c>
      <c r="AA204">
        <v>94.808730999999995</v>
      </c>
      <c r="AB204">
        <v>96.973022</v>
      </c>
      <c r="AC204">
        <v>98.404961</v>
      </c>
      <c r="AD204">
        <v>99.545792000000006</v>
      </c>
      <c r="AE204">
        <v>100.646912</v>
      </c>
      <c r="AF204">
        <v>101.51385500000001</v>
      </c>
      <c r="AG204">
        <v>102.091965</v>
      </c>
      <c r="AH204">
        <v>102.451241</v>
      </c>
      <c r="AI204" t="s">
        <v>117</v>
      </c>
    </row>
    <row r="205" spans="1:35">
      <c r="A205" t="s">
        <v>444</v>
      </c>
      <c r="B205" t="s">
        <v>1951</v>
      </c>
      <c r="C205" t="s">
        <v>1106</v>
      </c>
      <c r="D205" t="s">
        <v>352</v>
      </c>
      <c r="F205">
        <v>59.916533999999999</v>
      </c>
      <c r="G205">
        <v>0</v>
      </c>
      <c r="H205">
        <v>21.5212</v>
      </c>
      <c r="I205">
        <v>6.2811130000000004</v>
      </c>
      <c r="J205">
        <v>9.4328769999999995</v>
      </c>
      <c r="K205">
        <v>10.841856999999999</v>
      </c>
      <c r="L205">
        <v>12.230865</v>
      </c>
      <c r="M205">
        <v>17.603210000000001</v>
      </c>
      <c r="N205">
        <v>20.060842999999998</v>
      </c>
      <c r="O205">
        <v>20.720371</v>
      </c>
      <c r="P205">
        <v>21.372868</v>
      </c>
      <c r="Q205">
        <v>21.998633999999999</v>
      </c>
      <c r="R205">
        <v>22.685734</v>
      </c>
      <c r="S205">
        <v>23.483592999999999</v>
      </c>
      <c r="T205">
        <v>24.266041000000001</v>
      </c>
      <c r="U205">
        <v>24.943691000000001</v>
      </c>
      <c r="V205">
        <v>25.641026</v>
      </c>
      <c r="W205">
        <v>26.445122000000001</v>
      </c>
      <c r="X205">
        <v>27.441925000000001</v>
      </c>
      <c r="Y205">
        <v>28.595510000000001</v>
      </c>
      <c r="Z205">
        <v>29.741382999999999</v>
      </c>
      <c r="AA205">
        <v>30.732894999999999</v>
      </c>
      <c r="AB205">
        <v>31.527985000000001</v>
      </c>
      <c r="AC205">
        <v>32.102539</v>
      </c>
      <c r="AD205">
        <v>32.616669000000002</v>
      </c>
      <c r="AE205">
        <v>33.210754000000001</v>
      </c>
      <c r="AF205">
        <v>33.719603999999997</v>
      </c>
      <c r="AG205">
        <v>34.022644</v>
      </c>
      <c r="AH205">
        <v>34.105224999999997</v>
      </c>
      <c r="AI205" s="31">
        <v>-0.02</v>
      </c>
    </row>
    <row r="206" spans="1:35">
      <c r="A206" t="s">
        <v>1648</v>
      </c>
      <c r="B206" t="s">
        <v>1952</v>
      </c>
      <c r="C206" t="s">
        <v>1106</v>
      </c>
      <c r="D206" t="s">
        <v>352</v>
      </c>
      <c r="F206">
        <v>0</v>
      </c>
      <c r="G206">
        <v>0</v>
      </c>
      <c r="H206">
        <v>5.0176939999999997</v>
      </c>
      <c r="I206">
        <v>23.650314000000002</v>
      </c>
      <c r="J206">
        <v>59.674458000000001</v>
      </c>
      <c r="K206">
        <v>59.042358</v>
      </c>
      <c r="L206">
        <v>64.032500999999996</v>
      </c>
      <c r="M206">
        <v>71.131805</v>
      </c>
      <c r="N206">
        <v>76.315956</v>
      </c>
      <c r="O206">
        <v>80.666138000000004</v>
      </c>
      <c r="P206">
        <v>84.930260000000004</v>
      </c>
      <c r="Q206">
        <v>88.747298999999998</v>
      </c>
      <c r="R206">
        <v>92.026611000000003</v>
      </c>
      <c r="S206">
        <v>95.498016000000007</v>
      </c>
      <c r="T206">
        <v>100.07872</v>
      </c>
      <c r="U206">
        <v>109.75142700000001</v>
      </c>
      <c r="V206">
        <v>113.69274900000001</v>
      </c>
      <c r="W206">
        <v>117.415527</v>
      </c>
      <c r="X206">
        <v>120.846054</v>
      </c>
      <c r="Y206">
        <v>124.081642</v>
      </c>
      <c r="Z206">
        <v>127.11803399999999</v>
      </c>
      <c r="AA206">
        <v>130.02526900000001</v>
      </c>
      <c r="AB206">
        <v>132.669983</v>
      </c>
      <c r="AC206">
        <v>135.120575</v>
      </c>
      <c r="AD206">
        <v>137.38848899999999</v>
      </c>
      <c r="AE206">
        <v>139.49830600000001</v>
      </c>
      <c r="AF206">
        <v>141.44528199999999</v>
      </c>
      <c r="AG206">
        <v>143.25952100000001</v>
      </c>
      <c r="AH206">
        <v>144.991547</v>
      </c>
      <c r="AI206" t="s">
        <v>117</v>
      </c>
    </row>
    <row r="207" spans="1:35">
      <c r="A207" t="s">
        <v>442</v>
      </c>
      <c r="B207" t="s">
        <v>1953</v>
      </c>
      <c r="C207" t="s">
        <v>1106</v>
      </c>
      <c r="D207" t="s">
        <v>352</v>
      </c>
      <c r="F207">
        <v>0</v>
      </c>
      <c r="G207">
        <v>0</v>
      </c>
      <c r="H207">
        <v>0</v>
      </c>
      <c r="I207">
        <v>16.618320000000001</v>
      </c>
      <c r="J207">
        <v>45.079574999999998</v>
      </c>
      <c r="K207">
        <v>44.557136999999997</v>
      </c>
      <c r="L207">
        <v>47.969909999999999</v>
      </c>
      <c r="M207">
        <v>53.577140999999997</v>
      </c>
      <c r="N207">
        <v>57.730133000000002</v>
      </c>
      <c r="O207">
        <v>61.515498999999998</v>
      </c>
      <c r="P207">
        <v>65.042045999999999</v>
      </c>
      <c r="Q207">
        <v>68.204193000000004</v>
      </c>
      <c r="R207">
        <v>70.926841999999994</v>
      </c>
      <c r="S207">
        <v>73.773292999999995</v>
      </c>
      <c r="T207">
        <v>76.994392000000005</v>
      </c>
      <c r="U207">
        <v>85.720061999999999</v>
      </c>
      <c r="V207">
        <v>88.710341999999997</v>
      </c>
      <c r="W207">
        <v>91.517082000000002</v>
      </c>
      <c r="X207">
        <v>94.093506000000005</v>
      </c>
      <c r="Y207">
        <v>96.513794000000004</v>
      </c>
      <c r="Z207">
        <v>98.782959000000005</v>
      </c>
      <c r="AA207">
        <v>100.95996100000001</v>
      </c>
      <c r="AB207">
        <v>102.94433600000001</v>
      </c>
      <c r="AC207">
        <v>104.78613300000001</v>
      </c>
      <c r="AD207">
        <v>106.494141</v>
      </c>
      <c r="AE207">
        <v>108.08606</v>
      </c>
      <c r="AF207">
        <v>109.558228</v>
      </c>
      <c r="AG207">
        <v>110.934326</v>
      </c>
      <c r="AH207">
        <v>112.253906</v>
      </c>
      <c r="AI207" t="s">
        <v>117</v>
      </c>
    </row>
    <row r="208" spans="1:35">
      <c r="A208" t="s">
        <v>443</v>
      </c>
      <c r="B208" t="s">
        <v>1954</v>
      </c>
      <c r="C208" t="s">
        <v>1106</v>
      </c>
      <c r="D208" t="s">
        <v>352</v>
      </c>
      <c r="F208">
        <v>0</v>
      </c>
      <c r="G208">
        <v>0</v>
      </c>
      <c r="H208">
        <v>2.534602</v>
      </c>
      <c r="I208">
        <v>4.97403</v>
      </c>
      <c r="J208">
        <v>4.8972329999999999</v>
      </c>
      <c r="K208">
        <v>3.1133090000000001</v>
      </c>
      <c r="L208">
        <v>3.0171329999999998</v>
      </c>
      <c r="M208">
        <v>3.8845890000000001</v>
      </c>
      <c r="N208">
        <v>4.3719729999999997</v>
      </c>
      <c r="O208">
        <v>4.4676119999999999</v>
      </c>
      <c r="P208">
        <v>4.7862999999999998</v>
      </c>
      <c r="Q208">
        <v>5.0911</v>
      </c>
      <c r="R208">
        <v>5.3782629999999996</v>
      </c>
      <c r="S208">
        <v>5.6866300000000001</v>
      </c>
      <c r="T208">
        <v>6.6198379999999997</v>
      </c>
      <c r="U208">
        <v>6.9235670000000002</v>
      </c>
      <c r="V208">
        <v>7.2199619999999998</v>
      </c>
      <c r="W208">
        <v>7.4963300000000004</v>
      </c>
      <c r="X208">
        <v>7.7454999999999998</v>
      </c>
      <c r="Y208">
        <v>7.9671079999999996</v>
      </c>
      <c r="Z208">
        <v>8.1587720000000008</v>
      </c>
      <c r="AA208">
        <v>8.3243179999999999</v>
      </c>
      <c r="AB208">
        <v>8.4554369999999999</v>
      </c>
      <c r="AC208">
        <v>8.5629650000000002</v>
      </c>
      <c r="AD208">
        <v>8.6511150000000008</v>
      </c>
      <c r="AE208">
        <v>8.7259060000000002</v>
      </c>
      <c r="AF208">
        <v>8.7922969999999996</v>
      </c>
      <c r="AG208">
        <v>8.8566590000000005</v>
      </c>
      <c r="AH208">
        <v>8.9255069999999996</v>
      </c>
      <c r="AI208" t="s">
        <v>117</v>
      </c>
    </row>
    <row r="209" spans="1:35">
      <c r="A209" t="s">
        <v>444</v>
      </c>
      <c r="B209" t="s">
        <v>1955</v>
      </c>
      <c r="C209" t="s">
        <v>1106</v>
      </c>
      <c r="D209" t="s">
        <v>352</v>
      </c>
      <c r="F209">
        <v>0</v>
      </c>
      <c r="G209">
        <v>0</v>
      </c>
      <c r="H209">
        <v>2.4830920000000001</v>
      </c>
      <c r="I209">
        <v>2.0579640000000001</v>
      </c>
      <c r="J209">
        <v>9.6976519999999997</v>
      </c>
      <c r="K209">
        <v>11.371916000000001</v>
      </c>
      <c r="L209">
        <v>13.045462000000001</v>
      </c>
      <c r="M209">
        <v>13.670071</v>
      </c>
      <c r="N209">
        <v>14.213851</v>
      </c>
      <c r="O209">
        <v>14.683032000000001</v>
      </c>
      <c r="P209">
        <v>15.101913</v>
      </c>
      <c r="Q209">
        <v>15.452002999999999</v>
      </c>
      <c r="R209">
        <v>15.721505000000001</v>
      </c>
      <c r="S209">
        <v>16.038094000000001</v>
      </c>
      <c r="T209">
        <v>16.464493000000001</v>
      </c>
      <c r="U209">
        <v>17.107793999999998</v>
      </c>
      <c r="V209">
        <v>17.762445</v>
      </c>
      <c r="W209">
        <v>18.402114999999998</v>
      </c>
      <c r="X209">
        <v>19.00705</v>
      </c>
      <c r="Y209">
        <v>19.600739000000001</v>
      </c>
      <c r="Z209">
        <v>20.176300000000001</v>
      </c>
      <c r="AA209">
        <v>20.740997</v>
      </c>
      <c r="AB209">
        <v>21.270202999999999</v>
      </c>
      <c r="AC209">
        <v>21.771484000000001</v>
      </c>
      <c r="AD209">
        <v>22.243224999999999</v>
      </c>
      <c r="AE209">
        <v>22.686340000000001</v>
      </c>
      <c r="AF209">
        <v>23.094757000000001</v>
      </c>
      <c r="AG209">
        <v>23.468536</v>
      </c>
      <c r="AH209">
        <v>23.812134</v>
      </c>
      <c r="AI209" t="s">
        <v>117</v>
      </c>
    </row>
    <row r="210" spans="1:35">
      <c r="A210" t="s">
        <v>1651</v>
      </c>
      <c r="B210" t="s">
        <v>1956</v>
      </c>
      <c r="C210" t="s">
        <v>1106</v>
      </c>
      <c r="D210" t="s">
        <v>352</v>
      </c>
      <c r="F210">
        <v>0</v>
      </c>
      <c r="G210">
        <v>5.4372860000000003</v>
      </c>
      <c r="H210">
        <v>112.70214799999999</v>
      </c>
      <c r="I210">
        <v>89.573447999999999</v>
      </c>
      <c r="J210">
        <v>185.740646</v>
      </c>
      <c r="K210">
        <v>138.78949</v>
      </c>
      <c r="L210">
        <v>162.21469099999999</v>
      </c>
      <c r="M210">
        <v>154.65458699999999</v>
      </c>
      <c r="N210">
        <v>162.83642599999999</v>
      </c>
      <c r="O210">
        <v>173.161102</v>
      </c>
      <c r="P210">
        <v>184.47088600000001</v>
      </c>
      <c r="Q210">
        <v>196.08961500000001</v>
      </c>
      <c r="R210">
        <v>208.08810399999999</v>
      </c>
      <c r="S210">
        <v>221.18241900000001</v>
      </c>
      <c r="T210">
        <v>239.93948399999999</v>
      </c>
      <c r="U210">
        <v>249.20379600000001</v>
      </c>
      <c r="V210">
        <v>258.58880599999998</v>
      </c>
      <c r="W210">
        <v>267.52673299999998</v>
      </c>
      <c r="X210">
        <v>276.525757</v>
      </c>
      <c r="Y210">
        <v>282.98516799999999</v>
      </c>
      <c r="Z210">
        <v>290.41168199999998</v>
      </c>
      <c r="AA210">
        <v>297.73962399999999</v>
      </c>
      <c r="AB210">
        <v>304.91387900000001</v>
      </c>
      <c r="AC210">
        <v>311.67602499999998</v>
      </c>
      <c r="AD210">
        <v>314.135559</v>
      </c>
      <c r="AE210">
        <v>319.592285</v>
      </c>
      <c r="AF210">
        <v>326.29675300000002</v>
      </c>
      <c r="AG210">
        <v>333.62133799999998</v>
      </c>
      <c r="AH210">
        <v>341.78308099999998</v>
      </c>
      <c r="AI210" t="s">
        <v>117</v>
      </c>
    </row>
    <row r="211" spans="1:35">
      <c r="A211" t="s">
        <v>442</v>
      </c>
      <c r="B211" t="s">
        <v>1957</v>
      </c>
      <c r="C211" t="s">
        <v>1106</v>
      </c>
      <c r="D211" t="s">
        <v>352</v>
      </c>
      <c r="F211">
        <v>0</v>
      </c>
      <c r="G211">
        <v>5.4372860000000003</v>
      </c>
      <c r="H211">
        <v>76.470284000000007</v>
      </c>
      <c r="I211">
        <v>49.427382999999999</v>
      </c>
      <c r="J211">
        <v>106.27594000000001</v>
      </c>
      <c r="K211">
        <v>82.392234999999999</v>
      </c>
      <c r="L211">
        <v>99.058036999999999</v>
      </c>
      <c r="M211">
        <v>96.598495</v>
      </c>
      <c r="N211">
        <v>99.957886000000002</v>
      </c>
      <c r="O211">
        <v>104.55500000000001</v>
      </c>
      <c r="P211">
        <v>109.671745</v>
      </c>
      <c r="Q211">
        <v>114.907211</v>
      </c>
      <c r="R211">
        <v>120.39743</v>
      </c>
      <c r="S211">
        <v>126.07197600000001</v>
      </c>
      <c r="T211">
        <v>130.83337399999999</v>
      </c>
      <c r="U211">
        <v>136.22524999999999</v>
      </c>
      <c r="V211">
        <v>141.68043499999999</v>
      </c>
      <c r="W211">
        <v>146.903076</v>
      </c>
      <c r="X211">
        <v>152.11596700000001</v>
      </c>
      <c r="Y211">
        <v>155.854736</v>
      </c>
      <c r="Z211">
        <v>160.12011699999999</v>
      </c>
      <c r="AA211">
        <v>164.33935500000001</v>
      </c>
      <c r="AB211">
        <v>168.50756799999999</v>
      </c>
      <c r="AC211">
        <v>172.49243200000001</v>
      </c>
      <c r="AD211">
        <v>174.09106399999999</v>
      </c>
      <c r="AE211">
        <v>177.482178</v>
      </c>
      <c r="AF211">
        <v>181.68945299999999</v>
      </c>
      <c r="AG211">
        <v>186.32226600000001</v>
      </c>
      <c r="AH211">
        <v>191.489014</v>
      </c>
      <c r="AI211" t="s">
        <v>117</v>
      </c>
    </row>
    <row r="212" spans="1:35">
      <c r="A212" t="s">
        <v>443</v>
      </c>
      <c r="B212" t="s">
        <v>1958</v>
      </c>
      <c r="C212" t="s">
        <v>1106</v>
      </c>
      <c r="D212" t="s">
        <v>352</v>
      </c>
      <c r="F212">
        <v>0</v>
      </c>
      <c r="G212">
        <v>0</v>
      </c>
      <c r="H212">
        <v>7.4641489999999999</v>
      </c>
      <c r="I212">
        <v>32.670985999999999</v>
      </c>
      <c r="J212">
        <v>43.411385000000003</v>
      </c>
      <c r="K212">
        <v>25.061415</v>
      </c>
      <c r="L212">
        <v>24.533463000000001</v>
      </c>
      <c r="M212">
        <v>16.549866000000002</v>
      </c>
      <c r="N212">
        <v>20.238346</v>
      </c>
      <c r="O212">
        <v>24.344996999999999</v>
      </c>
      <c r="P212">
        <v>28.787796</v>
      </c>
      <c r="Q212">
        <v>33.417084000000003</v>
      </c>
      <c r="R212">
        <v>38.081116000000002</v>
      </c>
      <c r="S212">
        <v>43.577418999999999</v>
      </c>
      <c r="T212">
        <v>56.013511999999999</v>
      </c>
      <c r="U212">
        <v>58.042262999999998</v>
      </c>
      <c r="V212">
        <v>60.030822999999998</v>
      </c>
      <c r="W212">
        <v>61.834105999999998</v>
      </c>
      <c r="X212">
        <v>63.609253000000002</v>
      </c>
      <c r="Y212">
        <v>64.860718000000006</v>
      </c>
      <c r="Z212">
        <v>66.264893000000001</v>
      </c>
      <c r="AA212">
        <v>67.550292999999996</v>
      </c>
      <c r="AB212">
        <v>68.688903999999994</v>
      </c>
      <c r="AC212">
        <v>69.633422999999993</v>
      </c>
      <c r="AD212">
        <v>69.6922</v>
      </c>
      <c r="AE212">
        <v>70.197143999999994</v>
      </c>
      <c r="AF212">
        <v>70.779906999999994</v>
      </c>
      <c r="AG212">
        <v>71.402343999999999</v>
      </c>
      <c r="AH212">
        <v>72.140868999999995</v>
      </c>
      <c r="AI212" t="s">
        <v>117</v>
      </c>
    </row>
    <row r="213" spans="1:35">
      <c r="A213" t="s">
        <v>444</v>
      </c>
      <c r="B213" t="s">
        <v>1959</v>
      </c>
      <c r="C213" t="s">
        <v>1106</v>
      </c>
      <c r="D213" t="s">
        <v>352</v>
      </c>
      <c r="F213">
        <v>0</v>
      </c>
      <c r="G213">
        <v>0</v>
      </c>
      <c r="H213">
        <v>28.767719</v>
      </c>
      <c r="I213">
        <v>7.4750750000000004</v>
      </c>
      <c r="J213">
        <v>36.053328999999998</v>
      </c>
      <c r="K213">
        <v>31.335837999999999</v>
      </c>
      <c r="L213">
        <v>38.623184000000002</v>
      </c>
      <c r="M213">
        <v>41.506225999999998</v>
      </c>
      <c r="N213">
        <v>42.640197999999998</v>
      </c>
      <c r="O213">
        <v>44.261108</v>
      </c>
      <c r="P213">
        <v>46.011353</v>
      </c>
      <c r="Q213">
        <v>47.765320000000003</v>
      </c>
      <c r="R213">
        <v>49.609558</v>
      </c>
      <c r="S213">
        <v>51.53302</v>
      </c>
      <c r="T213">
        <v>53.092590000000001</v>
      </c>
      <c r="U213">
        <v>54.936278999999999</v>
      </c>
      <c r="V213">
        <v>56.877563000000002</v>
      </c>
      <c r="W213">
        <v>58.789551000000003</v>
      </c>
      <c r="X213">
        <v>60.800536999999998</v>
      </c>
      <c r="Y213">
        <v>62.269714</v>
      </c>
      <c r="Z213">
        <v>64.026672000000005</v>
      </c>
      <c r="AA213">
        <v>65.849975999999998</v>
      </c>
      <c r="AB213">
        <v>67.717406999999994</v>
      </c>
      <c r="AC213">
        <v>69.550171000000006</v>
      </c>
      <c r="AD213">
        <v>70.352294999999998</v>
      </c>
      <c r="AE213">
        <v>71.912964000000002</v>
      </c>
      <c r="AF213">
        <v>73.827393000000001</v>
      </c>
      <c r="AG213">
        <v>75.896728999999993</v>
      </c>
      <c r="AH213">
        <v>78.153198000000003</v>
      </c>
      <c r="AI213" t="s">
        <v>117</v>
      </c>
    </row>
    <row r="214" spans="1:35">
      <c r="A214" t="s">
        <v>1654</v>
      </c>
      <c r="B214" t="s">
        <v>1960</v>
      </c>
      <c r="C214" t="s">
        <v>1106</v>
      </c>
      <c r="D214" t="s">
        <v>352</v>
      </c>
      <c r="F214">
        <v>0</v>
      </c>
      <c r="G214">
        <v>6.4839760000000002</v>
      </c>
      <c r="H214">
        <v>65.655174000000002</v>
      </c>
      <c r="I214">
        <v>136.72659300000001</v>
      </c>
      <c r="J214">
        <v>87.343277</v>
      </c>
      <c r="K214">
        <v>59.887782999999999</v>
      </c>
      <c r="L214">
        <v>65.008987000000005</v>
      </c>
      <c r="M214">
        <v>59.581435999999997</v>
      </c>
      <c r="N214">
        <v>69.668128999999993</v>
      </c>
      <c r="O214">
        <v>78.167664000000002</v>
      </c>
      <c r="P214">
        <v>97.479079999999996</v>
      </c>
      <c r="Q214">
        <v>107.185974</v>
      </c>
      <c r="R214">
        <v>115.742386</v>
      </c>
      <c r="S214">
        <v>124.491539</v>
      </c>
      <c r="T214">
        <v>132.53221099999999</v>
      </c>
      <c r="U214">
        <v>149.129074</v>
      </c>
      <c r="V214">
        <v>155.356628</v>
      </c>
      <c r="W214">
        <v>161.377319</v>
      </c>
      <c r="X214">
        <v>167.24667400000001</v>
      </c>
      <c r="Y214">
        <v>172.74606299999999</v>
      </c>
      <c r="Z214">
        <v>178.09411600000001</v>
      </c>
      <c r="AA214">
        <v>183.263733</v>
      </c>
      <c r="AB214">
        <v>188.24258399999999</v>
      </c>
      <c r="AC214">
        <v>193.104645</v>
      </c>
      <c r="AD214">
        <v>196.84274300000001</v>
      </c>
      <c r="AE214">
        <v>204.55044599999999</v>
      </c>
      <c r="AF214">
        <v>210.32486</v>
      </c>
      <c r="AG214">
        <v>214.87603799999999</v>
      </c>
      <c r="AH214">
        <v>219.82165499999999</v>
      </c>
      <c r="AI214" t="s">
        <v>117</v>
      </c>
    </row>
    <row r="215" spans="1:35">
      <c r="A215" t="s">
        <v>442</v>
      </c>
      <c r="B215" t="s">
        <v>1961</v>
      </c>
      <c r="C215" t="s">
        <v>1106</v>
      </c>
      <c r="D215" t="s">
        <v>352</v>
      </c>
      <c r="F215">
        <v>0</v>
      </c>
      <c r="G215">
        <v>0</v>
      </c>
      <c r="H215">
        <v>33.785888999999997</v>
      </c>
      <c r="I215">
        <v>53.847774999999999</v>
      </c>
      <c r="J215">
        <v>30.331448000000002</v>
      </c>
      <c r="K215">
        <v>21.30883</v>
      </c>
      <c r="L215">
        <v>24.555008000000001</v>
      </c>
      <c r="M215">
        <v>24.473627</v>
      </c>
      <c r="N215">
        <v>29.460901</v>
      </c>
      <c r="O215">
        <v>33.729008</v>
      </c>
      <c r="P215">
        <v>47.309856000000003</v>
      </c>
      <c r="Q215">
        <v>50.860106999999999</v>
      </c>
      <c r="R215">
        <v>52.923949999999998</v>
      </c>
      <c r="S215">
        <v>55.029541000000002</v>
      </c>
      <c r="T215">
        <v>56.84375</v>
      </c>
      <c r="U215">
        <v>58.885559000000001</v>
      </c>
      <c r="V215">
        <v>60.913879000000001</v>
      </c>
      <c r="W215">
        <v>62.880614999999999</v>
      </c>
      <c r="X215">
        <v>64.824768000000006</v>
      </c>
      <c r="Y215">
        <v>67.001830999999996</v>
      </c>
      <c r="Z215">
        <v>68.808166999999997</v>
      </c>
      <c r="AA215">
        <v>70.631591999999998</v>
      </c>
      <c r="AB215">
        <v>72.473877000000002</v>
      </c>
      <c r="AC215">
        <v>74.368774000000002</v>
      </c>
      <c r="AD215">
        <v>75.949950999999999</v>
      </c>
      <c r="AE215">
        <v>77.937134</v>
      </c>
      <c r="AF215">
        <v>80.061035000000004</v>
      </c>
      <c r="AG215">
        <v>82.315674000000001</v>
      </c>
      <c r="AH215">
        <v>84.728271000000007</v>
      </c>
      <c r="AI215" t="s">
        <v>117</v>
      </c>
    </row>
    <row r="216" spans="1:35">
      <c r="A216" t="s">
        <v>443</v>
      </c>
      <c r="B216" t="s">
        <v>1962</v>
      </c>
      <c r="C216" t="s">
        <v>1106</v>
      </c>
      <c r="D216" t="s">
        <v>352</v>
      </c>
      <c r="F216">
        <v>0</v>
      </c>
      <c r="G216">
        <v>0</v>
      </c>
      <c r="H216">
        <v>1.237724</v>
      </c>
      <c r="I216">
        <v>60.396301000000001</v>
      </c>
      <c r="J216">
        <v>46.365257</v>
      </c>
      <c r="K216">
        <v>26.417698000000001</v>
      </c>
      <c r="L216">
        <v>27.912457</v>
      </c>
      <c r="M216">
        <v>22.461169999999999</v>
      </c>
      <c r="N216">
        <v>27.240627</v>
      </c>
      <c r="O216">
        <v>31.278912999999999</v>
      </c>
      <c r="P216">
        <v>36.773018</v>
      </c>
      <c r="Q216">
        <v>42.622314000000003</v>
      </c>
      <c r="R216">
        <v>48.784022999999998</v>
      </c>
      <c r="S216">
        <v>55.06176</v>
      </c>
      <c r="T216">
        <v>60.969836999999998</v>
      </c>
      <c r="U216">
        <v>75.160156000000001</v>
      </c>
      <c r="V216">
        <v>78.977294999999998</v>
      </c>
      <c r="W216">
        <v>82.653198000000003</v>
      </c>
      <c r="X216">
        <v>86.182495000000003</v>
      </c>
      <c r="Y216">
        <v>89.120604999999998</v>
      </c>
      <c r="Z216">
        <v>92.220703</v>
      </c>
      <c r="AA216">
        <v>95.091187000000005</v>
      </c>
      <c r="AB216">
        <v>97.725464000000002</v>
      </c>
      <c r="AC216">
        <v>100.159424</v>
      </c>
      <c r="AD216">
        <v>101.824219</v>
      </c>
      <c r="AE216">
        <v>106.975708</v>
      </c>
      <c r="AF216">
        <v>110.01696800000001</v>
      </c>
      <c r="AG216">
        <v>111.678955</v>
      </c>
      <c r="AH216">
        <v>113.550415</v>
      </c>
      <c r="AI216" t="s">
        <v>117</v>
      </c>
    </row>
    <row r="217" spans="1:35">
      <c r="A217" t="s">
        <v>444</v>
      </c>
      <c r="B217" t="s">
        <v>1963</v>
      </c>
      <c r="C217" t="s">
        <v>1106</v>
      </c>
      <c r="D217" t="s">
        <v>352</v>
      </c>
      <c r="F217">
        <v>0</v>
      </c>
      <c r="G217">
        <v>6.4839760000000002</v>
      </c>
      <c r="H217">
        <v>30.631561000000001</v>
      </c>
      <c r="I217">
        <v>22.482513000000001</v>
      </c>
      <c r="J217">
        <v>10.646577000000001</v>
      </c>
      <c r="K217">
        <v>12.161255000000001</v>
      </c>
      <c r="L217">
        <v>12.541518999999999</v>
      </c>
      <c r="M217">
        <v>12.646637</v>
      </c>
      <c r="N217">
        <v>12.966599</v>
      </c>
      <c r="O217">
        <v>13.159744</v>
      </c>
      <c r="P217">
        <v>13.39621</v>
      </c>
      <c r="Q217">
        <v>13.703552</v>
      </c>
      <c r="R217">
        <v>14.034409</v>
      </c>
      <c r="S217">
        <v>14.400238</v>
      </c>
      <c r="T217">
        <v>14.718628000000001</v>
      </c>
      <c r="U217">
        <v>15.083359</v>
      </c>
      <c r="V217">
        <v>15.465453999999999</v>
      </c>
      <c r="W217">
        <v>15.843506</v>
      </c>
      <c r="X217">
        <v>16.239409999999999</v>
      </c>
      <c r="Y217">
        <v>16.623626999999999</v>
      </c>
      <c r="Z217">
        <v>17.065246999999999</v>
      </c>
      <c r="AA217">
        <v>17.540955</v>
      </c>
      <c r="AB217">
        <v>18.043243</v>
      </c>
      <c r="AC217">
        <v>18.576447000000002</v>
      </c>
      <c r="AD217">
        <v>19.068573000000001</v>
      </c>
      <c r="AE217">
        <v>19.637604</v>
      </c>
      <c r="AF217">
        <v>20.246856999999999</v>
      </c>
      <c r="AG217">
        <v>20.881409000000001</v>
      </c>
      <c r="AH217">
        <v>21.542968999999999</v>
      </c>
      <c r="AI217" t="s">
        <v>117</v>
      </c>
    </row>
    <row r="218" spans="1:35">
      <c r="A218" t="s">
        <v>432</v>
      </c>
      <c r="B218" t="s">
        <v>1964</v>
      </c>
      <c r="C218" t="s">
        <v>1106</v>
      </c>
      <c r="D218" t="s">
        <v>352</v>
      </c>
      <c r="F218">
        <v>0</v>
      </c>
      <c r="G218">
        <v>95.570221000000004</v>
      </c>
      <c r="H218">
        <v>158.937592</v>
      </c>
      <c r="I218">
        <v>90.262816999999998</v>
      </c>
      <c r="J218">
        <v>103.488022</v>
      </c>
      <c r="K218">
        <v>86.662529000000006</v>
      </c>
      <c r="L218">
        <v>93.80986</v>
      </c>
      <c r="M218">
        <v>106.975342</v>
      </c>
      <c r="N218">
        <v>111.882698</v>
      </c>
      <c r="O218">
        <v>116.59922</v>
      </c>
      <c r="P218">
        <v>122.813896</v>
      </c>
      <c r="Q218">
        <v>126.772369</v>
      </c>
      <c r="R218">
        <v>130.55931100000001</v>
      </c>
      <c r="S218">
        <v>134.30990600000001</v>
      </c>
      <c r="T218">
        <v>138.94132999999999</v>
      </c>
      <c r="U218">
        <v>143.02919</v>
      </c>
      <c r="V218">
        <v>147.11927800000001</v>
      </c>
      <c r="W218">
        <v>151.292374</v>
      </c>
      <c r="X218">
        <v>155.555115</v>
      </c>
      <c r="Y218">
        <v>160.74430799999999</v>
      </c>
      <c r="Z218">
        <v>165.402466</v>
      </c>
      <c r="AA218">
        <v>170.20541399999999</v>
      </c>
      <c r="AB218">
        <v>175.20356799999999</v>
      </c>
      <c r="AC218">
        <v>180.50953699999999</v>
      </c>
      <c r="AD218">
        <v>186.63502500000001</v>
      </c>
      <c r="AE218">
        <v>192.495499</v>
      </c>
      <c r="AF218">
        <v>198.630371</v>
      </c>
      <c r="AG218">
        <v>204.97837799999999</v>
      </c>
      <c r="AH218">
        <v>211.68373099999999</v>
      </c>
      <c r="AI218" t="s">
        <v>117</v>
      </c>
    </row>
    <row r="219" spans="1:35">
      <c r="A219" t="s">
        <v>442</v>
      </c>
      <c r="B219" t="s">
        <v>1965</v>
      </c>
      <c r="C219" t="s">
        <v>1106</v>
      </c>
      <c r="D219" t="s">
        <v>352</v>
      </c>
      <c r="F219">
        <v>0</v>
      </c>
      <c r="G219">
        <v>16.152573</v>
      </c>
      <c r="H219">
        <v>74.385323</v>
      </c>
      <c r="I219">
        <v>44.418120999999999</v>
      </c>
      <c r="J219">
        <v>56.281497999999999</v>
      </c>
      <c r="K219">
        <v>46.858376</v>
      </c>
      <c r="L219">
        <v>45.260803000000003</v>
      </c>
      <c r="M219">
        <v>47.178879000000002</v>
      </c>
      <c r="N219">
        <v>49.045569999999998</v>
      </c>
      <c r="O219">
        <v>50.850254</v>
      </c>
      <c r="P219">
        <v>52.437424</v>
      </c>
      <c r="Q219">
        <v>53.918830999999997</v>
      </c>
      <c r="R219">
        <v>55.272826999999999</v>
      </c>
      <c r="S219">
        <v>56.578246999999998</v>
      </c>
      <c r="T219">
        <v>58.250194999999998</v>
      </c>
      <c r="U219">
        <v>59.701050000000002</v>
      </c>
      <c r="V219">
        <v>61.174374</v>
      </c>
      <c r="W219">
        <v>62.695816000000001</v>
      </c>
      <c r="X219">
        <v>64.303291000000002</v>
      </c>
      <c r="Y219">
        <v>66.291870000000003</v>
      </c>
      <c r="Z219">
        <v>68.032318000000004</v>
      </c>
      <c r="AA219">
        <v>69.907364000000001</v>
      </c>
      <c r="AB219">
        <v>71.927443999999994</v>
      </c>
      <c r="AC219">
        <v>74.189528999999993</v>
      </c>
      <c r="AD219">
        <v>76.835526000000002</v>
      </c>
      <c r="AE219">
        <v>79.443588000000005</v>
      </c>
      <c r="AF219">
        <v>82.244560000000007</v>
      </c>
      <c r="AG219">
        <v>85.175903000000005</v>
      </c>
      <c r="AH219">
        <v>88.275108000000003</v>
      </c>
      <c r="AI219" t="s">
        <v>117</v>
      </c>
    </row>
    <row r="220" spans="1:35">
      <c r="A220" t="s">
        <v>443</v>
      </c>
      <c r="B220" t="s">
        <v>1966</v>
      </c>
      <c r="C220" t="s">
        <v>1106</v>
      </c>
      <c r="D220" t="s">
        <v>352</v>
      </c>
      <c r="F220">
        <v>0</v>
      </c>
      <c r="G220">
        <v>0</v>
      </c>
      <c r="H220">
        <v>13.907534</v>
      </c>
      <c r="I220">
        <v>11.581135</v>
      </c>
      <c r="J220">
        <v>13.285769</v>
      </c>
      <c r="K220">
        <v>8.7865739999999999</v>
      </c>
      <c r="L220">
        <v>11.912839999999999</v>
      </c>
      <c r="M220">
        <v>14.229506000000001</v>
      </c>
      <c r="N220">
        <v>14.96176</v>
      </c>
      <c r="O220">
        <v>15.676151000000001</v>
      </c>
      <c r="P220">
        <v>16.351693999999998</v>
      </c>
      <c r="Q220">
        <v>17.011806</v>
      </c>
      <c r="R220">
        <v>17.684864000000001</v>
      </c>
      <c r="S220">
        <v>18.374672</v>
      </c>
      <c r="T220">
        <v>19.195830999999998</v>
      </c>
      <c r="U220">
        <v>19.947098</v>
      </c>
      <c r="V220">
        <v>20.696186000000001</v>
      </c>
      <c r="W220">
        <v>21.447388</v>
      </c>
      <c r="X220">
        <v>22.153858</v>
      </c>
      <c r="Y220">
        <v>22.969529999999999</v>
      </c>
      <c r="Z220">
        <v>23.723488</v>
      </c>
      <c r="AA220">
        <v>24.439530999999999</v>
      </c>
      <c r="AB220">
        <v>25.104008</v>
      </c>
      <c r="AC220">
        <v>25.697693000000001</v>
      </c>
      <c r="AD220">
        <v>26.327818000000001</v>
      </c>
      <c r="AE220">
        <v>26.879307000000001</v>
      </c>
      <c r="AF220">
        <v>27.422423999999999</v>
      </c>
      <c r="AG220">
        <v>27.929182000000001</v>
      </c>
      <c r="AH220">
        <v>28.481864999999999</v>
      </c>
      <c r="AI220" t="s">
        <v>117</v>
      </c>
    </row>
    <row r="221" spans="1:35">
      <c r="A221" t="s">
        <v>444</v>
      </c>
      <c r="B221" t="s">
        <v>1967</v>
      </c>
      <c r="C221" t="s">
        <v>1106</v>
      </c>
      <c r="D221" t="s">
        <v>352</v>
      </c>
      <c r="F221">
        <v>0</v>
      </c>
      <c r="G221">
        <v>79.417648</v>
      </c>
      <c r="H221">
        <v>70.644729999999996</v>
      </c>
      <c r="I221">
        <v>34.263565</v>
      </c>
      <c r="J221">
        <v>33.920757000000002</v>
      </c>
      <c r="K221">
        <v>31.017579999999999</v>
      </c>
      <c r="L221">
        <v>36.636215</v>
      </c>
      <c r="M221">
        <v>45.566955999999998</v>
      </c>
      <c r="N221">
        <v>47.875366</v>
      </c>
      <c r="O221">
        <v>50.072814999999999</v>
      </c>
      <c r="P221">
        <v>54.02478</v>
      </c>
      <c r="Q221">
        <v>55.841735999999997</v>
      </c>
      <c r="R221">
        <v>57.601624000000001</v>
      </c>
      <c r="S221">
        <v>59.356994999999998</v>
      </c>
      <c r="T221">
        <v>61.4953</v>
      </c>
      <c r="U221">
        <v>63.381042000000001</v>
      </c>
      <c r="V221">
        <v>65.248717999999997</v>
      </c>
      <c r="W221">
        <v>67.149169999999998</v>
      </c>
      <c r="X221">
        <v>69.097960999999998</v>
      </c>
      <c r="Y221">
        <v>71.482910000000004</v>
      </c>
      <c r="Z221">
        <v>73.646666999999994</v>
      </c>
      <c r="AA221">
        <v>75.858520999999996</v>
      </c>
      <c r="AB221">
        <v>78.172118999999995</v>
      </c>
      <c r="AC221">
        <v>80.622314000000003</v>
      </c>
      <c r="AD221">
        <v>83.471680000000006</v>
      </c>
      <c r="AE221">
        <v>86.172606999999999</v>
      </c>
      <c r="AF221">
        <v>88.963379000000003</v>
      </c>
      <c r="AG221">
        <v>91.873290999999995</v>
      </c>
      <c r="AH221">
        <v>94.926758000000007</v>
      </c>
      <c r="AI221" t="s">
        <v>117</v>
      </c>
    </row>
    <row r="222" spans="1:35">
      <c r="A222" t="s">
        <v>1659</v>
      </c>
      <c r="B222" t="s">
        <v>1968</v>
      </c>
      <c r="C222" t="s">
        <v>1106</v>
      </c>
      <c r="D222" t="s">
        <v>352</v>
      </c>
      <c r="F222">
        <v>4.6944059999999999</v>
      </c>
      <c r="G222">
        <v>0</v>
      </c>
      <c r="H222">
        <v>9.9030819999999995</v>
      </c>
      <c r="I222">
        <v>18.713218999999999</v>
      </c>
      <c r="J222">
        <v>20.190556000000001</v>
      </c>
      <c r="K222">
        <v>24.707723999999999</v>
      </c>
      <c r="L222">
        <v>26.178903999999999</v>
      </c>
      <c r="M222">
        <v>26.187021000000001</v>
      </c>
      <c r="N222">
        <v>26.578914999999999</v>
      </c>
      <c r="O222">
        <v>26.732208</v>
      </c>
      <c r="P222">
        <v>27.393591000000001</v>
      </c>
      <c r="Q222">
        <v>27.984928</v>
      </c>
      <c r="R222">
        <v>28.617878000000001</v>
      </c>
      <c r="S222">
        <v>29.507937999999999</v>
      </c>
      <c r="T222">
        <v>29.673779</v>
      </c>
      <c r="U222">
        <v>29.754950999999998</v>
      </c>
      <c r="V222">
        <v>29.810558</v>
      </c>
      <c r="W222">
        <v>29.813227000000001</v>
      </c>
      <c r="X222">
        <v>29.743130000000001</v>
      </c>
      <c r="Y222">
        <v>29.627026000000001</v>
      </c>
      <c r="Z222">
        <v>29.397304999999999</v>
      </c>
      <c r="AA222">
        <v>29.095371</v>
      </c>
      <c r="AB222">
        <v>28.737287999999999</v>
      </c>
      <c r="AC222">
        <v>28.342614999999999</v>
      </c>
      <c r="AD222">
        <v>27.983851999999999</v>
      </c>
      <c r="AE222">
        <v>27.615227000000001</v>
      </c>
      <c r="AF222">
        <v>27.270102999999999</v>
      </c>
      <c r="AG222">
        <v>26.951415999999998</v>
      </c>
      <c r="AH222">
        <v>26.697842000000001</v>
      </c>
      <c r="AI222" s="31">
        <v>6.4000000000000001E-2</v>
      </c>
    </row>
    <row r="223" spans="1:35">
      <c r="A223" t="s">
        <v>442</v>
      </c>
      <c r="B223" t="s">
        <v>1969</v>
      </c>
      <c r="C223" t="s">
        <v>1106</v>
      </c>
      <c r="D223" t="s">
        <v>352</v>
      </c>
      <c r="F223">
        <v>4.6944059999999999</v>
      </c>
      <c r="G223">
        <v>0</v>
      </c>
      <c r="H223">
        <v>6.7475829999999997</v>
      </c>
      <c r="I223">
        <v>11.778551999999999</v>
      </c>
      <c r="J223">
        <v>12.884046</v>
      </c>
      <c r="K223">
        <v>16.942501</v>
      </c>
      <c r="L223">
        <v>17.098953000000002</v>
      </c>
      <c r="M223">
        <v>17.136088999999998</v>
      </c>
      <c r="N223">
        <v>17.307739000000002</v>
      </c>
      <c r="O223">
        <v>17.323554999999999</v>
      </c>
      <c r="P223">
        <v>17.642493999999999</v>
      </c>
      <c r="Q223">
        <v>17.916205999999999</v>
      </c>
      <c r="R223">
        <v>18.128070999999998</v>
      </c>
      <c r="S223">
        <v>18.270206000000002</v>
      </c>
      <c r="T223">
        <v>18.349886000000001</v>
      </c>
      <c r="U223">
        <v>18.360924000000001</v>
      </c>
      <c r="V223">
        <v>18.368248000000001</v>
      </c>
      <c r="W223">
        <v>18.336587999999999</v>
      </c>
      <c r="X223">
        <v>18.249237000000001</v>
      </c>
      <c r="Y223">
        <v>18.137756</v>
      </c>
      <c r="Z223">
        <v>17.946503</v>
      </c>
      <c r="AA223">
        <v>17.723602</v>
      </c>
      <c r="AB223">
        <v>17.473815999999999</v>
      </c>
      <c r="AC223">
        <v>17.208832000000001</v>
      </c>
      <c r="AD223">
        <v>16.985443</v>
      </c>
      <c r="AE223">
        <v>16.774260999999999</v>
      </c>
      <c r="AF223">
        <v>16.590485000000001</v>
      </c>
      <c r="AG223">
        <v>16.435058999999999</v>
      </c>
      <c r="AH223">
        <v>16.330780000000001</v>
      </c>
      <c r="AI223" s="31">
        <v>4.5999999999999999E-2</v>
      </c>
    </row>
    <row r="224" spans="1:35">
      <c r="A224" t="s">
        <v>443</v>
      </c>
      <c r="B224" t="s">
        <v>1970</v>
      </c>
      <c r="C224" t="s">
        <v>1106</v>
      </c>
      <c r="D224" t="s">
        <v>352</v>
      </c>
      <c r="F224">
        <v>0</v>
      </c>
      <c r="G224">
        <v>0</v>
      </c>
      <c r="H224">
        <v>0.123136</v>
      </c>
      <c r="I224">
        <v>1.9343319999999999</v>
      </c>
      <c r="J224">
        <v>2.1494490000000002</v>
      </c>
      <c r="K224">
        <v>1.225752</v>
      </c>
      <c r="L224">
        <v>1.002186</v>
      </c>
      <c r="M224">
        <v>0.72661200000000004</v>
      </c>
      <c r="N224">
        <v>0.87561500000000003</v>
      </c>
      <c r="O224">
        <v>1.0253829999999999</v>
      </c>
      <c r="P224">
        <v>1.2474810000000001</v>
      </c>
      <c r="Q224">
        <v>1.4651149999999999</v>
      </c>
      <c r="R224">
        <v>1.8116300000000001</v>
      </c>
      <c r="S224">
        <v>2.5099939999999998</v>
      </c>
      <c r="T224">
        <v>2.5653329999999999</v>
      </c>
      <c r="U224">
        <v>2.604568</v>
      </c>
      <c r="V224">
        <v>2.6278419999999998</v>
      </c>
      <c r="W224">
        <v>2.6438899999999999</v>
      </c>
      <c r="X224">
        <v>2.6589619999999998</v>
      </c>
      <c r="Y224">
        <v>2.6583519999999998</v>
      </c>
      <c r="Z224">
        <v>2.6367910000000001</v>
      </c>
      <c r="AA224">
        <v>2.5863839999999998</v>
      </c>
      <c r="AB224">
        <v>2.5181110000000002</v>
      </c>
      <c r="AC224">
        <v>2.4389129999999999</v>
      </c>
      <c r="AD224">
        <v>2.357037</v>
      </c>
      <c r="AE224">
        <v>2.2597580000000002</v>
      </c>
      <c r="AF224">
        <v>2.1587450000000001</v>
      </c>
      <c r="AG224">
        <v>2.0570369999999998</v>
      </c>
      <c r="AH224">
        <v>1.96191</v>
      </c>
      <c r="AI224" t="s">
        <v>117</v>
      </c>
    </row>
    <row r="225" spans="1:35">
      <c r="A225" t="s">
        <v>444</v>
      </c>
      <c r="B225" t="s">
        <v>1971</v>
      </c>
      <c r="C225" t="s">
        <v>1106</v>
      </c>
      <c r="D225" t="s">
        <v>352</v>
      </c>
      <c r="F225">
        <v>0</v>
      </c>
      <c r="G225">
        <v>0</v>
      </c>
      <c r="H225">
        <v>3.0323630000000001</v>
      </c>
      <c r="I225">
        <v>5.0003349999999998</v>
      </c>
      <c r="J225">
        <v>5.1570600000000004</v>
      </c>
      <c r="K225">
        <v>6.5394709999999998</v>
      </c>
      <c r="L225">
        <v>8.0777649999999994</v>
      </c>
      <c r="M225">
        <v>8.3243200000000002</v>
      </c>
      <c r="N225">
        <v>8.3955590000000004</v>
      </c>
      <c r="O225">
        <v>8.3832699999999996</v>
      </c>
      <c r="P225">
        <v>8.5036159999999992</v>
      </c>
      <c r="Q225">
        <v>8.6036070000000002</v>
      </c>
      <c r="R225">
        <v>8.6781769999999998</v>
      </c>
      <c r="S225">
        <v>8.7277369999999994</v>
      </c>
      <c r="T225">
        <v>8.7585599999999992</v>
      </c>
      <c r="U225">
        <v>8.7894590000000008</v>
      </c>
      <c r="V225">
        <v>8.8144679999999997</v>
      </c>
      <c r="W225">
        <v>8.8327480000000005</v>
      </c>
      <c r="X225">
        <v>8.8349299999999999</v>
      </c>
      <c r="Y225">
        <v>8.8309169999999995</v>
      </c>
      <c r="Z225">
        <v>8.8140110000000007</v>
      </c>
      <c r="AA225">
        <v>8.7853849999999998</v>
      </c>
      <c r="AB225">
        <v>8.7453610000000008</v>
      </c>
      <c r="AC225">
        <v>8.6948699999999999</v>
      </c>
      <c r="AD225">
        <v>8.6413729999999997</v>
      </c>
      <c r="AE225">
        <v>8.5812069999999991</v>
      </c>
      <c r="AF225">
        <v>8.5208739999999992</v>
      </c>
      <c r="AG225">
        <v>8.45932</v>
      </c>
      <c r="AH225">
        <v>8.405151</v>
      </c>
      <c r="AI225" t="s">
        <v>117</v>
      </c>
    </row>
    <row r="226" spans="1:35">
      <c r="A226" t="s">
        <v>1662</v>
      </c>
      <c r="B226" t="s">
        <v>1972</v>
      </c>
      <c r="C226" t="s">
        <v>1106</v>
      </c>
      <c r="D226" t="s">
        <v>352</v>
      </c>
      <c r="F226">
        <v>0</v>
      </c>
      <c r="G226">
        <v>16.212554999999998</v>
      </c>
      <c r="H226">
        <v>72.479491999999993</v>
      </c>
      <c r="I226">
        <v>40.945121999999998</v>
      </c>
      <c r="J226">
        <v>45.360497000000002</v>
      </c>
      <c r="K226">
        <v>47.086692999999997</v>
      </c>
      <c r="L226">
        <v>44.219219000000002</v>
      </c>
      <c r="M226">
        <v>43.437472999999997</v>
      </c>
      <c r="N226">
        <v>44.078677999999996</v>
      </c>
      <c r="O226">
        <v>44.448982000000001</v>
      </c>
      <c r="P226">
        <v>45.430968999999997</v>
      </c>
      <c r="Q226">
        <v>46.471218</v>
      </c>
      <c r="R226">
        <v>47.524146999999999</v>
      </c>
      <c r="S226">
        <v>48.588408999999999</v>
      </c>
      <c r="T226">
        <v>49.558253999999998</v>
      </c>
      <c r="U226">
        <v>50.636077999999998</v>
      </c>
      <c r="V226">
        <v>51.724097999999998</v>
      </c>
      <c r="W226">
        <v>52.793083000000003</v>
      </c>
      <c r="X226">
        <v>53.866115999999998</v>
      </c>
      <c r="Y226">
        <v>54.935673000000001</v>
      </c>
      <c r="Z226">
        <v>56.067089000000003</v>
      </c>
      <c r="AA226">
        <v>57.238425999999997</v>
      </c>
      <c r="AB226">
        <v>58.484650000000002</v>
      </c>
      <c r="AC226">
        <v>59.774197000000001</v>
      </c>
      <c r="AD226">
        <v>60.846770999999997</v>
      </c>
      <c r="AE226">
        <v>62.294235</v>
      </c>
      <c r="AF226">
        <v>63.859734000000003</v>
      </c>
      <c r="AG226">
        <v>65.543030000000002</v>
      </c>
      <c r="AH226">
        <v>67.304428000000001</v>
      </c>
      <c r="AI226" t="s">
        <v>117</v>
      </c>
    </row>
    <row r="227" spans="1:35">
      <c r="A227" t="s">
        <v>442</v>
      </c>
      <c r="B227" t="s">
        <v>1973</v>
      </c>
      <c r="C227" t="s">
        <v>1106</v>
      </c>
      <c r="D227" t="s">
        <v>352</v>
      </c>
      <c r="F227">
        <v>0</v>
      </c>
      <c r="G227">
        <v>5.8114030000000003</v>
      </c>
      <c r="H227">
        <v>42.121963999999998</v>
      </c>
      <c r="I227">
        <v>25.662416</v>
      </c>
      <c r="J227">
        <v>27.793472000000001</v>
      </c>
      <c r="K227">
        <v>28.183192999999999</v>
      </c>
      <c r="L227">
        <v>26.023641999999999</v>
      </c>
      <c r="M227">
        <v>25.516463999999999</v>
      </c>
      <c r="N227">
        <v>26.058325</v>
      </c>
      <c r="O227">
        <v>26.448975000000001</v>
      </c>
      <c r="P227">
        <v>27.170258</v>
      </c>
      <c r="Q227">
        <v>27.915710000000001</v>
      </c>
      <c r="R227">
        <v>28.664702999999999</v>
      </c>
      <c r="S227">
        <v>29.415619</v>
      </c>
      <c r="T227">
        <v>30.099364999999999</v>
      </c>
      <c r="U227">
        <v>30.841248</v>
      </c>
      <c r="V227">
        <v>31.57132</v>
      </c>
      <c r="W227">
        <v>32.287776999999998</v>
      </c>
      <c r="X227">
        <v>32.994903999999998</v>
      </c>
      <c r="Y227">
        <v>33.685364</v>
      </c>
      <c r="Z227">
        <v>34.397095</v>
      </c>
      <c r="AA227">
        <v>35.129173000000002</v>
      </c>
      <c r="AB227">
        <v>35.915416999999998</v>
      </c>
      <c r="AC227">
        <v>36.718688999999998</v>
      </c>
      <c r="AD227">
        <v>37.396667000000001</v>
      </c>
      <c r="AE227">
        <v>38.285400000000003</v>
      </c>
      <c r="AF227">
        <v>39.248534999999997</v>
      </c>
      <c r="AG227">
        <v>40.288939999999997</v>
      </c>
      <c r="AH227">
        <v>41.382384999999999</v>
      </c>
      <c r="AI227" t="s">
        <v>117</v>
      </c>
    </row>
    <row r="228" spans="1:35">
      <c r="A228" t="s">
        <v>443</v>
      </c>
      <c r="B228" t="s">
        <v>1974</v>
      </c>
      <c r="C228" t="s">
        <v>1106</v>
      </c>
      <c r="D228" t="s">
        <v>352</v>
      </c>
      <c r="F228">
        <v>0</v>
      </c>
      <c r="G228">
        <v>2.1028440000000002</v>
      </c>
      <c r="H228">
        <v>5.2317850000000004</v>
      </c>
      <c r="I228">
        <v>5.1375019999999996</v>
      </c>
      <c r="J228">
        <v>5.0140370000000001</v>
      </c>
      <c r="K228">
        <v>3.894466</v>
      </c>
      <c r="L228">
        <v>3.4408159999999999</v>
      </c>
      <c r="M228">
        <v>3.2471969999999999</v>
      </c>
      <c r="N228">
        <v>3.2134369999999999</v>
      </c>
      <c r="O228">
        <v>3.1581950000000001</v>
      </c>
      <c r="P228">
        <v>3.1293950000000001</v>
      </c>
      <c r="Q228">
        <v>3.1110509999999998</v>
      </c>
      <c r="R228">
        <v>3.1012360000000001</v>
      </c>
      <c r="S228">
        <v>3.100142</v>
      </c>
      <c r="T228">
        <v>3.1067480000000001</v>
      </c>
      <c r="U228">
        <v>3.1233499999999998</v>
      </c>
      <c r="V228">
        <v>3.1619969999999999</v>
      </c>
      <c r="W228">
        <v>3.1970779999999999</v>
      </c>
      <c r="X228">
        <v>3.2490489999999999</v>
      </c>
      <c r="Y228">
        <v>3.3071929999999998</v>
      </c>
      <c r="Z228">
        <v>3.3916439999999999</v>
      </c>
      <c r="AA228">
        <v>3.4865710000000001</v>
      </c>
      <c r="AB228">
        <v>3.5925790000000002</v>
      </c>
      <c r="AC228">
        <v>3.712062</v>
      </c>
      <c r="AD228">
        <v>3.817904</v>
      </c>
      <c r="AE228">
        <v>3.9742289999999998</v>
      </c>
      <c r="AF228">
        <v>4.1493169999999999</v>
      </c>
      <c r="AG228">
        <v>4.3417969999999997</v>
      </c>
      <c r="AH228">
        <v>4.539593</v>
      </c>
      <c r="AI228" t="s">
        <v>117</v>
      </c>
    </row>
    <row r="229" spans="1:35">
      <c r="A229" t="s">
        <v>444</v>
      </c>
      <c r="B229" t="s">
        <v>1975</v>
      </c>
      <c r="C229" t="s">
        <v>1106</v>
      </c>
      <c r="D229" t="s">
        <v>352</v>
      </c>
      <c r="F229">
        <v>0</v>
      </c>
      <c r="G229">
        <v>8.2983069999999994</v>
      </c>
      <c r="H229">
        <v>25.125741999999999</v>
      </c>
      <c r="I229">
        <v>10.145201</v>
      </c>
      <c r="J229">
        <v>12.552986000000001</v>
      </c>
      <c r="K229">
        <v>15.009033000000001</v>
      </c>
      <c r="L229">
        <v>14.754761</v>
      </c>
      <c r="M229">
        <v>14.673813000000001</v>
      </c>
      <c r="N229">
        <v>14.806915</v>
      </c>
      <c r="O229">
        <v>14.841811999999999</v>
      </c>
      <c r="P229">
        <v>15.131316999999999</v>
      </c>
      <c r="Q229">
        <v>15.444457999999999</v>
      </c>
      <c r="R229">
        <v>15.758209000000001</v>
      </c>
      <c r="S229">
        <v>16.072647</v>
      </c>
      <c r="T229">
        <v>16.352142000000001</v>
      </c>
      <c r="U229">
        <v>16.671478</v>
      </c>
      <c r="V229">
        <v>16.990784000000001</v>
      </c>
      <c r="W229">
        <v>17.308228</v>
      </c>
      <c r="X229">
        <v>17.622161999999999</v>
      </c>
      <c r="Y229">
        <v>17.943114999999999</v>
      </c>
      <c r="Z229">
        <v>18.278351000000001</v>
      </c>
      <c r="AA229">
        <v>18.622681</v>
      </c>
      <c r="AB229">
        <v>18.976654</v>
      </c>
      <c r="AC229">
        <v>19.343444999999999</v>
      </c>
      <c r="AD229">
        <v>19.632201999999999</v>
      </c>
      <c r="AE229">
        <v>20.034607000000001</v>
      </c>
      <c r="AF229">
        <v>20.461884000000001</v>
      </c>
      <c r="AG229">
        <v>20.912292000000001</v>
      </c>
      <c r="AH229">
        <v>21.382446000000002</v>
      </c>
      <c r="AI229" t="s">
        <v>117</v>
      </c>
    </row>
    <row r="230" spans="1:35">
      <c r="A230" t="s">
        <v>1900</v>
      </c>
      <c r="B230" t="s">
        <v>1976</v>
      </c>
      <c r="C230" t="s">
        <v>1106</v>
      </c>
      <c r="D230" t="s">
        <v>352</v>
      </c>
      <c r="F230">
        <v>906.95056199999999</v>
      </c>
      <c r="G230">
        <v>996.77758800000004</v>
      </c>
      <c r="H230">
        <v>1560.366943</v>
      </c>
      <c r="I230">
        <v>1339.888428</v>
      </c>
      <c r="J230">
        <v>1781.6395259999999</v>
      </c>
      <c r="K230">
        <v>1523.8237300000001</v>
      </c>
      <c r="L230">
        <v>1579.755005</v>
      </c>
      <c r="M230">
        <v>1607.5267329999999</v>
      </c>
      <c r="N230">
        <v>1705.8538820000001</v>
      </c>
      <c r="O230">
        <v>1808.3291019999999</v>
      </c>
      <c r="P230">
        <v>1953.9444579999999</v>
      </c>
      <c r="Q230">
        <v>2113.2377929999998</v>
      </c>
      <c r="R230">
        <v>2198.0119629999999</v>
      </c>
      <c r="S230">
        <v>2281.2998050000001</v>
      </c>
      <c r="T230">
        <v>2386.2250979999999</v>
      </c>
      <c r="U230">
        <v>2476.8305660000001</v>
      </c>
      <c r="V230">
        <v>2542.4284670000002</v>
      </c>
      <c r="W230">
        <v>2603.1972660000001</v>
      </c>
      <c r="X230">
        <v>2693.382568</v>
      </c>
      <c r="Y230">
        <v>2750.7878420000002</v>
      </c>
      <c r="Z230">
        <v>2813.4624020000001</v>
      </c>
      <c r="AA230">
        <v>2873.0766600000002</v>
      </c>
      <c r="AB230">
        <v>2914.782471</v>
      </c>
      <c r="AC230">
        <v>2952.125732</v>
      </c>
      <c r="AD230">
        <v>2992.0249020000001</v>
      </c>
      <c r="AE230">
        <v>3054.0776369999999</v>
      </c>
      <c r="AF230">
        <v>3103.2128910000001</v>
      </c>
      <c r="AG230">
        <v>3148.4765619999998</v>
      </c>
      <c r="AH230">
        <v>3213.5976559999999</v>
      </c>
      <c r="AI230" s="31">
        <v>4.5999999999999999E-2</v>
      </c>
    </row>
    <row r="231" spans="1:35">
      <c r="A231" t="s">
        <v>1903</v>
      </c>
      <c r="B231" t="s">
        <v>1977</v>
      </c>
      <c r="C231" t="s">
        <v>1106</v>
      </c>
      <c r="D231" t="s">
        <v>352</v>
      </c>
      <c r="F231">
        <v>616.672729</v>
      </c>
      <c r="G231">
        <v>426.37951700000002</v>
      </c>
      <c r="H231">
        <v>834.27612299999998</v>
      </c>
      <c r="I231">
        <v>765.04986599999995</v>
      </c>
      <c r="J231">
        <v>1010.692139</v>
      </c>
      <c r="K231">
        <v>905.86248799999998</v>
      </c>
      <c r="L231">
        <v>943.87078899999995</v>
      </c>
      <c r="M231">
        <v>970.26196300000004</v>
      </c>
      <c r="N231">
        <v>1021.595337</v>
      </c>
      <c r="O231">
        <v>1090.982422</v>
      </c>
      <c r="P231">
        <v>1186.9614260000001</v>
      </c>
      <c r="Q231">
        <v>1294.732178</v>
      </c>
      <c r="R231">
        <v>1337.9248050000001</v>
      </c>
      <c r="S231">
        <v>1388.693237</v>
      </c>
      <c r="T231">
        <v>1448.065308</v>
      </c>
      <c r="U231">
        <v>1494.3908690000001</v>
      </c>
      <c r="V231">
        <v>1529.6373289999999</v>
      </c>
      <c r="W231">
        <v>1562.5006100000001</v>
      </c>
      <c r="X231">
        <v>1615.0435789999999</v>
      </c>
      <c r="Y231">
        <v>1647.3764650000001</v>
      </c>
      <c r="Z231">
        <v>1682.243164</v>
      </c>
      <c r="AA231">
        <v>1715.9918210000001</v>
      </c>
      <c r="AB231">
        <v>1739.779663</v>
      </c>
      <c r="AC231">
        <v>1760.8398440000001</v>
      </c>
      <c r="AD231">
        <v>1783.525879</v>
      </c>
      <c r="AE231">
        <v>1817.627808</v>
      </c>
      <c r="AF231">
        <v>1845.839966</v>
      </c>
      <c r="AG231">
        <v>1872.237061</v>
      </c>
      <c r="AH231">
        <v>1908.921143</v>
      </c>
      <c r="AI231" s="31">
        <v>4.1000000000000002E-2</v>
      </c>
    </row>
    <row r="232" spans="1:35">
      <c r="A232" t="s">
        <v>1906</v>
      </c>
      <c r="B232" t="s">
        <v>1978</v>
      </c>
      <c r="C232" t="s">
        <v>1106</v>
      </c>
      <c r="D232" t="s">
        <v>352</v>
      </c>
      <c r="F232">
        <v>0</v>
      </c>
      <c r="G232">
        <v>43.201999999999998</v>
      </c>
      <c r="H232">
        <v>176.914368</v>
      </c>
      <c r="I232">
        <v>268.93057299999998</v>
      </c>
      <c r="J232">
        <v>385.54864500000002</v>
      </c>
      <c r="K232">
        <v>250.85348500000001</v>
      </c>
      <c r="L232">
        <v>255.47108499999999</v>
      </c>
      <c r="M232">
        <v>234.80268899999999</v>
      </c>
      <c r="N232">
        <v>272.76123000000001</v>
      </c>
      <c r="O232">
        <v>290.69201700000002</v>
      </c>
      <c r="P232">
        <v>313.10742199999999</v>
      </c>
      <c r="Q232">
        <v>343.86264</v>
      </c>
      <c r="R232">
        <v>373.10836799999998</v>
      </c>
      <c r="S232">
        <v>393.01129200000003</v>
      </c>
      <c r="T232">
        <v>421.43762199999998</v>
      </c>
      <c r="U232">
        <v>448.14917000000003</v>
      </c>
      <c r="V232">
        <v>463.75173999999998</v>
      </c>
      <c r="W232">
        <v>478.395599</v>
      </c>
      <c r="X232">
        <v>495.19457999999997</v>
      </c>
      <c r="Y232">
        <v>508.49685699999998</v>
      </c>
      <c r="Z232">
        <v>522.58496100000002</v>
      </c>
      <c r="AA232">
        <v>533.91491699999995</v>
      </c>
      <c r="AB232">
        <v>541.35034199999996</v>
      </c>
      <c r="AC232">
        <v>547.30035399999997</v>
      </c>
      <c r="AD232">
        <v>552.16076699999996</v>
      </c>
      <c r="AE232">
        <v>562.45593299999996</v>
      </c>
      <c r="AF232">
        <v>569.04693599999996</v>
      </c>
      <c r="AG232">
        <v>574.07873500000005</v>
      </c>
      <c r="AH232">
        <v>582.19397000000004</v>
      </c>
      <c r="AI232" t="s">
        <v>117</v>
      </c>
    </row>
    <row r="233" spans="1:35">
      <c r="A233" t="s">
        <v>118</v>
      </c>
      <c r="B233" t="s">
        <v>1979</v>
      </c>
      <c r="C233" t="s">
        <v>1106</v>
      </c>
      <c r="D233" t="s">
        <v>352</v>
      </c>
      <c r="F233">
        <v>290.27792399999998</v>
      </c>
      <c r="G233">
        <v>527.19604500000003</v>
      </c>
      <c r="H233">
        <v>549.176514</v>
      </c>
      <c r="I233">
        <v>305.90798999999998</v>
      </c>
      <c r="J233">
        <v>385.39859000000001</v>
      </c>
      <c r="K233">
        <v>367.10775799999999</v>
      </c>
      <c r="L233">
        <v>380.41357399999998</v>
      </c>
      <c r="M233">
        <v>402.46191399999998</v>
      </c>
      <c r="N233">
        <v>411.497345</v>
      </c>
      <c r="O233">
        <v>426.654968</v>
      </c>
      <c r="P233">
        <v>453.875519</v>
      </c>
      <c r="Q233">
        <v>474.64248700000002</v>
      </c>
      <c r="R233">
        <v>486.978363</v>
      </c>
      <c r="S233">
        <v>499.595215</v>
      </c>
      <c r="T233">
        <v>516.722534</v>
      </c>
      <c r="U233">
        <v>534.29040499999996</v>
      </c>
      <c r="V233">
        <v>549.03997800000002</v>
      </c>
      <c r="W233">
        <v>562.30139199999996</v>
      </c>
      <c r="X233">
        <v>583.14465299999995</v>
      </c>
      <c r="Y233">
        <v>594.91436799999997</v>
      </c>
      <c r="Z233">
        <v>608.634277</v>
      </c>
      <c r="AA233">
        <v>623.17040999999995</v>
      </c>
      <c r="AB233">
        <v>633.65270999999996</v>
      </c>
      <c r="AC233">
        <v>643.98510699999997</v>
      </c>
      <c r="AD233">
        <v>656.33850099999995</v>
      </c>
      <c r="AE233">
        <v>673.99383499999999</v>
      </c>
      <c r="AF233">
        <v>688.32568400000002</v>
      </c>
      <c r="AG233">
        <v>702.16033900000002</v>
      </c>
      <c r="AH233">
        <v>722.48254399999996</v>
      </c>
      <c r="AI233" s="31">
        <v>3.3000000000000002E-2</v>
      </c>
    </row>
    <row r="234" spans="1:35">
      <c r="A234" t="s">
        <v>445</v>
      </c>
    </row>
    <row r="235" spans="1:35">
      <c r="A235" t="s">
        <v>446</v>
      </c>
    </row>
    <row r="236" spans="1:35">
      <c r="A236" t="s">
        <v>442</v>
      </c>
      <c r="B236" t="s">
        <v>1980</v>
      </c>
      <c r="C236" t="s">
        <v>1981</v>
      </c>
      <c r="D236" t="s">
        <v>454</v>
      </c>
      <c r="F236">
        <v>74.871787999999995</v>
      </c>
      <c r="G236">
        <v>74.824341000000004</v>
      </c>
      <c r="H236">
        <v>74.870009999999994</v>
      </c>
      <c r="I236">
        <v>75.377182000000005</v>
      </c>
      <c r="J236">
        <v>75.942390000000003</v>
      </c>
      <c r="K236">
        <v>76.569298000000003</v>
      </c>
      <c r="L236">
        <v>77.191185000000004</v>
      </c>
      <c r="M236">
        <v>77.822379999999995</v>
      </c>
      <c r="N236">
        <v>78.449370999999999</v>
      </c>
      <c r="O236">
        <v>79.082160999999999</v>
      </c>
      <c r="P236">
        <v>79.729331999999999</v>
      </c>
      <c r="Q236">
        <v>80.384322999999995</v>
      </c>
      <c r="R236">
        <v>81.040702999999993</v>
      </c>
      <c r="S236">
        <v>81.700325000000007</v>
      </c>
      <c r="T236">
        <v>82.36721</v>
      </c>
      <c r="U236">
        <v>83.039787000000004</v>
      </c>
      <c r="V236">
        <v>83.715835999999996</v>
      </c>
      <c r="W236">
        <v>84.394936000000001</v>
      </c>
      <c r="X236">
        <v>85.083740000000006</v>
      </c>
      <c r="Y236">
        <v>85.777321000000001</v>
      </c>
      <c r="Z236">
        <v>86.476578000000003</v>
      </c>
      <c r="AA236">
        <v>87.181197999999995</v>
      </c>
      <c r="AB236">
        <v>87.887107999999998</v>
      </c>
      <c r="AC236">
        <v>88.593413999999996</v>
      </c>
      <c r="AD236">
        <v>89.304077000000007</v>
      </c>
      <c r="AE236">
        <v>90.021133000000006</v>
      </c>
      <c r="AF236">
        <v>90.740951999999993</v>
      </c>
      <c r="AG236">
        <v>91.461951999999997</v>
      </c>
      <c r="AH236">
        <v>92.186836</v>
      </c>
      <c r="AI236" s="31">
        <v>7.0000000000000001E-3</v>
      </c>
    </row>
    <row r="237" spans="1:35">
      <c r="A237" t="s">
        <v>443</v>
      </c>
      <c r="B237" t="s">
        <v>1982</v>
      </c>
      <c r="C237" t="s">
        <v>1983</v>
      </c>
      <c r="D237" t="s">
        <v>454</v>
      </c>
      <c r="F237">
        <v>95.571944999999999</v>
      </c>
      <c r="G237">
        <v>96.332038999999995</v>
      </c>
      <c r="H237">
        <v>96.948357000000001</v>
      </c>
      <c r="I237">
        <v>97.558082999999996</v>
      </c>
      <c r="J237">
        <v>98.270415999999997</v>
      </c>
      <c r="K237">
        <v>99.001427000000007</v>
      </c>
      <c r="L237">
        <v>99.742217999999994</v>
      </c>
      <c r="M237">
        <v>100.54795799999999</v>
      </c>
      <c r="N237">
        <v>101.357468</v>
      </c>
      <c r="O237">
        <v>102.176247</v>
      </c>
      <c r="P237">
        <v>103.00419599999999</v>
      </c>
      <c r="Q237">
        <v>103.837914</v>
      </c>
      <c r="R237">
        <v>104.675499</v>
      </c>
      <c r="S237">
        <v>105.517685</v>
      </c>
      <c r="T237">
        <v>106.36638600000001</v>
      </c>
      <c r="U237">
        <v>107.221107</v>
      </c>
      <c r="V237">
        <v>108.081337</v>
      </c>
      <c r="W237">
        <v>108.94696</v>
      </c>
      <c r="X237">
        <v>109.81945</v>
      </c>
      <c r="Y237">
        <v>110.698303</v>
      </c>
      <c r="Z237">
        <v>111.58322099999999</v>
      </c>
      <c r="AA237">
        <v>112.474045</v>
      </c>
      <c r="AB237">
        <v>113.369934</v>
      </c>
      <c r="AC237">
        <v>114.270432</v>
      </c>
      <c r="AD237">
        <v>115.17746699999999</v>
      </c>
      <c r="AE237">
        <v>116.090721</v>
      </c>
      <c r="AF237">
        <v>117.009277</v>
      </c>
      <c r="AG237">
        <v>117.93248</v>
      </c>
      <c r="AH237">
        <v>118.860939</v>
      </c>
      <c r="AI237" s="31">
        <v>8.0000000000000002E-3</v>
      </c>
    </row>
    <row r="238" spans="1:35">
      <c r="A238" t="s">
        <v>444</v>
      </c>
      <c r="B238" t="s">
        <v>1984</v>
      </c>
      <c r="C238" t="s">
        <v>1985</v>
      </c>
      <c r="D238" t="s">
        <v>454</v>
      </c>
      <c r="F238">
        <v>53.707275000000003</v>
      </c>
      <c r="G238">
        <v>54.124397000000002</v>
      </c>
      <c r="H238">
        <v>54.517155000000002</v>
      </c>
      <c r="I238">
        <v>55.057952999999998</v>
      </c>
      <c r="J238">
        <v>55.602271999999999</v>
      </c>
      <c r="K238">
        <v>56.153022999999997</v>
      </c>
      <c r="L238">
        <v>56.707245</v>
      </c>
      <c r="M238">
        <v>57.267493999999999</v>
      </c>
      <c r="N238">
        <v>57.832068999999997</v>
      </c>
      <c r="O238">
        <v>58.395541999999999</v>
      </c>
      <c r="P238">
        <v>58.951411999999998</v>
      </c>
      <c r="Q238">
        <v>59.503132000000001</v>
      </c>
      <c r="R238">
        <v>60.055945999999999</v>
      </c>
      <c r="S238">
        <v>60.609138000000002</v>
      </c>
      <c r="T238">
        <v>61.15992</v>
      </c>
      <c r="U238">
        <v>61.709805000000003</v>
      </c>
      <c r="V238">
        <v>62.260795999999999</v>
      </c>
      <c r="W238">
        <v>62.813918999999999</v>
      </c>
      <c r="X238">
        <v>63.364795999999998</v>
      </c>
      <c r="Y238">
        <v>63.919387999999998</v>
      </c>
      <c r="Z238">
        <v>64.476928999999998</v>
      </c>
      <c r="AA238">
        <v>65.036681999999999</v>
      </c>
      <c r="AB238">
        <v>65.600577999999999</v>
      </c>
      <c r="AC238">
        <v>66.168068000000005</v>
      </c>
      <c r="AD238">
        <v>66.736427000000006</v>
      </c>
      <c r="AE238">
        <v>67.304244999999995</v>
      </c>
      <c r="AF238">
        <v>67.874115000000003</v>
      </c>
      <c r="AG238">
        <v>68.446205000000006</v>
      </c>
      <c r="AH238">
        <v>69.016655</v>
      </c>
      <c r="AI238" s="31">
        <v>8.9999999999999993E-3</v>
      </c>
    </row>
    <row r="239" spans="1:35">
      <c r="A239" t="s">
        <v>447</v>
      </c>
      <c r="B239" t="s">
        <v>1986</v>
      </c>
      <c r="C239" t="s">
        <v>1987</v>
      </c>
      <c r="D239" t="s">
        <v>454</v>
      </c>
      <c r="F239">
        <v>77.863677999999993</v>
      </c>
      <c r="G239">
        <v>78.969109000000003</v>
      </c>
      <c r="H239">
        <v>79.835860999999994</v>
      </c>
      <c r="I239">
        <v>80.657959000000005</v>
      </c>
      <c r="J239">
        <v>81.519676000000004</v>
      </c>
      <c r="K239">
        <v>82.249397000000002</v>
      </c>
      <c r="L239">
        <v>82.953147999999999</v>
      </c>
      <c r="M239">
        <v>83.636619999999994</v>
      </c>
      <c r="N239">
        <v>84.322136</v>
      </c>
      <c r="O239">
        <v>85.012176999999994</v>
      </c>
      <c r="P239">
        <v>85.709496000000001</v>
      </c>
      <c r="Q239">
        <v>86.412520999999998</v>
      </c>
      <c r="R239">
        <v>87.119552999999996</v>
      </c>
      <c r="S239">
        <v>87.831146000000004</v>
      </c>
      <c r="T239">
        <v>88.548659999999998</v>
      </c>
      <c r="U239">
        <v>89.271477000000004</v>
      </c>
      <c r="V239">
        <v>89.999092000000005</v>
      </c>
      <c r="W239">
        <v>90.731505999999996</v>
      </c>
      <c r="X239">
        <v>91.470969999999994</v>
      </c>
      <c r="Y239">
        <v>92.216414999999998</v>
      </c>
      <c r="Z239">
        <v>92.968033000000005</v>
      </c>
      <c r="AA239">
        <v>93.725632000000004</v>
      </c>
      <c r="AB239">
        <v>94.487938</v>
      </c>
      <c r="AC239">
        <v>95.254531999999998</v>
      </c>
      <c r="AD239">
        <v>96.027145000000004</v>
      </c>
      <c r="AE239">
        <v>96.806197999999995</v>
      </c>
      <c r="AF239">
        <v>97.590369999999993</v>
      </c>
      <c r="AG239">
        <v>98.379210999999998</v>
      </c>
      <c r="AH239">
        <v>99.173316999999997</v>
      </c>
      <c r="AI239" s="31">
        <v>8.9999999999999993E-3</v>
      </c>
    </row>
    <row r="240" spans="1:35">
      <c r="A240" t="s">
        <v>127</v>
      </c>
    </row>
    <row r="241" spans="1:35">
      <c r="A241" t="s">
        <v>442</v>
      </c>
      <c r="B241" t="s">
        <v>1988</v>
      </c>
      <c r="C241" t="s">
        <v>1989</v>
      </c>
      <c r="D241" t="s">
        <v>454</v>
      </c>
      <c r="F241">
        <v>69.404342999999997</v>
      </c>
      <c r="G241">
        <v>68.895920000000004</v>
      </c>
      <c r="H241">
        <v>68.630829000000006</v>
      </c>
      <c r="I241">
        <v>68.891907000000003</v>
      </c>
      <c r="J241">
        <v>69.300231999999994</v>
      </c>
      <c r="K241">
        <v>69.722228999999999</v>
      </c>
      <c r="L241">
        <v>70.168892</v>
      </c>
      <c r="M241">
        <v>70.613258000000002</v>
      </c>
      <c r="N241">
        <v>71.081558000000001</v>
      </c>
      <c r="O241">
        <v>71.603188000000003</v>
      </c>
      <c r="P241">
        <v>72.200873999999999</v>
      </c>
      <c r="Q241">
        <v>72.858924999999999</v>
      </c>
      <c r="R241">
        <v>73.550514000000007</v>
      </c>
      <c r="S241">
        <v>74.262778999999995</v>
      </c>
      <c r="T241">
        <v>74.988715999999997</v>
      </c>
      <c r="U241">
        <v>75.726799</v>
      </c>
      <c r="V241">
        <v>76.461326999999997</v>
      </c>
      <c r="W241">
        <v>77.176651000000007</v>
      </c>
      <c r="X241">
        <v>77.910781999999998</v>
      </c>
      <c r="Y241">
        <v>78.648719999999997</v>
      </c>
      <c r="Z241">
        <v>79.381186999999997</v>
      </c>
      <c r="AA241">
        <v>80.116866999999999</v>
      </c>
      <c r="AB241">
        <v>80.829612999999995</v>
      </c>
      <c r="AC241">
        <v>81.53801</v>
      </c>
      <c r="AD241">
        <v>82.235602999999998</v>
      </c>
      <c r="AE241">
        <v>82.927436999999998</v>
      </c>
      <c r="AF241">
        <v>83.602469999999997</v>
      </c>
      <c r="AG241">
        <v>84.259452999999993</v>
      </c>
      <c r="AH241">
        <v>84.915665000000004</v>
      </c>
      <c r="AI241" s="31">
        <v>7.0000000000000001E-3</v>
      </c>
    </row>
    <row r="242" spans="1:35">
      <c r="A242" t="s">
        <v>443</v>
      </c>
      <c r="B242" t="s">
        <v>1990</v>
      </c>
      <c r="C242" t="s">
        <v>1991</v>
      </c>
      <c r="D242" t="s">
        <v>454</v>
      </c>
      <c r="F242">
        <v>89.569159999999997</v>
      </c>
      <c r="G242">
        <v>88.941719000000006</v>
      </c>
      <c r="H242">
        <v>88.894287000000006</v>
      </c>
      <c r="I242">
        <v>89.236144999999993</v>
      </c>
      <c r="J242">
        <v>89.800033999999997</v>
      </c>
      <c r="K242">
        <v>90.115662</v>
      </c>
      <c r="L242">
        <v>90.499519000000006</v>
      </c>
      <c r="M242">
        <v>90.917557000000002</v>
      </c>
      <c r="N242">
        <v>91.391418000000002</v>
      </c>
      <c r="O242">
        <v>91.932579000000004</v>
      </c>
      <c r="P242">
        <v>92.548034999999999</v>
      </c>
      <c r="Q242">
        <v>93.305465999999996</v>
      </c>
      <c r="R242">
        <v>94.161636000000001</v>
      </c>
      <c r="S242">
        <v>95.085915</v>
      </c>
      <c r="T242">
        <v>96.011429000000007</v>
      </c>
      <c r="U242">
        <v>96.952156000000002</v>
      </c>
      <c r="V242">
        <v>97.951210000000003</v>
      </c>
      <c r="W242">
        <v>98.911338999999998</v>
      </c>
      <c r="X242">
        <v>99.875298000000001</v>
      </c>
      <c r="Y242">
        <v>100.84637499999999</v>
      </c>
      <c r="Z242">
        <v>101.832611</v>
      </c>
      <c r="AA242">
        <v>102.854393</v>
      </c>
      <c r="AB242">
        <v>103.876465</v>
      </c>
      <c r="AC242">
        <v>104.88228599999999</v>
      </c>
      <c r="AD242">
        <v>105.8536</v>
      </c>
      <c r="AE242">
        <v>106.830742</v>
      </c>
      <c r="AF242">
        <v>107.797173</v>
      </c>
      <c r="AG242">
        <v>108.74147000000001</v>
      </c>
      <c r="AH242">
        <v>109.648453</v>
      </c>
      <c r="AI242" s="31">
        <v>7.0000000000000001E-3</v>
      </c>
    </row>
    <row r="243" spans="1:35">
      <c r="A243" t="s">
        <v>444</v>
      </c>
      <c r="B243" t="s">
        <v>1992</v>
      </c>
      <c r="C243" t="s">
        <v>1993</v>
      </c>
      <c r="D243" t="s">
        <v>454</v>
      </c>
      <c r="F243">
        <v>52.032425000000003</v>
      </c>
      <c r="G243">
        <v>52.165076999999997</v>
      </c>
      <c r="H243">
        <v>52.290520000000001</v>
      </c>
      <c r="I243">
        <v>52.522742999999998</v>
      </c>
      <c r="J243">
        <v>52.811751999999998</v>
      </c>
      <c r="K243">
        <v>53.117607</v>
      </c>
      <c r="L243">
        <v>53.433143999999999</v>
      </c>
      <c r="M243">
        <v>53.777199000000003</v>
      </c>
      <c r="N243">
        <v>54.147812000000002</v>
      </c>
      <c r="O243">
        <v>54.540801999999999</v>
      </c>
      <c r="P243">
        <v>54.928631000000003</v>
      </c>
      <c r="Q243">
        <v>55.329391000000001</v>
      </c>
      <c r="R243">
        <v>55.719692000000002</v>
      </c>
      <c r="S243">
        <v>56.119872999999998</v>
      </c>
      <c r="T243">
        <v>56.527348000000003</v>
      </c>
      <c r="U243">
        <v>56.944797999999999</v>
      </c>
      <c r="V243">
        <v>57.368217000000001</v>
      </c>
      <c r="W243">
        <v>57.796500999999999</v>
      </c>
      <c r="X243">
        <v>58.240608000000002</v>
      </c>
      <c r="Y243">
        <v>58.703544999999998</v>
      </c>
      <c r="Z243">
        <v>59.166580000000003</v>
      </c>
      <c r="AA243">
        <v>59.640532999999998</v>
      </c>
      <c r="AB243">
        <v>60.111350999999999</v>
      </c>
      <c r="AC243">
        <v>60.590248000000003</v>
      </c>
      <c r="AD243">
        <v>61.072071000000001</v>
      </c>
      <c r="AE243">
        <v>61.554789999999997</v>
      </c>
      <c r="AF243">
        <v>62.04092</v>
      </c>
      <c r="AG243">
        <v>62.528530000000003</v>
      </c>
      <c r="AH243">
        <v>63.020488999999998</v>
      </c>
      <c r="AI243" s="31">
        <v>7.0000000000000001E-3</v>
      </c>
    </row>
    <row r="244" spans="1:35">
      <c r="A244" t="s">
        <v>447</v>
      </c>
      <c r="B244" t="s">
        <v>1994</v>
      </c>
      <c r="C244" t="s">
        <v>1995</v>
      </c>
      <c r="D244" t="s">
        <v>454</v>
      </c>
      <c r="F244">
        <v>72.717087000000006</v>
      </c>
      <c r="G244">
        <v>73.091971999999998</v>
      </c>
      <c r="H244">
        <v>73.492531</v>
      </c>
      <c r="I244">
        <v>74.018456</v>
      </c>
      <c r="J244">
        <v>74.683121</v>
      </c>
      <c r="K244">
        <v>75.131766999999996</v>
      </c>
      <c r="L244">
        <v>75.592140000000001</v>
      </c>
      <c r="M244">
        <v>76.024017000000001</v>
      </c>
      <c r="N244">
        <v>76.492362999999997</v>
      </c>
      <c r="O244">
        <v>77.014213999999996</v>
      </c>
      <c r="P244">
        <v>77.600960000000001</v>
      </c>
      <c r="Q244">
        <v>78.266677999999999</v>
      </c>
      <c r="R244">
        <v>78.981505999999996</v>
      </c>
      <c r="S244">
        <v>79.730591000000004</v>
      </c>
      <c r="T244">
        <v>80.489220000000003</v>
      </c>
      <c r="U244">
        <v>81.260979000000006</v>
      </c>
      <c r="V244">
        <v>82.048454000000007</v>
      </c>
      <c r="W244">
        <v>82.814575000000005</v>
      </c>
      <c r="X244">
        <v>83.594772000000006</v>
      </c>
      <c r="Y244">
        <v>84.382309000000006</v>
      </c>
      <c r="Z244">
        <v>85.171204000000003</v>
      </c>
      <c r="AA244">
        <v>85.974022000000005</v>
      </c>
      <c r="AB244">
        <v>86.764037999999999</v>
      </c>
      <c r="AC244">
        <v>87.549926999999997</v>
      </c>
      <c r="AD244">
        <v>88.321090999999996</v>
      </c>
      <c r="AE244">
        <v>89.091155999999998</v>
      </c>
      <c r="AF244">
        <v>89.849761999999998</v>
      </c>
      <c r="AG244">
        <v>90.593376000000006</v>
      </c>
      <c r="AH244">
        <v>91.328147999999999</v>
      </c>
      <c r="AI244" s="31">
        <v>8.0000000000000002E-3</v>
      </c>
    </row>
    <row r="245" spans="1:35">
      <c r="A245" t="s">
        <v>116</v>
      </c>
    </row>
    <row r="246" spans="1:35">
      <c r="A246" t="s">
        <v>448</v>
      </c>
    </row>
    <row r="247" spans="1:35">
      <c r="A247" t="s">
        <v>427</v>
      </c>
      <c r="B247" t="s">
        <v>1996</v>
      </c>
      <c r="C247" t="s">
        <v>1997</v>
      </c>
      <c r="D247" t="s">
        <v>354</v>
      </c>
      <c r="F247">
        <v>2780.3857419999999</v>
      </c>
      <c r="G247">
        <v>2985.7573240000002</v>
      </c>
      <c r="H247">
        <v>3028.8010250000002</v>
      </c>
      <c r="I247">
        <v>3034.7165530000002</v>
      </c>
      <c r="J247">
        <v>3073.5104980000001</v>
      </c>
      <c r="K247">
        <v>3111.8442380000001</v>
      </c>
      <c r="L247">
        <v>3142.173096</v>
      </c>
      <c r="M247">
        <v>3164.733154</v>
      </c>
      <c r="N247">
        <v>3180.5661620000001</v>
      </c>
      <c r="O247">
        <v>3196.413086</v>
      </c>
      <c r="P247">
        <v>3221.5686040000001</v>
      </c>
      <c r="Q247">
        <v>3248.0820309999999</v>
      </c>
      <c r="R247">
        <v>3272.0385740000002</v>
      </c>
      <c r="S247">
        <v>3300.560547</v>
      </c>
      <c r="T247">
        <v>3337.4621579999998</v>
      </c>
      <c r="U247">
        <v>3381.5327149999998</v>
      </c>
      <c r="V247">
        <v>3427.8107909999999</v>
      </c>
      <c r="W247">
        <v>3476.1276859999998</v>
      </c>
      <c r="X247">
        <v>3532.2836910000001</v>
      </c>
      <c r="Y247">
        <v>3586.0437010000001</v>
      </c>
      <c r="Z247">
        <v>3640.7380370000001</v>
      </c>
      <c r="AA247">
        <v>3696.2653810000002</v>
      </c>
      <c r="AB247">
        <v>3751.6508789999998</v>
      </c>
      <c r="AC247">
        <v>3805.5598140000002</v>
      </c>
      <c r="AD247">
        <v>3858.0747070000002</v>
      </c>
      <c r="AE247">
        <v>3914.3793949999999</v>
      </c>
      <c r="AF247">
        <v>3971.2456050000001</v>
      </c>
      <c r="AG247">
        <v>4027.2922359999998</v>
      </c>
      <c r="AH247">
        <v>4089.7993160000001</v>
      </c>
      <c r="AI247" s="31">
        <v>1.4E-2</v>
      </c>
    </row>
    <row r="248" spans="1:35">
      <c r="A248" t="s">
        <v>428</v>
      </c>
      <c r="B248" t="s">
        <v>1998</v>
      </c>
      <c r="C248" t="s">
        <v>1999</v>
      </c>
      <c r="D248" t="s">
        <v>354</v>
      </c>
      <c r="F248">
        <v>208.645813</v>
      </c>
      <c r="G248">
        <v>244.10438500000001</v>
      </c>
      <c r="H248">
        <v>267.99700899999999</v>
      </c>
      <c r="I248">
        <v>281.98382600000002</v>
      </c>
      <c r="J248">
        <v>293.084045</v>
      </c>
      <c r="K248">
        <v>302.626373</v>
      </c>
      <c r="L248">
        <v>306.38412499999998</v>
      </c>
      <c r="M248">
        <v>310.086792</v>
      </c>
      <c r="N248">
        <v>313.02474999999998</v>
      </c>
      <c r="O248">
        <v>316.04913299999998</v>
      </c>
      <c r="P248">
        <v>319.02706899999998</v>
      </c>
      <c r="Q248">
        <v>321.92867999999999</v>
      </c>
      <c r="R248">
        <v>324.786743</v>
      </c>
      <c r="S248">
        <v>327.64398199999999</v>
      </c>
      <c r="T248">
        <v>330.28103599999997</v>
      </c>
      <c r="U248">
        <v>333.12841800000001</v>
      </c>
      <c r="V248">
        <v>335.69766199999998</v>
      </c>
      <c r="W248">
        <v>338.28350799999998</v>
      </c>
      <c r="X248">
        <v>341.16531400000002</v>
      </c>
      <c r="Y248">
        <v>344.240295</v>
      </c>
      <c r="Z248">
        <v>347.39129600000001</v>
      </c>
      <c r="AA248">
        <v>350.55389400000001</v>
      </c>
      <c r="AB248">
        <v>354.091522</v>
      </c>
      <c r="AC248">
        <v>357.82122800000002</v>
      </c>
      <c r="AD248">
        <v>361.58618200000001</v>
      </c>
      <c r="AE248">
        <v>365.18158</v>
      </c>
      <c r="AF248">
        <v>368.808899</v>
      </c>
      <c r="AG248">
        <v>372.51077299999997</v>
      </c>
      <c r="AH248">
        <v>376.32229599999999</v>
      </c>
      <c r="AI248" s="31">
        <v>2.1000000000000001E-2</v>
      </c>
    </row>
    <row r="249" spans="1:35">
      <c r="A249" t="s">
        <v>1625</v>
      </c>
      <c r="B249" t="s">
        <v>2000</v>
      </c>
      <c r="C249" t="s">
        <v>2001</v>
      </c>
      <c r="D249" t="s">
        <v>354</v>
      </c>
      <c r="F249">
        <v>196.934158</v>
      </c>
      <c r="G249">
        <v>232.30671699999999</v>
      </c>
      <c r="H249">
        <v>261.84793100000002</v>
      </c>
      <c r="I249">
        <v>279.79983499999997</v>
      </c>
      <c r="J249">
        <v>295.92919899999998</v>
      </c>
      <c r="K249">
        <v>308.29476899999997</v>
      </c>
      <c r="L249">
        <v>319.13308699999999</v>
      </c>
      <c r="M249">
        <v>329.26968399999998</v>
      </c>
      <c r="N249">
        <v>339.56768799999998</v>
      </c>
      <c r="O249">
        <v>349.96786500000002</v>
      </c>
      <c r="P249">
        <v>360.54040500000002</v>
      </c>
      <c r="Q249">
        <v>370.84356700000001</v>
      </c>
      <c r="R249">
        <v>381.30542000000003</v>
      </c>
      <c r="S249">
        <v>391.86987299999998</v>
      </c>
      <c r="T249">
        <v>402.56347699999998</v>
      </c>
      <c r="U249">
        <v>413.346588</v>
      </c>
      <c r="V249">
        <v>424.15704299999999</v>
      </c>
      <c r="W249">
        <v>435.21081500000003</v>
      </c>
      <c r="X249">
        <v>446.14224200000001</v>
      </c>
      <c r="Y249">
        <v>456.85961900000001</v>
      </c>
      <c r="Z249">
        <v>467.702789</v>
      </c>
      <c r="AA249">
        <v>478.244598</v>
      </c>
      <c r="AB249">
        <v>489.21554600000002</v>
      </c>
      <c r="AC249">
        <v>500.09182700000002</v>
      </c>
      <c r="AD249">
        <v>511.115723</v>
      </c>
      <c r="AE249">
        <v>522.51269500000001</v>
      </c>
      <c r="AF249">
        <v>533.62554899999998</v>
      </c>
      <c r="AG249">
        <v>545.11084000000005</v>
      </c>
      <c r="AH249">
        <v>557.21997099999999</v>
      </c>
      <c r="AI249" s="31">
        <v>3.7999999999999999E-2</v>
      </c>
    </row>
    <row r="250" spans="1:35">
      <c r="A250" t="s">
        <v>1628</v>
      </c>
      <c r="B250" t="s">
        <v>2002</v>
      </c>
      <c r="C250" t="s">
        <v>2003</v>
      </c>
      <c r="D250" t="s">
        <v>354</v>
      </c>
      <c r="F250">
        <v>1851.2802730000001</v>
      </c>
      <c r="G250">
        <v>2344.2438959999999</v>
      </c>
      <c r="H250">
        <v>2656.310547</v>
      </c>
      <c r="I250">
        <v>2786.9978030000002</v>
      </c>
      <c r="J250">
        <v>2933.4677729999999</v>
      </c>
      <c r="K250">
        <v>2993.6411130000001</v>
      </c>
      <c r="L250">
        <v>3048.8796390000002</v>
      </c>
      <c r="M250">
        <v>3099.0534670000002</v>
      </c>
      <c r="N250">
        <v>3146.3701169999999</v>
      </c>
      <c r="O250">
        <v>3191.6606449999999</v>
      </c>
      <c r="P250">
        <v>3234.966797</v>
      </c>
      <c r="Q250">
        <v>3273.9794919999999</v>
      </c>
      <c r="R250">
        <v>3309.195068</v>
      </c>
      <c r="S250">
        <v>3338.8146969999998</v>
      </c>
      <c r="T250">
        <v>3370.470703</v>
      </c>
      <c r="U250">
        <v>3403.8549800000001</v>
      </c>
      <c r="V250">
        <v>3437.0017090000001</v>
      </c>
      <c r="W250">
        <v>3473.2641600000002</v>
      </c>
      <c r="X250">
        <v>3510.6833499999998</v>
      </c>
      <c r="Y250">
        <v>3548.211182</v>
      </c>
      <c r="Z250">
        <v>3585.3435060000002</v>
      </c>
      <c r="AA250">
        <v>3621.6083979999999</v>
      </c>
      <c r="AB250">
        <v>3658.6279300000001</v>
      </c>
      <c r="AC250">
        <v>3696.2770999999998</v>
      </c>
      <c r="AD250">
        <v>3735.7353520000001</v>
      </c>
      <c r="AE250">
        <v>3775.4865719999998</v>
      </c>
      <c r="AF250">
        <v>3816.5454100000002</v>
      </c>
      <c r="AG250">
        <v>3858.6560060000002</v>
      </c>
      <c r="AH250">
        <v>3900.7966310000002</v>
      </c>
      <c r="AI250" s="31">
        <v>2.7E-2</v>
      </c>
    </row>
    <row r="251" spans="1:35">
      <c r="A251" t="s">
        <v>1631</v>
      </c>
      <c r="B251" t="s">
        <v>2004</v>
      </c>
      <c r="C251" t="s">
        <v>2005</v>
      </c>
      <c r="D251" t="s">
        <v>354</v>
      </c>
      <c r="F251">
        <v>221.601868</v>
      </c>
      <c r="G251">
        <v>305.65100100000001</v>
      </c>
      <c r="H251">
        <v>351.91027800000001</v>
      </c>
      <c r="I251">
        <v>374.380157</v>
      </c>
      <c r="J251">
        <v>397.491669</v>
      </c>
      <c r="K251">
        <v>412.524384</v>
      </c>
      <c r="L251">
        <v>425.48336799999998</v>
      </c>
      <c r="M251">
        <v>427.36166400000002</v>
      </c>
      <c r="N251">
        <v>428.41531400000002</v>
      </c>
      <c r="O251">
        <v>428.59774800000002</v>
      </c>
      <c r="P251">
        <v>427.95602400000001</v>
      </c>
      <c r="Q251">
        <v>426.94494600000002</v>
      </c>
      <c r="R251">
        <v>425.34710699999999</v>
      </c>
      <c r="S251">
        <v>423.23867799999999</v>
      </c>
      <c r="T251">
        <v>420.81689499999999</v>
      </c>
      <c r="U251">
        <v>417.70291099999997</v>
      </c>
      <c r="V251">
        <v>414.47122200000001</v>
      </c>
      <c r="W251">
        <v>411.232483</v>
      </c>
      <c r="X251">
        <v>407.90484600000002</v>
      </c>
      <c r="Y251">
        <v>404.43249500000002</v>
      </c>
      <c r="Z251">
        <v>400.351135</v>
      </c>
      <c r="AA251">
        <v>396.24203499999999</v>
      </c>
      <c r="AB251">
        <v>392.20419299999998</v>
      </c>
      <c r="AC251">
        <v>388.33065800000003</v>
      </c>
      <c r="AD251">
        <v>384.79718000000003</v>
      </c>
      <c r="AE251">
        <v>381.531342</v>
      </c>
      <c r="AF251">
        <v>378.61096199999997</v>
      </c>
      <c r="AG251">
        <v>376.006012</v>
      </c>
      <c r="AH251">
        <v>373.66793799999999</v>
      </c>
      <c r="AI251" s="31">
        <v>1.9E-2</v>
      </c>
    </row>
    <row r="252" spans="1:35">
      <c r="A252" t="s">
        <v>1634</v>
      </c>
      <c r="B252" t="s">
        <v>2006</v>
      </c>
      <c r="C252" t="s">
        <v>2007</v>
      </c>
      <c r="D252" t="s">
        <v>354</v>
      </c>
      <c r="F252">
        <v>168.51355000000001</v>
      </c>
      <c r="G252">
        <v>237.92446899999999</v>
      </c>
      <c r="H252">
        <v>289.254547</v>
      </c>
      <c r="I252">
        <v>320.81323200000003</v>
      </c>
      <c r="J252">
        <v>346.70153800000003</v>
      </c>
      <c r="K252">
        <v>364.45755000000003</v>
      </c>
      <c r="L252">
        <v>380.39138800000001</v>
      </c>
      <c r="M252">
        <v>389.99795499999999</v>
      </c>
      <c r="N252">
        <v>399.15072600000002</v>
      </c>
      <c r="O252">
        <v>408.00769000000003</v>
      </c>
      <c r="P252">
        <v>416.19485500000002</v>
      </c>
      <c r="Q252">
        <v>423.83029199999999</v>
      </c>
      <c r="R252">
        <v>430.96533199999999</v>
      </c>
      <c r="S252">
        <v>437.64898699999998</v>
      </c>
      <c r="T252">
        <v>444.06417800000003</v>
      </c>
      <c r="U252">
        <v>449.59255999999999</v>
      </c>
      <c r="V252">
        <v>454.55630500000001</v>
      </c>
      <c r="W252">
        <v>459.60629299999999</v>
      </c>
      <c r="X252">
        <v>464.62707499999999</v>
      </c>
      <c r="Y252">
        <v>470.443085</v>
      </c>
      <c r="Z252">
        <v>476.091858</v>
      </c>
      <c r="AA252">
        <v>481.87719700000002</v>
      </c>
      <c r="AB252">
        <v>487.620544</v>
      </c>
      <c r="AC252">
        <v>493.388824</v>
      </c>
      <c r="AD252">
        <v>499.60229500000003</v>
      </c>
      <c r="AE252">
        <v>505.96167000000003</v>
      </c>
      <c r="AF252">
        <v>512.96533199999999</v>
      </c>
      <c r="AG252">
        <v>520.19604500000003</v>
      </c>
      <c r="AH252">
        <v>527.62707499999999</v>
      </c>
      <c r="AI252" s="31">
        <v>4.2000000000000003E-2</v>
      </c>
    </row>
    <row r="253" spans="1:35">
      <c r="A253" t="s">
        <v>1637</v>
      </c>
      <c r="B253" t="s">
        <v>2008</v>
      </c>
      <c r="C253" t="s">
        <v>2009</v>
      </c>
      <c r="D253" t="s">
        <v>354</v>
      </c>
      <c r="F253">
        <v>179.126678</v>
      </c>
      <c r="G253">
        <v>215.03079199999999</v>
      </c>
      <c r="H253">
        <v>244.060822</v>
      </c>
      <c r="I253">
        <v>261.45654300000001</v>
      </c>
      <c r="J253">
        <v>280.28369099999998</v>
      </c>
      <c r="K253">
        <v>292.36175500000002</v>
      </c>
      <c r="L253">
        <v>302.99865699999998</v>
      </c>
      <c r="M253">
        <v>308.74017300000003</v>
      </c>
      <c r="N253">
        <v>313.805115</v>
      </c>
      <c r="O253">
        <v>316.84539799999999</v>
      </c>
      <c r="P253">
        <v>317.10681199999999</v>
      </c>
      <c r="Q253">
        <v>316.64288299999998</v>
      </c>
      <c r="R253">
        <v>315.78216600000002</v>
      </c>
      <c r="S253">
        <v>314.73529100000002</v>
      </c>
      <c r="T253">
        <v>313.11498999999998</v>
      </c>
      <c r="U253">
        <v>311.12240600000001</v>
      </c>
      <c r="V253">
        <v>308.86721799999998</v>
      </c>
      <c r="W253">
        <v>306.44967700000001</v>
      </c>
      <c r="X253">
        <v>304.52310199999999</v>
      </c>
      <c r="Y253">
        <v>302.85192899999998</v>
      </c>
      <c r="Z253">
        <v>301.93472300000002</v>
      </c>
      <c r="AA253">
        <v>301.031586</v>
      </c>
      <c r="AB253">
        <v>299.95602400000001</v>
      </c>
      <c r="AC253">
        <v>298.817047</v>
      </c>
      <c r="AD253">
        <v>298.03195199999999</v>
      </c>
      <c r="AE253">
        <v>296.93994099999998</v>
      </c>
      <c r="AF253">
        <v>296.07199100000003</v>
      </c>
      <c r="AG253">
        <v>295.05017099999998</v>
      </c>
      <c r="AH253">
        <v>294.96356200000002</v>
      </c>
      <c r="AI253" s="31">
        <v>1.7999999999999999E-2</v>
      </c>
    </row>
    <row r="254" spans="1:35">
      <c r="A254" t="s">
        <v>1640</v>
      </c>
      <c r="B254" t="s">
        <v>2010</v>
      </c>
      <c r="C254" t="s">
        <v>2011</v>
      </c>
      <c r="D254" t="s">
        <v>354</v>
      </c>
      <c r="F254">
        <v>416.00412</v>
      </c>
      <c r="G254">
        <v>435.07611100000003</v>
      </c>
      <c r="H254">
        <v>459.97994999999997</v>
      </c>
      <c r="I254">
        <v>476.07449300000002</v>
      </c>
      <c r="J254">
        <v>489.50857500000001</v>
      </c>
      <c r="K254">
        <v>497.90765399999998</v>
      </c>
      <c r="L254">
        <v>504.07409699999999</v>
      </c>
      <c r="M254">
        <v>508.27261399999998</v>
      </c>
      <c r="N254">
        <v>511.631958</v>
      </c>
      <c r="O254">
        <v>515.64855999999997</v>
      </c>
      <c r="P254">
        <v>519.63006600000006</v>
      </c>
      <c r="Q254">
        <v>523.36047399999995</v>
      </c>
      <c r="R254">
        <v>527.20733600000005</v>
      </c>
      <c r="S254">
        <v>531.08386199999995</v>
      </c>
      <c r="T254">
        <v>534.912598</v>
      </c>
      <c r="U254">
        <v>538.74658199999999</v>
      </c>
      <c r="V254">
        <v>542.65185499999995</v>
      </c>
      <c r="W254">
        <v>546.45281999999997</v>
      </c>
      <c r="X254">
        <v>549.711365</v>
      </c>
      <c r="Y254">
        <v>553.53753700000004</v>
      </c>
      <c r="Z254">
        <v>557.36541699999998</v>
      </c>
      <c r="AA254">
        <v>561.29571499999997</v>
      </c>
      <c r="AB254">
        <v>565.61267099999998</v>
      </c>
      <c r="AC254">
        <v>569.73651099999995</v>
      </c>
      <c r="AD254">
        <v>573.75341800000001</v>
      </c>
      <c r="AE254">
        <v>578.07080099999996</v>
      </c>
      <c r="AF254">
        <v>582.46887200000003</v>
      </c>
      <c r="AG254">
        <v>586.97009300000002</v>
      </c>
      <c r="AH254">
        <v>591.20471199999997</v>
      </c>
      <c r="AI254" s="31">
        <v>1.2999999999999999E-2</v>
      </c>
    </row>
    <row r="255" spans="1:35">
      <c r="A255" t="s">
        <v>1643</v>
      </c>
      <c r="B255" t="s">
        <v>2012</v>
      </c>
      <c r="C255" t="s">
        <v>2013</v>
      </c>
      <c r="D255" t="s">
        <v>354</v>
      </c>
      <c r="F255">
        <v>73.955650000000006</v>
      </c>
      <c r="G255">
        <v>95.126662999999994</v>
      </c>
      <c r="H255">
        <v>115.192429</v>
      </c>
      <c r="I255">
        <v>129.06636</v>
      </c>
      <c r="J255">
        <v>140.716995</v>
      </c>
      <c r="K255">
        <v>147.306015</v>
      </c>
      <c r="L255">
        <v>152.34046900000001</v>
      </c>
      <c r="M255">
        <v>156.239395</v>
      </c>
      <c r="N255">
        <v>159.975357</v>
      </c>
      <c r="O255">
        <v>163.19773900000001</v>
      </c>
      <c r="P255">
        <v>165.568085</v>
      </c>
      <c r="Q255">
        <v>167.91790800000001</v>
      </c>
      <c r="R255">
        <v>170.270218</v>
      </c>
      <c r="S255">
        <v>172.59960899999999</v>
      </c>
      <c r="T255">
        <v>174.98753400000001</v>
      </c>
      <c r="U255">
        <v>177.488541</v>
      </c>
      <c r="V255">
        <v>180.11563100000001</v>
      </c>
      <c r="W255">
        <v>182.86473100000001</v>
      </c>
      <c r="X255">
        <v>185.54518100000001</v>
      </c>
      <c r="Y255">
        <v>188.11949200000001</v>
      </c>
      <c r="Z255">
        <v>190.94824199999999</v>
      </c>
      <c r="AA255">
        <v>193.95942700000001</v>
      </c>
      <c r="AB255">
        <v>197.024719</v>
      </c>
      <c r="AC255">
        <v>200.15832499999999</v>
      </c>
      <c r="AD255">
        <v>203.33165</v>
      </c>
      <c r="AE255">
        <v>206.593491</v>
      </c>
      <c r="AF255">
        <v>209.972916</v>
      </c>
      <c r="AG255">
        <v>213.53128100000001</v>
      </c>
      <c r="AH255">
        <v>217.14962800000001</v>
      </c>
      <c r="AI255" s="31">
        <v>3.9E-2</v>
      </c>
    </row>
    <row r="256" spans="1:35">
      <c r="A256" t="s">
        <v>435</v>
      </c>
      <c r="B256" t="s">
        <v>2014</v>
      </c>
      <c r="C256" t="s">
        <v>2015</v>
      </c>
      <c r="D256" t="s">
        <v>354</v>
      </c>
      <c r="F256">
        <v>1451.1182859999999</v>
      </c>
      <c r="G256">
        <v>1448.4776609999999</v>
      </c>
      <c r="H256">
        <v>1460.338379</v>
      </c>
      <c r="I256">
        <v>1552.7242429999999</v>
      </c>
      <c r="J256">
        <v>1648.0225829999999</v>
      </c>
      <c r="K256">
        <v>1734.6660159999999</v>
      </c>
      <c r="L256">
        <v>1815.9964600000001</v>
      </c>
      <c r="M256">
        <v>1896.059448</v>
      </c>
      <c r="N256">
        <v>1974.168091</v>
      </c>
      <c r="O256">
        <v>2049.9370119999999</v>
      </c>
      <c r="P256">
        <v>2125.3466800000001</v>
      </c>
      <c r="Q256">
        <v>2198.2224120000001</v>
      </c>
      <c r="R256">
        <v>2269.7983399999998</v>
      </c>
      <c r="S256">
        <v>2340.0966800000001</v>
      </c>
      <c r="T256">
        <v>2409.6188959999999</v>
      </c>
      <c r="U256">
        <v>2477.8977049999999</v>
      </c>
      <c r="V256">
        <v>2545.1379390000002</v>
      </c>
      <c r="W256">
        <v>2612.1066890000002</v>
      </c>
      <c r="X256">
        <v>2678.4179690000001</v>
      </c>
      <c r="Y256">
        <v>2744.9497070000002</v>
      </c>
      <c r="Z256">
        <v>2813.2739259999998</v>
      </c>
      <c r="AA256">
        <v>2881.1601559999999</v>
      </c>
      <c r="AB256">
        <v>2947.9079590000001</v>
      </c>
      <c r="AC256">
        <v>3013.438721</v>
      </c>
      <c r="AD256">
        <v>3077.5346679999998</v>
      </c>
      <c r="AE256">
        <v>3140.7070309999999</v>
      </c>
      <c r="AF256">
        <v>3203.1733399999998</v>
      </c>
      <c r="AG256">
        <v>3264.3950199999999</v>
      </c>
      <c r="AH256">
        <v>3322.8706050000001</v>
      </c>
      <c r="AI256" s="31">
        <v>0.03</v>
      </c>
    </row>
    <row r="257" spans="1:36">
      <c r="A257" t="s">
        <v>1648</v>
      </c>
      <c r="B257" t="s">
        <v>2016</v>
      </c>
      <c r="C257" t="s">
        <v>2017</v>
      </c>
      <c r="D257" t="s">
        <v>354</v>
      </c>
      <c r="F257">
        <v>208.97879</v>
      </c>
      <c r="G257">
        <v>254.292068</v>
      </c>
      <c r="H257">
        <v>286.61102299999999</v>
      </c>
      <c r="I257">
        <v>309.37872299999998</v>
      </c>
      <c r="J257">
        <v>342.33682299999998</v>
      </c>
      <c r="K257">
        <v>370.96890300000001</v>
      </c>
      <c r="L257">
        <v>398.87280299999998</v>
      </c>
      <c r="M257">
        <v>428.155731</v>
      </c>
      <c r="N257">
        <v>457.75784299999998</v>
      </c>
      <c r="O257">
        <v>487.02401700000001</v>
      </c>
      <c r="P257">
        <v>515.97143600000004</v>
      </c>
      <c r="Q257">
        <v>544.28241000000003</v>
      </c>
      <c r="R257">
        <v>571.83215299999995</v>
      </c>
      <c r="S257">
        <v>598.52832000000001</v>
      </c>
      <c r="T257">
        <v>624.42962599999998</v>
      </c>
      <c r="U257">
        <v>650.14923099999999</v>
      </c>
      <c r="V257">
        <v>675.95190400000001</v>
      </c>
      <c r="W257">
        <v>702.09271200000001</v>
      </c>
      <c r="X257">
        <v>728.36053500000003</v>
      </c>
      <c r="Y257">
        <v>754.63989300000003</v>
      </c>
      <c r="Z257">
        <v>780.98950200000002</v>
      </c>
      <c r="AA257">
        <v>807.26147500000002</v>
      </c>
      <c r="AB257">
        <v>833.47289999999998</v>
      </c>
      <c r="AC257">
        <v>859.46899399999995</v>
      </c>
      <c r="AD257">
        <v>885.26336700000002</v>
      </c>
      <c r="AE257">
        <v>910.78649900000005</v>
      </c>
      <c r="AF257">
        <v>935.97699</v>
      </c>
      <c r="AG257">
        <v>960.82641599999999</v>
      </c>
      <c r="AH257">
        <v>985.28186000000005</v>
      </c>
      <c r="AI257" s="31">
        <v>5.7000000000000002E-2</v>
      </c>
    </row>
    <row r="258" spans="1:36">
      <c r="A258" t="s">
        <v>1651</v>
      </c>
      <c r="B258" t="s">
        <v>2018</v>
      </c>
      <c r="C258" t="s">
        <v>2019</v>
      </c>
      <c r="D258" t="s">
        <v>354</v>
      </c>
      <c r="F258">
        <v>867.03515600000003</v>
      </c>
      <c r="G258">
        <v>1072.595703</v>
      </c>
      <c r="H258">
        <v>1236.2861330000001</v>
      </c>
      <c r="I258">
        <v>1338.03772</v>
      </c>
      <c r="J258">
        <v>1461.0483400000001</v>
      </c>
      <c r="K258">
        <v>1545.8792719999999</v>
      </c>
      <c r="L258">
        <v>1622.678467</v>
      </c>
      <c r="M258">
        <v>1683.805298</v>
      </c>
      <c r="N258">
        <v>1743.7689210000001</v>
      </c>
      <c r="O258">
        <v>1802.757202</v>
      </c>
      <c r="P258">
        <v>1861.040039</v>
      </c>
      <c r="Q258">
        <v>1918.223389</v>
      </c>
      <c r="R258">
        <v>1974.3983149999999</v>
      </c>
      <c r="S258">
        <v>2029.987183</v>
      </c>
      <c r="T258">
        <v>2083.4384770000001</v>
      </c>
      <c r="U258">
        <v>2137.2441410000001</v>
      </c>
      <c r="V258">
        <v>2190.7312010000001</v>
      </c>
      <c r="W258">
        <v>2245.4086910000001</v>
      </c>
      <c r="X258">
        <v>2301.0671390000002</v>
      </c>
      <c r="Y258">
        <v>2356.5280760000001</v>
      </c>
      <c r="Z258">
        <v>2412.4572750000002</v>
      </c>
      <c r="AA258">
        <v>2468.8115229999999</v>
      </c>
      <c r="AB258">
        <v>2525.983154</v>
      </c>
      <c r="AC258">
        <v>2583.9116210000002</v>
      </c>
      <c r="AD258">
        <v>2641.3608399999998</v>
      </c>
      <c r="AE258">
        <v>2699.47876</v>
      </c>
      <c r="AF258">
        <v>2758.8125</v>
      </c>
      <c r="AG258">
        <v>2819.6669919999999</v>
      </c>
      <c r="AH258">
        <v>2881.930664</v>
      </c>
      <c r="AI258" s="31">
        <v>4.3999999999999997E-2</v>
      </c>
    </row>
    <row r="259" spans="1:36">
      <c r="A259" t="s">
        <v>1654</v>
      </c>
      <c r="B259" t="s">
        <v>2020</v>
      </c>
      <c r="C259" t="s">
        <v>2021</v>
      </c>
      <c r="D259" t="s">
        <v>354</v>
      </c>
      <c r="F259">
        <v>346.51025399999997</v>
      </c>
      <c r="G259">
        <v>460.98516799999999</v>
      </c>
      <c r="H259">
        <v>586.89025900000001</v>
      </c>
      <c r="I259">
        <v>680.533997</v>
      </c>
      <c r="J259">
        <v>748.53832999999997</v>
      </c>
      <c r="K259">
        <v>794.39892599999996</v>
      </c>
      <c r="L259">
        <v>837.76019299999996</v>
      </c>
      <c r="M259">
        <v>872.31732199999999</v>
      </c>
      <c r="N259">
        <v>907.20416299999999</v>
      </c>
      <c r="O259">
        <v>941.03716999999995</v>
      </c>
      <c r="P259">
        <v>973.77050799999995</v>
      </c>
      <c r="Q259">
        <v>1006.571594</v>
      </c>
      <c r="R259">
        <v>1039.2143550000001</v>
      </c>
      <c r="S259">
        <v>1072.2879640000001</v>
      </c>
      <c r="T259">
        <v>1105.6850589999999</v>
      </c>
      <c r="U259">
        <v>1138.0900879999999</v>
      </c>
      <c r="V259">
        <v>1171.398682</v>
      </c>
      <c r="W259">
        <v>1205.82251</v>
      </c>
      <c r="X259">
        <v>1241.3045649999999</v>
      </c>
      <c r="Y259">
        <v>1277.2060550000001</v>
      </c>
      <c r="Z259">
        <v>1314.159668</v>
      </c>
      <c r="AA259">
        <v>1352.1051030000001</v>
      </c>
      <c r="AB259">
        <v>1390.8477780000001</v>
      </c>
      <c r="AC259">
        <v>1431.080322</v>
      </c>
      <c r="AD259">
        <v>1472.3236079999999</v>
      </c>
      <c r="AE259">
        <v>1514.3946530000001</v>
      </c>
      <c r="AF259">
        <v>1557.846436</v>
      </c>
      <c r="AG259">
        <v>1603.0229489999999</v>
      </c>
      <c r="AH259">
        <v>1649.9516599999999</v>
      </c>
      <c r="AI259" s="31">
        <v>5.7000000000000002E-2</v>
      </c>
    </row>
    <row r="260" spans="1:36">
      <c r="A260" t="s">
        <v>432</v>
      </c>
      <c r="B260" t="s">
        <v>2022</v>
      </c>
      <c r="C260" t="s">
        <v>2023</v>
      </c>
      <c r="D260" t="s">
        <v>354</v>
      </c>
      <c r="F260">
        <v>238.01660200000001</v>
      </c>
      <c r="G260">
        <v>292.01559400000002</v>
      </c>
      <c r="H260">
        <v>342.62622099999999</v>
      </c>
      <c r="I260">
        <v>371.09878500000002</v>
      </c>
      <c r="J260">
        <v>397.24188199999998</v>
      </c>
      <c r="K260">
        <v>415.29754600000001</v>
      </c>
      <c r="L260">
        <v>430.12527499999999</v>
      </c>
      <c r="M260">
        <v>445.471924</v>
      </c>
      <c r="N260">
        <v>461.20977800000003</v>
      </c>
      <c r="O260">
        <v>477.47970600000002</v>
      </c>
      <c r="P260">
        <v>493.92965700000002</v>
      </c>
      <c r="Q260">
        <v>509.80444299999999</v>
      </c>
      <c r="R260">
        <v>525.89868200000001</v>
      </c>
      <c r="S260">
        <v>542.28320299999996</v>
      </c>
      <c r="T260">
        <v>559.28747599999997</v>
      </c>
      <c r="U260">
        <v>576.76782200000002</v>
      </c>
      <c r="V260">
        <v>594.41863999999998</v>
      </c>
      <c r="W260">
        <v>611.94549600000005</v>
      </c>
      <c r="X260">
        <v>629.67645300000004</v>
      </c>
      <c r="Y260">
        <v>648.33166500000004</v>
      </c>
      <c r="Z260">
        <v>667.59130900000002</v>
      </c>
      <c r="AA260">
        <v>686.76452600000005</v>
      </c>
      <c r="AB260">
        <v>705.953125</v>
      </c>
      <c r="AC260">
        <v>725.06225600000005</v>
      </c>
      <c r="AD260">
        <v>745.34143100000006</v>
      </c>
      <c r="AE260">
        <v>766.22436500000003</v>
      </c>
      <c r="AF260">
        <v>786.81048599999997</v>
      </c>
      <c r="AG260">
        <v>807.81488000000002</v>
      </c>
      <c r="AH260">
        <v>829.29736300000002</v>
      </c>
      <c r="AI260" s="31">
        <v>4.5999999999999999E-2</v>
      </c>
    </row>
    <row r="261" spans="1:36">
      <c r="A261" t="s">
        <v>1659</v>
      </c>
      <c r="B261" t="s">
        <v>2024</v>
      </c>
      <c r="C261" t="s">
        <v>2025</v>
      </c>
      <c r="D261" t="s">
        <v>354</v>
      </c>
      <c r="F261">
        <v>177.623413</v>
      </c>
      <c r="G261">
        <v>195.50058000000001</v>
      </c>
      <c r="H261">
        <v>207.707291</v>
      </c>
      <c r="I261">
        <v>217.55487099999999</v>
      </c>
      <c r="J261">
        <v>226.44786099999999</v>
      </c>
      <c r="K261">
        <v>232.75968900000001</v>
      </c>
      <c r="L261">
        <v>237.95294200000001</v>
      </c>
      <c r="M261">
        <v>242.19709800000001</v>
      </c>
      <c r="N261">
        <v>245.968491</v>
      </c>
      <c r="O261">
        <v>248.83398399999999</v>
      </c>
      <c r="P261">
        <v>251.384018</v>
      </c>
      <c r="Q261">
        <v>253.604691</v>
      </c>
      <c r="R261">
        <v>255.25396699999999</v>
      </c>
      <c r="S261">
        <v>256.37383999999997</v>
      </c>
      <c r="T261">
        <v>256.94958500000001</v>
      </c>
      <c r="U261">
        <v>257.154877</v>
      </c>
      <c r="V261">
        <v>257.03921500000001</v>
      </c>
      <c r="W261">
        <v>257.08990499999999</v>
      </c>
      <c r="X261">
        <v>256.81127900000001</v>
      </c>
      <c r="Y261">
        <v>256.21752900000001</v>
      </c>
      <c r="Z261">
        <v>255.38690199999999</v>
      </c>
      <c r="AA261">
        <v>254.49252300000001</v>
      </c>
      <c r="AB261">
        <v>253.54028299999999</v>
      </c>
      <c r="AC261">
        <v>252.629974</v>
      </c>
      <c r="AD261">
        <v>251.59161399999999</v>
      </c>
      <c r="AE261">
        <v>250.509827</v>
      </c>
      <c r="AF261">
        <v>249.387283</v>
      </c>
      <c r="AG261">
        <v>248.32836900000001</v>
      </c>
      <c r="AH261">
        <v>247.25846899999999</v>
      </c>
      <c r="AI261" s="31">
        <v>1.2E-2</v>
      </c>
    </row>
    <row r="262" spans="1:36">
      <c r="A262" t="s">
        <v>1662</v>
      </c>
      <c r="B262" t="s">
        <v>2026</v>
      </c>
      <c r="C262" t="s">
        <v>2027</v>
      </c>
      <c r="D262" t="s">
        <v>354</v>
      </c>
      <c r="F262">
        <v>150.97995</v>
      </c>
      <c r="G262">
        <v>189.41577100000001</v>
      </c>
      <c r="H262">
        <v>218.397324</v>
      </c>
      <c r="I262">
        <v>236.57075499999999</v>
      </c>
      <c r="J262">
        <v>251.664703</v>
      </c>
      <c r="K262">
        <v>261.595215</v>
      </c>
      <c r="L262">
        <v>269.52786300000002</v>
      </c>
      <c r="M262">
        <v>276.52914399999997</v>
      </c>
      <c r="N262">
        <v>283.311218</v>
      </c>
      <c r="O262">
        <v>289.19650300000001</v>
      </c>
      <c r="P262">
        <v>295.22125199999999</v>
      </c>
      <c r="Q262">
        <v>301.240814</v>
      </c>
      <c r="R262">
        <v>307.54827899999998</v>
      </c>
      <c r="S262">
        <v>314.18032799999997</v>
      </c>
      <c r="T262">
        <v>320.89300500000002</v>
      </c>
      <c r="U262">
        <v>328.12811299999998</v>
      </c>
      <c r="V262">
        <v>335.20141599999999</v>
      </c>
      <c r="W262">
        <v>342.67227200000002</v>
      </c>
      <c r="X262">
        <v>350.03781099999998</v>
      </c>
      <c r="Y262">
        <v>357.897919</v>
      </c>
      <c r="Z262">
        <v>365.842804</v>
      </c>
      <c r="AA262">
        <v>373.88610799999998</v>
      </c>
      <c r="AB262">
        <v>382.03723100000002</v>
      </c>
      <c r="AC262">
        <v>389.91238399999997</v>
      </c>
      <c r="AD262">
        <v>398.19494600000002</v>
      </c>
      <c r="AE262">
        <v>406.56213400000001</v>
      </c>
      <c r="AF262">
        <v>415.03152499999999</v>
      </c>
      <c r="AG262">
        <v>423.346497</v>
      </c>
      <c r="AH262">
        <v>431.970215</v>
      </c>
      <c r="AI262" s="31">
        <v>3.7999999999999999E-2</v>
      </c>
    </row>
    <row r="263" spans="1:36">
      <c r="A263" t="s">
        <v>118</v>
      </c>
      <c r="B263" t="s">
        <v>2028</v>
      </c>
      <c r="C263" t="s">
        <v>2029</v>
      </c>
      <c r="D263" t="s">
        <v>354</v>
      </c>
      <c r="F263">
        <v>9536.7089840000008</v>
      </c>
      <c r="G263">
        <v>11008.503906</v>
      </c>
      <c r="H263">
        <v>12014.211914</v>
      </c>
      <c r="I263">
        <v>12651.188477</v>
      </c>
      <c r="J263">
        <v>13325.995117</v>
      </c>
      <c r="K263">
        <v>13786.527344</v>
      </c>
      <c r="L263">
        <v>14194.772461</v>
      </c>
      <c r="M263">
        <v>14538.291015999999</v>
      </c>
      <c r="N263">
        <v>14865.896484000001</v>
      </c>
      <c r="O263">
        <v>15182.652344</v>
      </c>
      <c r="P263">
        <v>15499.222656</v>
      </c>
      <c r="Q263">
        <v>15805.480469</v>
      </c>
      <c r="R263">
        <v>16100.840819999999</v>
      </c>
      <c r="S263">
        <v>16391.933593999998</v>
      </c>
      <c r="T263">
        <v>16688.974609000001</v>
      </c>
      <c r="U263">
        <v>16991.947265999999</v>
      </c>
      <c r="V263">
        <v>17295.207031000002</v>
      </c>
      <c r="W263">
        <v>17606.628906000002</v>
      </c>
      <c r="X263">
        <v>17928.259765999999</v>
      </c>
      <c r="Y263">
        <v>18250.509765999999</v>
      </c>
      <c r="Z263">
        <v>18577.568359000001</v>
      </c>
      <c r="AA263">
        <v>18905.558593999998</v>
      </c>
      <c r="AB263">
        <v>19235.746093999998</v>
      </c>
      <c r="AC263">
        <v>19565.685547000001</v>
      </c>
      <c r="AD263">
        <v>19897.642577999999</v>
      </c>
      <c r="AE263">
        <v>20235.322265999999</v>
      </c>
      <c r="AF263">
        <v>20577.353515999999</v>
      </c>
      <c r="AG263">
        <v>20922.722656000002</v>
      </c>
      <c r="AH263">
        <v>21277.3125</v>
      </c>
      <c r="AI263" s="31">
        <v>2.9000000000000001E-2</v>
      </c>
    </row>
    <row r="264" spans="1:36">
      <c r="A264" t="s">
        <v>449</v>
      </c>
      <c r="B264" t="s">
        <v>450</v>
      </c>
      <c r="C264" t="s">
        <v>2030</v>
      </c>
      <c r="D264" t="s">
        <v>2031</v>
      </c>
      <c r="E264" t="s">
        <v>354</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31">
        <v>0</v>
      </c>
    </row>
    <row r="265" spans="1:36">
      <c r="A265" t="s">
        <v>451</v>
      </c>
      <c r="B265" t="s">
        <v>450</v>
      </c>
      <c r="C265" t="s">
        <v>2032</v>
      </c>
      <c r="D265" t="s">
        <v>2033</v>
      </c>
      <c r="E265" t="s">
        <v>354</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31">
        <v>1E-3</v>
      </c>
    </row>
  </sheetData>
  <pageMargins left="0.75" right="0.75" top="1" bottom="1" header="0.5" footer="0.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E3E3-5BE9-4BE7-BAF8-1904C9C21890}">
  <dimension ref="A1:AK191"/>
  <sheetViews>
    <sheetView workbookViewId="0"/>
  </sheetViews>
  <sheetFormatPr defaultRowHeight="15" customHeight="1"/>
  <cols>
    <col min="1" max="1" width="44.42578125" customWidth="1"/>
  </cols>
  <sheetData>
    <row r="1" spans="1:37" ht="15" customHeight="1">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c r="AI1" t="s">
        <v>1079</v>
      </c>
    </row>
    <row r="10" spans="1:37">
      <c r="A10" t="s">
        <v>455</v>
      </c>
    </row>
    <row r="11" spans="1:37">
      <c r="A11" t="s">
        <v>2034</v>
      </c>
    </row>
    <row r="12" spans="1:37">
      <c r="A12" t="s">
        <v>2035</v>
      </c>
    </row>
    <row r="13" spans="1:37">
      <c r="A13" t="s">
        <v>302</v>
      </c>
    </row>
    <row r="14" spans="1:37">
      <c r="B14" t="s">
        <v>303</v>
      </c>
      <c r="C14" t="s">
        <v>351</v>
      </c>
      <c r="D14" t="s">
        <v>352</v>
      </c>
      <c r="E14">
        <v>2021</v>
      </c>
      <c r="F14">
        <v>2022</v>
      </c>
      <c r="G14">
        <v>2023</v>
      </c>
      <c r="H14">
        <v>2024</v>
      </c>
      <c r="I14">
        <v>2025</v>
      </c>
      <c r="J14">
        <v>2026</v>
      </c>
      <c r="K14">
        <v>2027</v>
      </c>
      <c r="L14">
        <v>2028</v>
      </c>
      <c r="M14">
        <v>2029</v>
      </c>
      <c r="N14">
        <v>2030</v>
      </c>
      <c r="O14">
        <v>2031</v>
      </c>
      <c r="P14">
        <v>2032</v>
      </c>
      <c r="Q14">
        <v>2033</v>
      </c>
      <c r="R14">
        <v>2034</v>
      </c>
      <c r="S14">
        <v>2035</v>
      </c>
      <c r="T14">
        <v>2036</v>
      </c>
      <c r="U14">
        <v>2037</v>
      </c>
      <c r="V14">
        <v>2038</v>
      </c>
      <c r="W14">
        <v>2039</v>
      </c>
      <c r="X14">
        <v>2040</v>
      </c>
      <c r="Y14">
        <v>2041</v>
      </c>
      <c r="Z14">
        <v>2042</v>
      </c>
      <c r="AA14">
        <v>2043</v>
      </c>
      <c r="AB14">
        <v>2044</v>
      </c>
      <c r="AC14">
        <v>2045</v>
      </c>
      <c r="AD14">
        <v>2046</v>
      </c>
      <c r="AE14">
        <v>2047</v>
      </c>
      <c r="AF14">
        <v>2048</v>
      </c>
      <c r="AG14">
        <v>2049</v>
      </c>
      <c r="AH14">
        <v>2050</v>
      </c>
      <c r="AI14" t="s">
        <v>1079</v>
      </c>
    </row>
    <row r="15" spans="1:37">
      <c r="A15" t="s">
        <v>127</v>
      </c>
    </row>
    <row r="16" spans="1:37">
      <c r="A16" t="s">
        <v>427</v>
      </c>
      <c r="B16" t="s">
        <v>2036</v>
      </c>
      <c r="C16" t="s">
        <v>2037</v>
      </c>
      <c r="D16" t="s">
        <v>352</v>
      </c>
      <c r="F16">
        <v>8417.4228519999997</v>
      </c>
      <c r="G16">
        <v>8744.3818360000005</v>
      </c>
      <c r="H16">
        <v>8724.5507809999999</v>
      </c>
      <c r="I16">
        <v>8650.2841800000006</v>
      </c>
      <c r="J16">
        <v>8751.3476559999999</v>
      </c>
      <c r="K16">
        <v>8859.109375</v>
      </c>
      <c r="L16">
        <v>8953.6679690000001</v>
      </c>
      <c r="M16">
        <v>9029.546875</v>
      </c>
      <c r="N16">
        <v>9088.5722659999992</v>
      </c>
      <c r="O16">
        <v>9156.734375</v>
      </c>
      <c r="P16">
        <v>9265.4619139999995</v>
      </c>
      <c r="Q16">
        <v>9398.5556639999995</v>
      </c>
      <c r="R16">
        <v>9532.7480469999991</v>
      </c>
      <c r="S16">
        <v>9671.5986329999996</v>
      </c>
      <c r="T16">
        <v>9829.265625</v>
      </c>
      <c r="U16">
        <v>10005.096680000001</v>
      </c>
      <c r="V16">
        <v>10190.660156</v>
      </c>
      <c r="W16">
        <v>10381.003906</v>
      </c>
      <c r="X16">
        <v>10599.732421999999</v>
      </c>
      <c r="Y16">
        <v>10819.25</v>
      </c>
      <c r="Z16">
        <v>11045.252930000001</v>
      </c>
      <c r="AA16">
        <v>11280.291992</v>
      </c>
      <c r="AB16">
        <v>11511.640625</v>
      </c>
      <c r="AC16">
        <v>11739.291015999999</v>
      </c>
      <c r="AD16">
        <v>11972.834961</v>
      </c>
      <c r="AE16">
        <v>12224.970703000001</v>
      </c>
      <c r="AF16">
        <v>12482.743164</v>
      </c>
      <c r="AG16">
        <v>12743.724609000001</v>
      </c>
      <c r="AH16">
        <v>13027.213867</v>
      </c>
      <c r="AI16">
        <v>1.6E-2</v>
      </c>
      <c r="AK16" s="31"/>
    </row>
    <row r="17" spans="1:37">
      <c r="A17" t="s">
        <v>442</v>
      </c>
      <c r="B17" t="s">
        <v>2038</v>
      </c>
      <c r="C17" t="s">
        <v>2039</v>
      </c>
      <c r="D17" t="s">
        <v>352</v>
      </c>
      <c r="F17">
        <v>4454.5717770000001</v>
      </c>
      <c r="G17">
        <v>4664.3984380000002</v>
      </c>
      <c r="H17">
        <v>4662.5810549999997</v>
      </c>
      <c r="I17">
        <v>4642.390625</v>
      </c>
      <c r="J17">
        <v>4698.2822269999997</v>
      </c>
      <c r="K17">
        <v>4755.5869140000004</v>
      </c>
      <c r="L17">
        <v>4805.2626950000003</v>
      </c>
      <c r="M17">
        <v>4844.2822269999997</v>
      </c>
      <c r="N17">
        <v>4873.6953119999998</v>
      </c>
      <c r="O17">
        <v>4908.0639650000003</v>
      </c>
      <c r="P17">
        <v>4964.9433589999999</v>
      </c>
      <c r="Q17">
        <v>5035.2739259999998</v>
      </c>
      <c r="R17">
        <v>5106.0717770000001</v>
      </c>
      <c r="S17">
        <v>5179.3320309999999</v>
      </c>
      <c r="T17">
        <v>5262.955078</v>
      </c>
      <c r="U17">
        <v>5356.5698240000002</v>
      </c>
      <c r="V17">
        <v>5455.4716799999997</v>
      </c>
      <c r="W17">
        <v>5556.8989259999998</v>
      </c>
      <c r="X17">
        <v>5673.9785160000001</v>
      </c>
      <c r="Y17">
        <v>5791.3398440000001</v>
      </c>
      <c r="Z17">
        <v>5912.1508789999998</v>
      </c>
      <c r="AA17">
        <v>6037.8271480000003</v>
      </c>
      <c r="AB17">
        <v>6161.28125</v>
      </c>
      <c r="AC17">
        <v>6282.5107420000004</v>
      </c>
      <c r="AD17">
        <v>6406.8496089999999</v>
      </c>
      <c r="AE17">
        <v>6541.3505859999996</v>
      </c>
      <c r="AF17">
        <v>6678.8017579999996</v>
      </c>
      <c r="AG17">
        <v>6817.8500979999999</v>
      </c>
      <c r="AH17">
        <v>6969.2133789999998</v>
      </c>
      <c r="AI17">
        <v>1.6E-2</v>
      </c>
      <c r="AK17" s="31"/>
    </row>
    <row r="18" spans="1:37">
      <c r="A18" t="s">
        <v>443</v>
      </c>
      <c r="B18" t="s">
        <v>2040</v>
      </c>
      <c r="C18" t="s">
        <v>2041</v>
      </c>
      <c r="D18" t="s">
        <v>352</v>
      </c>
      <c r="F18">
        <v>1330.39978</v>
      </c>
      <c r="G18">
        <v>1347.7246090000001</v>
      </c>
      <c r="H18">
        <v>1341.867432</v>
      </c>
      <c r="I18">
        <v>1302.925293</v>
      </c>
      <c r="J18">
        <v>1316.1873780000001</v>
      </c>
      <c r="K18">
        <v>1334.1210940000001</v>
      </c>
      <c r="L18">
        <v>1351.145874</v>
      </c>
      <c r="M18">
        <v>1366.513672</v>
      </c>
      <c r="N18">
        <v>1380.3596190000001</v>
      </c>
      <c r="O18">
        <v>1395.7104489999999</v>
      </c>
      <c r="P18">
        <v>1416.3466800000001</v>
      </c>
      <c r="Q18">
        <v>1440.320068</v>
      </c>
      <c r="R18">
        <v>1464.7829589999999</v>
      </c>
      <c r="S18">
        <v>1490.1423339999999</v>
      </c>
      <c r="T18">
        <v>1518.1164550000001</v>
      </c>
      <c r="U18">
        <v>1548.6279300000001</v>
      </c>
      <c r="V18">
        <v>1580.6453859999999</v>
      </c>
      <c r="W18">
        <v>1613.556885</v>
      </c>
      <c r="X18">
        <v>1650.3211670000001</v>
      </c>
      <c r="Y18">
        <v>1687.518311</v>
      </c>
      <c r="Z18">
        <v>1725.860962</v>
      </c>
      <c r="AA18">
        <v>1765.6713870000001</v>
      </c>
      <c r="AB18">
        <v>1805.3698730000001</v>
      </c>
      <c r="AC18">
        <v>1844.953125</v>
      </c>
      <c r="AD18">
        <v>1885.6198730000001</v>
      </c>
      <c r="AE18">
        <v>1928.976318</v>
      </c>
      <c r="AF18">
        <v>1973.412842</v>
      </c>
      <c r="AG18">
        <v>2018.630249</v>
      </c>
      <c r="AH18">
        <v>2067.07251</v>
      </c>
      <c r="AI18">
        <v>1.6E-2</v>
      </c>
      <c r="AK18" s="31"/>
    </row>
    <row r="19" spans="1:37">
      <c r="A19" t="s">
        <v>444</v>
      </c>
      <c r="B19" t="s">
        <v>2042</v>
      </c>
      <c r="C19" t="s">
        <v>2043</v>
      </c>
      <c r="D19" t="s">
        <v>352</v>
      </c>
      <c r="F19">
        <v>2632.451172</v>
      </c>
      <c r="G19">
        <v>2732.2590329999998</v>
      </c>
      <c r="H19">
        <v>2720.102539</v>
      </c>
      <c r="I19">
        <v>2704.968018</v>
      </c>
      <c r="J19">
        <v>2736.8779300000001</v>
      </c>
      <c r="K19">
        <v>2769.4013669999999</v>
      </c>
      <c r="L19">
        <v>2797.258789</v>
      </c>
      <c r="M19">
        <v>2818.7509770000001</v>
      </c>
      <c r="N19">
        <v>2834.5178219999998</v>
      </c>
      <c r="O19">
        <v>2852.9597170000002</v>
      </c>
      <c r="P19">
        <v>2884.171875</v>
      </c>
      <c r="Q19">
        <v>2922.9616700000001</v>
      </c>
      <c r="R19">
        <v>2961.8935550000001</v>
      </c>
      <c r="S19">
        <v>3002.123779</v>
      </c>
      <c r="T19">
        <v>3048.194336</v>
      </c>
      <c r="U19">
        <v>3099.8991700000001</v>
      </c>
      <c r="V19">
        <v>3154.5432129999999</v>
      </c>
      <c r="W19">
        <v>3210.5478520000001</v>
      </c>
      <c r="X19">
        <v>3275.4323730000001</v>
      </c>
      <c r="Y19">
        <v>3340.3911130000001</v>
      </c>
      <c r="Z19">
        <v>3407.241211</v>
      </c>
      <c r="AA19">
        <v>3476.7937010000001</v>
      </c>
      <c r="AB19">
        <v>3544.9890140000002</v>
      </c>
      <c r="AC19">
        <v>3611.826904</v>
      </c>
      <c r="AD19">
        <v>3680.3652339999999</v>
      </c>
      <c r="AE19">
        <v>3754.6437989999999</v>
      </c>
      <c r="AF19">
        <v>3830.5285640000002</v>
      </c>
      <c r="AG19">
        <v>3907.2436520000001</v>
      </c>
      <c r="AH19">
        <v>3990.92749</v>
      </c>
      <c r="AI19">
        <v>1.4999999999999999E-2</v>
      </c>
      <c r="AK19" s="31"/>
    </row>
    <row r="20" spans="1:37">
      <c r="A20" t="s">
        <v>428</v>
      </c>
      <c r="B20" t="s">
        <v>2044</v>
      </c>
      <c r="C20" t="s">
        <v>2045</v>
      </c>
      <c r="D20" t="s">
        <v>352</v>
      </c>
      <c r="F20">
        <v>954.37524399999995</v>
      </c>
      <c r="G20">
        <v>944.23999000000003</v>
      </c>
      <c r="H20">
        <v>965.02703899999995</v>
      </c>
      <c r="I20">
        <v>981.10668899999996</v>
      </c>
      <c r="J20">
        <v>998.17889400000001</v>
      </c>
      <c r="K20">
        <v>1017.730225</v>
      </c>
      <c r="L20">
        <v>1023.759277</v>
      </c>
      <c r="M20">
        <v>1030.7407229999999</v>
      </c>
      <c r="N20">
        <v>1040.282837</v>
      </c>
      <c r="O20">
        <v>1050.3510739999999</v>
      </c>
      <c r="P20">
        <v>1060.9014890000001</v>
      </c>
      <c r="Q20">
        <v>1072.211182</v>
      </c>
      <c r="R20">
        <v>1084.1235349999999</v>
      </c>
      <c r="S20">
        <v>1096.475586</v>
      </c>
      <c r="T20">
        <v>1111.3358149999999</v>
      </c>
      <c r="U20">
        <v>1126.704346</v>
      </c>
      <c r="V20">
        <v>1143.452393</v>
      </c>
      <c r="W20">
        <v>1161.352783</v>
      </c>
      <c r="X20">
        <v>1179.6313479999999</v>
      </c>
      <c r="Y20">
        <v>1198.2890620000001</v>
      </c>
      <c r="Z20">
        <v>1217.3238530000001</v>
      </c>
      <c r="AA20">
        <v>1236.7231449999999</v>
      </c>
      <c r="AB20">
        <v>1256.5158690000001</v>
      </c>
      <c r="AC20">
        <v>1276.7136230000001</v>
      </c>
      <c r="AD20">
        <v>1297.315918</v>
      </c>
      <c r="AE20">
        <v>1318.3294679999999</v>
      </c>
      <c r="AF20">
        <v>1339.7583010000001</v>
      </c>
      <c r="AG20">
        <v>1361.61499</v>
      </c>
      <c r="AH20">
        <v>1383.9072269999999</v>
      </c>
      <c r="AI20">
        <v>1.2999999999999999E-2</v>
      </c>
      <c r="AK20" s="31"/>
    </row>
    <row r="21" spans="1:37">
      <c r="A21" t="s">
        <v>442</v>
      </c>
      <c r="B21" t="s">
        <v>2046</v>
      </c>
      <c r="C21" t="s">
        <v>2047</v>
      </c>
      <c r="D21" t="s">
        <v>352</v>
      </c>
      <c r="F21">
        <v>380.90960699999999</v>
      </c>
      <c r="G21">
        <v>370.55764799999997</v>
      </c>
      <c r="H21">
        <v>375.009705</v>
      </c>
      <c r="I21">
        <v>381.656586</v>
      </c>
      <c r="J21">
        <v>390.48690800000003</v>
      </c>
      <c r="K21">
        <v>398.06195100000002</v>
      </c>
      <c r="L21">
        <v>400.78643799999998</v>
      </c>
      <c r="M21">
        <v>403.76174900000001</v>
      </c>
      <c r="N21">
        <v>406.95941199999999</v>
      </c>
      <c r="O21">
        <v>410.383331</v>
      </c>
      <c r="P21">
        <v>414.01177999999999</v>
      </c>
      <c r="Q21">
        <v>417.81982399999998</v>
      </c>
      <c r="R21">
        <v>421.80319200000002</v>
      </c>
      <c r="S21">
        <v>425.95803799999999</v>
      </c>
      <c r="T21">
        <v>432.35983299999998</v>
      </c>
      <c r="U21">
        <v>439.012787</v>
      </c>
      <c r="V21">
        <v>445.83136000000002</v>
      </c>
      <c r="W21">
        <v>452.81173699999999</v>
      </c>
      <c r="X21">
        <v>459.93658399999998</v>
      </c>
      <c r="Y21">
        <v>467.20663500000001</v>
      </c>
      <c r="Z21">
        <v>474.62085000000002</v>
      </c>
      <c r="AA21">
        <v>482.17361499999998</v>
      </c>
      <c r="AB21">
        <v>489.87603799999999</v>
      </c>
      <c r="AC21">
        <v>497.73239100000001</v>
      </c>
      <c r="AD21">
        <v>505.74200400000001</v>
      </c>
      <c r="AE21">
        <v>513.90722700000003</v>
      </c>
      <c r="AF21">
        <v>522.22924799999998</v>
      </c>
      <c r="AG21">
        <v>530.71270800000002</v>
      </c>
      <c r="AH21">
        <v>539.360229</v>
      </c>
      <c r="AI21">
        <v>1.2E-2</v>
      </c>
      <c r="AK21" s="31"/>
    </row>
    <row r="22" spans="1:37">
      <c r="A22" t="s">
        <v>443</v>
      </c>
      <c r="B22" t="s">
        <v>2048</v>
      </c>
      <c r="C22" t="s">
        <v>2049</v>
      </c>
      <c r="D22" t="s">
        <v>352</v>
      </c>
      <c r="F22">
        <v>156.826111</v>
      </c>
      <c r="G22">
        <v>154.74487300000001</v>
      </c>
      <c r="H22">
        <v>154.68798799999999</v>
      </c>
      <c r="I22">
        <v>159.53093000000001</v>
      </c>
      <c r="J22">
        <v>162.56585699999999</v>
      </c>
      <c r="K22">
        <v>164.95056199999999</v>
      </c>
      <c r="L22">
        <v>163.70957899999999</v>
      </c>
      <c r="M22">
        <v>162.860916</v>
      </c>
      <c r="N22">
        <v>164.082382</v>
      </c>
      <c r="O22">
        <v>165.339111</v>
      </c>
      <c r="P22">
        <v>166.63880900000001</v>
      </c>
      <c r="Q22">
        <v>167.98736600000001</v>
      </c>
      <c r="R22">
        <v>169.39207500000001</v>
      </c>
      <c r="S22">
        <v>170.858566</v>
      </c>
      <c r="T22">
        <v>172.39025899999999</v>
      </c>
      <c r="U22">
        <v>173.99092099999999</v>
      </c>
      <c r="V22">
        <v>176.624741</v>
      </c>
      <c r="W22">
        <v>180.073441</v>
      </c>
      <c r="X22">
        <v>183.599411</v>
      </c>
      <c r="Y22">
        <v>187.20236199999999</v>
      </c>
      <c r="Z22">
        <v>190.88317900000001</v>
      </c>
      <c r="AA22">
        <v>194.64070100000001</v>
      </c>
      <c r="AB22">
        <v>198.481247</v>
      </c>
      <c r="AC22">
        <v>202.407791</v>
      </c>
      <c r="AD22">
        <v>206.42137099999999</v>
      </c>
      <c r="AE22">
        <v>210.52394100000001</v>
      </c>
      <c r="AF22">
        <v>214.71725499999999</v>
      </c>
      <c r="AG22">
        <v>219.004425</v>
      </c>
      <c r="AH22">
        <v>223.38765000000001</v>
      </c>
      <c r="AI22">
        <v>1.2999999999999999E-2</v>
      </c>
      <c r="AK22" s="31"/>
    </row>
    <row r="23" spans="1:37">
      <c r="A23" t="s">
        <v>444</v>
      </c>
      <c r="B23" t="s">
        <v>2050</v>
      </c>
      <c r="C23" t="s">
        <v>2051</v>
      </c>
      <c r="D23" t="s">
        <v>352</v>
      </c>
      <c r="F23">
        <v>416.63955700000002</v>
      </c>
      <c r="G23">
        <v>418.93753099999998</v>
      </c>
      <c r="H23">
        <v>435.32934599999999</v>
      </c>
      <c r="I23">
        <v>439.91922</v>
      </c>
      <c r="J23">
        <v>445.12616000000003</v>
      </c>
      <c r="K23">
        <v>454.71771200000001</v>
      </c>
      <c r="L23">
        <v>459.263214</v>
      </c>
      <c r="M23">
        <v>464.11807299999998</v>
      </c>
      <c r="N23">
        <v>469.24102800000003</v>
      </c>
      <c r="O23">
        <v>474.62866200000002</v>
      </c>
      <c r="P23">
        <v>480.25088499999998</v>
      </c>
      <c r="Q23">
        <v>486.40405299999998</v>
      </c>
      <c r="R23">
        <v>492.928223</v>
      </c>
      <c r="S23">
        <v>499.65902699999998</v>
      </c>
      <c r="T23">
        <v>506.58566300000001</v>
      </c>
      <c r="U23">
        <v>513.70062299999995</v>
      </c>
      <c r="V23">
        <v>520.99627699999996</v>
      </c>
      <c r="W23">
        <v>528.46765100000005</v>
      </c>
      <c r="X23">
        <v>536.09539800000005</v>
      </c>
      <c r="Y23">
        <v>543.88000499999998</v>
      </c>
      <c r="Z23">
        <v>551.81982400000004</v>
      </c>
      <c r="AA23">
        <v>559.90875200000005</v>
      </c>
      <c r="AB23">
        <v>568.15863000000002</v>
      </c>
      <c r="AC23">
        <v>576.57342500000004</v>
      </c>
      <c r="AD23">
        <v>585.15258800000004</v>
      </c>
      <c r="AE23">
        <v>593.89831500000003</v>
      </c>
      <c r="AF23">
        <v>602.81182899999999</v>
      </c>
      <c r="AG23">
        <v>611.89782700000001</v>
      </c>
      <c r="AH23">
        <v>621.15936299999998</v>
      </c>
      <c r="AI23">
        <v>1.4E-2</v>
      </c>
      <c r="AK23" s="31"/>
    </row>
    <row r="24" spans="1:37">
      <c r="A24" t="s">
        <v>429</v>
      </c>
      <c r="B24" t="s">
        <v>2052</v>
      </c>
      <c r="C24" t="s">
        <v>2053</v>
      </c>
      <c r="D24" t="s">
        <v>352</v>
      </c>
      <c r="F24">
        <v>832.23083499999996</v>
      </c>
      <c r="G24">
        <v>841.00567599999999</v>
      </c>
      <c r="H24">
        <v>897.99694799999997</v>
      </c>
      <c r="I24">
        <v>922.61151099999995</v>
      </c>
      <c r="J24">
        <v>959.03198199999997</v>
      </c>
      <c r="K24">
        <v>990.27905299999998</v>
      </c>
      <c r="L24">
        <v>1018.292297</v>
      </c>
      <c r="M24">
        <v>1044.8392329999999</v>
      </c>
      <c r="N24">
        <v>1071.2476810000001</v>
      </c>
      <c r="O24">
        <v>1099.116577</v>
      </c>
      <c r="P24">
        <v>1128.635376</v>
      </c>
      <c r="Q24">
        <v>1160.69165</v>
      </c>
      <c r="R24">
        <v>1195.512817</v>
      </c>
      <c r="S24">
        <v>1231.6102289999999</v>
      </c>
      <c r="T24">
        <v>1268.7894289999999</v>
      </c>
      <c r="U24">
        <v>1307.224731</v>
      </c>
      <c r="V24">
        <v>1346.944336</v>
      </c>
      <c r="W24">
        <v>1388.3770750000001</v>
      </c>
      <c r="X24">
        <v>1431.4354249999999</v>
      </c>
      <c r="Y24">
        <v>1475.286865</v>
      </c>
      <c r="Z24">
        <v>1520.4342039999999</v>
      </c>
      <c r="AA24">
        <v>1566.9001459999999</v>
      </c>
      <c r="AB24">
        <v>1614.6972659999999</v>
      </c>
      <c r="AC24">
        <v>1663.8305660000001</v>
      </c>
      <c r="AD24">
        <v>1713.7294919999999</v>
      </c>
      <c r="AE24">
        <v>1764.895264</v>
      </c>
      <c r="AF24">
        <v>1817.4208980000001</v>
      </c>
      <c r="AG24">
        <v>1871.412842</v>
      </c>
      <c r="AH24">
        <v>1926.962158</v>
      </c>
      <c r="AI24">
        <v>0.03</v>
      </c>
      <c r="AK24" s="31"/>
    </row>
    <row r="25" spans="1:37">
      <c r="A25" t="s">
        <v>442</v>
      </c>
      <c r="B25" t="s">
        <v>2054</v>
      </c>
      <c r="C25" t="s">
        <v>2055</v>
      </c>
      <c r="D25" t="s">
        <v>352</v>
      </c>
      <c r="F25">
        <v>529.10174600000005</v>
      </c>
      <c r="G25">
        <v>524.65698199999997</v>
      </c>
      <c r="H25">
        <v>561.78253199999995</v>
      </c>
      <c r="I25">
        <v>574.87969999999996</v>
      </c>
      <c r="J25">
        <v>597.72631799999999</v>
      </c>
      <c r="K25">
        <v>618.73547399999995</v>
      </c>
      <c r="L25">
        <v>637.56329300000004</v>
      </c>
      <c r="M25">
        <v>655.34991500000001</v>
      </c>
      <c r="N25">
        <v>674.01220699999999</v>
      </c>
      <c r="O25">
        <v>693.49920699999996</v>
      </c>
      <c r="P25">
        <v>713.97894299999996</v>
      </c>
      <c r="Q25">
        <v>735.26696800000002</v>
      </c>
      <c r="R25">
        <v>757.37890600000003</v>
      </c>
      <c r="S25">
        <v>780.31311000000005</v>
      </c>
      <c r="T25">
        <v>803.94512899999995</v>
      </c>
      <c r="U25">
        <v>828.38818400000002</v>
      </c>
      <c r="V25">
        <v>853.66119400000002</v>
      </c>
      <c r="W25">
        <v>879.77362100000005</v>
      </c>
      <c r="X25">
        <v>906.70983899999999</v>
      </c>
      <c r="Y25">
        <v>934.14068599999996</v>
      </c>
      <c r="Z25">
        <v>962.38293499999997</v>
      </c>
      <c r="AA25">
        <v>991.45105000000001</v>
      </c>
      <c r="AB25">
        <v>1021.3532709999999</v>
      </c>
      <c r="AC25">
        <v>1052.0927730000001</v>
      </c>
      <c r="AD25">
        <v>1083.309814</v>
      </c>
      <c r="AE25">
        <v>1115.320557</v>
      </c>
      <c r="AF25">
        <v>1148.18335</v>
      </c>
      <c r="AG25">
        <v>1181.9644780000001</v>
      </c>
      <c r="AH25">
        <v>1216.720947</v>
      </c>
      <c r="AI25">
        <v>0.03</v>
      </c>
      <c r="AK25" s="31"/>
    </row>
    <row r="26" spans="1:37">
      <c r="A26" t="s">
        <v>443</v>
      </c>
      <c r="B26" t="s">
        <v>2056</v>
      </c>
      <c r="C26" t="s">
        <v>2057</v>
      </c>
      <c r="D26" t="s">
        <v>352</v>
      </c>
      <c r="F26">
        <v>104.296539</v>
      </c>
      <c r="G26">
        <v>103.360367</v>
      </c>
      <c r="H26">
        <v>103.29348</v>
      </c>
      <c r="I26">
        <v>108.380798</v>
      </c>
      <c r="J26">
        <v>112.68338</v>
      </c>
      <c r="K26">
        <v>115.18277</v>
      </c>
      <c r="L26">
        <v>117.124557</v>
      </c>
      <c r="M26">
        <v>118.83606</v>
      </c>
      <c r="N26">
        <v>119.22590599999999</v>
      </c>
      <c r="O26">
        <v>119.964905</v>
      </c>
      <c r="P26">
        <v>121.02320899999999</v>
      </c>
      <c r="Q26">
        <v>123.526031</v>
      </c>
      <c r="R26">
        <v>127.682098</v>
      </c>
      <c r="S26">
        <v>132.00607299999999</v>
      </c>
      <c r="T26">
        <v>136.460724</v>
      </c>
      <c r="U26">
        <v>141.07699600000001</v>
      </c>
      <c r="V26">
        <v>145.858856</v>
      </c>
      <c r="W26">
        <v>150.80758700000001</v>
      </c>
      <c r="X26">
        <v>155.92242400000001</v>
      </c>
      <c r="Y26">
        <v>161.10162399999999</v>
      </c>
      <c r="Z26">
        <v>166.436722</v>
      </c>
      <c r="AA26">
        <v>171.93023700000001</v>
      </c>
      <c r="AB26">
        <v>177.582672</v>
      </c>
      <c r="AC26">
        <v>183.393967</v>
      </c>
      <c r="AD26">
        <v>189.25830099999999</v>
      </c>
      <c r="AE26">
        <v>195.26805100000001</v>
      </c>
      <c r="AF26">
        <v>201.431274</v>
      </c>
      <c r="AG26">
        <v>207.757507</v>
      </c>
      <c r="AH26">
        <v>214.25482199999999</v>
      </c>
      <c r="AI26">
        <v>2.5999999999999999E-2</v>
      </c>
      <c r="AK26" s="31"/>
    </row>
    <row r="27" spans="1:37">
      <c r="A27" t="s">
        <v>444</v>
      </c>
      <c r="B27" t="s">
        <v>2058</v>
      </c>
      <c r="C27" t="s">
        <v>2059</v>
      </c>
      <c r="D27" t="s">
        <v>352</v>
      </c>
      <c r="F27">
        <v>198.832504</v>
      </c>
      <c r="G27">
        <v>212.98835800000001</v>
      </c>
      <c r="H27">
        <v>232.920975</v>
      </c>
      <c r="I27">
        <v>239.35101299999999</v>
      </c>
      <c r="J27">
        <v>248.62233000000001</v>
      </c>
      <c r="K27">
        <v>256.36086999999998</v>
      </c>
      <c r="L27">
        <v>263.60443099999998</v>
      </c>
      <c r="M27">
        <v>270.65325899999999</v>
      </c>
      <c r="N27">
        <v>278.009613</v>
      </c>
      <c r="O27">
        <v>285.65243500000003</v>
      </c>
      <c r="P27">
        <v>293.63326999999998</v>
      </c>
      <c r="Q27">
        <v>301.89865099999997</v>
      </c>
      <c r="R27">
        <v>310.451752</v>
      </c>
      <c r="S27">
        <v>319.29101600000001</v>
      </c>
      <c r="T27">
        <v>328.38354500000003</v>
      </c>
      <c r="U27">
        <v>337.75949100000003</v>
      </c>
      <c r="V27">
        <v>347.42434700000001</v>
      </c>
      <c r="W27">
        <v>357.79586799999998</v>
      </c>
      <c r="X27">
        <v>368.80310100000003</v>
      </c>
      <c r="Y27">
        <v>380.04449499999998</v>
      </c>
      <c r="Z27">
        <v>391.61450200000002</v>
      </c>
      <c r="AA27">
        <v>403.518799</v>
      </c>
      <c r="AB27">
        <v>415.76132200000001</v>
      </c>
      <c r="AC27">
        <v>428.34381100000002</v>
      </c>
      <c r="AD27">
        <v>441.161316</v>
      </c>
      <c r="AE27">
        <v>454.30658</v>
      </c>
      <c r="AF27">
        <v>467.80630500000001</v>
      </c>
      <c r="AG27">
        <v>481.69085699999999</v>
      </c>
      <c r="AH27">
        <v>495.98629799999998</v>
      </c>
      <c r="AI27">
        <v>3.3000000000000002E-2</v>
      </c>
      <c r="AK27" s="31"/>
    </row>
    <row r="28" spans="1:37">
      <c r="A28" t="s">
        <v>430</v>
      </c>
      <c r="B28" t="s">
        <v>2060</v>
      </c>
      <c r="C28" t="s">
        <v>2061</v>
      </c>
      <c r="D28" t="s">
        <v>352</v>
      </c>
      <c r="F28">
        <v>6374.3178710000002</v>
      </c>
      <c r="G28">
        <v>6513.8833009999998</v>
      </c>
      <c r="H28">
        <v>6853.8828119999998</v>
      </c>
      <c r="I28">
        <v>6935.2080079999996</v>
      </c>
      <c r="J28">
        <v>7090.2587890000004</v>
      </c>
      <c r="K28">
        <v>7094.640625</v>
      </c>
      <c r="L28">
        <v>7108.2666019999997</v>
      </c>
      <c r="M28">
        <v>7138.5869140000004</v>
      </c>
      <c r="N28">
        <v>7198.7998049999997</v>
      </c>
      <c r="O28">
        <v>7267.9619140000004</v>
      </c>
      <c r="P28">
        <v>7345.0283200000003</v>
      </c>
      <c r="Q28">
        <v>7469.2373049999997</v>
      </c>
      <c r="R28">
        <v>7597.2246089999999</v>
      </c>
      <c r="S28">
        <v>7728.4047849999997</v>
      </c>
      <c r="T28">
        <v>7863.3666990000002</v>
      </c>
      <c r="U28">
        <v>8002.5117190000001</v>
      </c>
      <c r="V28">
        <v>8145.4628910000001</v>
      </c>
      <c r="W28">
        <v>8292.1337889999995</v>
      </c>
      <c r="X28">
        <v>8442.7714840000008</v>
      </c>
      <c r="Y28">
        <v>8596.9365230000003</v>
      </c>
      <c r="Z28">
        <v>8754.5019530000009</v>
      </c>
      <c r="AA28">
        <v>8915.3564449999994</v>
      </c>
      <c r="AB28">
        <v>9079.3544920000004</v>
      </c>
      <c r="AC28">
        <v>9246.4453119999998</v>
      </c>
      <c r="AD28">
        <v>9416.6933590000008</v>
      </c>
      <c r="AE28">
        <v>9590.1015619999998</v>
      </c>
      <c r="AF28">
        <v>9766.8837889999995</v>
      </c>
      <c r="AG28">
        <v>9947.3466800000006</v>
      </c>
      <c r="AH28">
        <v>10131.634765999999</v>
      </c>
      <c r="AI28">
        <v>1.7000000000000001E-2</v>
      </c>
      <c r="AK28" s="31"/>
    </row>
    <row r="29" spans="1:37">
      <c r="A29" t="s">
        <v>442</v>
      </c>
      <c r="B29" t="s">
        <v>2062</v>
      </c>
      <c r="C29" t="s">
        <v>2063</v>
      </c>
      <c r="D29" t="s">
        <v>352</v>
      </c>
      <c r="F29">
        <v>3852.0615229999999</v>
      </c>
      <c r="G29">
        <v>3814.258789</v>
      </c>
      <c r="H29">
        <v>3964.459961</v>
      </c>
      <c r="I29">
        <v>3996.2817380000001</v>
      </c>
      <c r="J29">
        <v>4056.6872560000002</v>
      </c>
      <c r="K29">
        <v>4050.9333499999998</v>
      </c>
      <c r="L29">
        <v>4050.7722170000002</v>
      </c>
      <c r="M29">
        <v>4057.4914549999999</v>
      </c>
      <c r="N29">
        <v>4071.248779</v>
      </c>
      <c r="O29">
        <v>4091.8217770000001</v>
      </c>
      <c r="P29">
        <v>4118.7475590000004</v>
      </c>
      <c r="Q29">
        <v>4191.185547</v>
      </c>
      <c r="R29">
        <v>4265.9169920000004</v>
      </c>
      <c r="S29">
        <v>4342.5786129999997</v>
      </c>
      <c r="T29">
        <v>4421.5322269999997</v>
      </c>
      <c r="U29">
        <v>4503.017578</v>
      </c>
      <c r="V29">
        <v>4586.798828</v>
      </c>
      <c r="W29">
        <v>4672.8247069999998</v>
      </c>
      <c r="X29">
        <v>4761.248047</v>
      </c>
      <c r="Y29">
        <v>4851.7919920000004</v>
      </c>
      <c r="Z29">
        <v>4944.376953</v>
      </c>
      <c r="AA29">
        <v>5038.9326170000004</v>
      </c>
      <c r="AB29">
        <v>5135.3691410000001</v>
      </c>
      <c r="AC29">
        <v>5233.6572269999997</v>
      </c>
      <c r="AD29">
        <v>5333.84375</v>
      </c>
      <c r="AE29">
        <v>5435.9335940000001</v>
      </c>
      <c r="AF29">
        <v>5540.0507809999999</v>
      </c>
      <c r="AG29">
        <v>5646.3789059999999</v>
      </c>
      <c r="AH29">
        <v>5755</v>
      </c>
      <c r="AI29">
        <v>1.4E-2</v>
      </c>
      <c r="AK29" s="31"/>
    </row>
    <row r="30" spans="1:37">
      <c r="A30" t="s">
        <v>443</v>
      </c>
      <c r="B30" t="s">
        <v>2064</v>
      </c>
      <c r="C30" t="s">
        <v>2065</v>
      </c>
      <c r="D30" t="s">
        <v>352</v>
      </c>
      <c r="F30">
        <v>1270.1865230000001</v>
      </c>
      <c r="G30">
        <v>1259.779053</v>
      </c>
      <c r="H30">
        <v>1290.861572</v>
      </c>
      <c r="I30">
        <v>1301.3912350000001</v>
      </c>
      <c r="J30">
        <v>1351.036865</v>
      </c>
      <c r="K30">
        <v>1339.1229249999999</v>
      </c>
      <c r="L30">
        <v>1330.0074460000001</v>
      </c>
      <c r="M30">
        <v>1329.7380370000001</v>
      </c>
      <c r="N30">
        <v>1351.3173830000001</v>
      </c>
      <c r="O30">
        <v>1374.036255</v>
      </c>
      <c r="P30">
        <v>1397.3123780000001</v>
      </c>
      <c r="Q30">
        <v>1421.2266850000001</v>
      </c>
      <c r="R30">
        <v>1445.716553</v>
      </c>
      <c r="S30">
        <v>1470.669922</v>
      </c>
      <c r="T30">
        <v>1496.2375489999999</v>
      </c>
      <c r="U30">
        <v>1522.5242920000001</v>
      </c>
      <c r="V30">
        <v>1549.4539789999999</v>
      </c>
      <c r="W30">
        <v>1577.018433</v>
      </c>
      <c r="X30">
        <v>1605.284302</v>
      </c>
      <c r="Y30">
        <v>1634.155518</v>
      </c>
      <c r="Z30">
        <v>1663.6060789999999</v>
      </c>
      <c r="AA30">
        <v>1693.61499</v>
      </c>
      <c r="AB30">
        <v>1724.152466</v>
      </c>
      <c r="AC30">
        <v>1755.209351</v>
      </c>
      <c r="AD30">
        <v>1786.807861</v>
      </c>
      <c r="AE30">
        <v>1818.952393</v>
      </c>
      <c r="AF30">
        <v>1851.688721</v>
      </c>
      <c r="AG30">
        <v>1885.08374</v>
      </c>
      <c r="AH30">
        <v>1919.165894</v>
      </c>
      <c r="AI30">
        <v>1.4999999999999999E-2</v>
      </c>
      <c r="AK30" s="31"/>
    </row>
    <row r="31" spans="1:37">
      <c r="A31" t="s">
        <v>444</v>
      </c>
      <c r="B31" t="s">
        <v>2066</v>
      </c>
      <c r="C31" t="s">
        <v>2067</v>
      </c>
      <c r="D31" t="s">
        <v>352</v>
      </c>
      <c r="F31">
        <v>1252.069702</v>
      </c>
      <c r="G31">
        <v>1439.8452150000001</v>
      </c>
      <c r="H31">
        <v>1598.561279</v>
      </c>
      <c r="I31">
        <v>1637.5351559999999</v>
      </c>
      <c r="J31">
        <v>1682.534668</v>
      </c>
      <c r="K31">
        <v>1704.5842290000001</v>
      </c>
      <c r="L31">
        <v>1727.486572</v>
      </c>
      <c r="M31">
        <v>1751.357422</v>
      </c>
      <c r="N31">
        <v>1776.2335210000001</v>
      </c>
      <c r="O31">
        <v>1802.1038820000001</v>
      </c>
      <c r="P31">
        <v>1828.968384</v>
      </c>
      <c r="Q31">
        <v>1856.8249510000001</v>
      </c>
      <c r="R31">
        <v>1885.5908199999999</v>
      </c>
      <c r="S31">
        <v>1915.15625</v>
      </c>
      <c r="T31">
        <v>1945.5970460000001</v>
      </c>
      <c r="U31">
        <v>1976.9698490000001</v>
      </c>
      <c r="V31">
        <v>2009.209961</v>
      </c>
      <c r="W31">
        <v>2042.290894</v>
      </c>
      <c r="X31">
        <v>2076.2392580000001</v>
      </c>
      <c r="Y31">
        <v>2110.9890140000002</v>
      </c>
      <c r="Z31">
        <v>2146.5195309999999</v>
      </c>
      <c r="AA31">
        <v>2182.8088379999999</v>
      </c>
      <c r="AB31">
        <v>2219.8330080000001</v>
      </c>
      <c r="AC31">
        <v>2257.5791020000001</v>
      </c>
      <c r="AD31">
        <v>2296.0415039999998</v>
      </c>
      <c r="AE31">
        <v>2335.2158199999999</v>
      </c>
      <c r="AF31">
        <v>2375.1447750000002</v>
      </c>
      <c r="AG31">
        <v>2415.8840329999998</v>
      </c>
      <c r="AH31">
        <v>2457.4682619999999</v>
      </c>
      <c r="AI31">
        <v>2.4E-2</v>
      </c>
      <c r="AK31" s="31"/>
    </row>
    <row r="32" spans="1:37">
      <c r="A32" t="s">
        <v>431</v>
      </c>
      <c r="B32" t="s">
        <v>2068</v>
      </c>
      <c r="C32" t="s">
        <v>2069</v>
      </c>
      <c r="D32" t="s">
        <v>352</v>
      </c>
      <c r="F32">
        <v>707.48138400000005</v>
      </c>
      <c r="G32">
        <v>715.29663100000005</v>
      </c>
      <c r="H32">
        <v>720.84436000000005</v>
      </c>
      <c r="I32">
        <v>736.85089100000005</v>
      </c>
      <c r="J32">
        <v>759.06311000000005</v>
      </c>
      <c r="K32">
        <v>768.95764199999996</v>
      </c>
      <c r="L32">
        <v>777.574341</v>
      </c>
      <c r="M32">
        <v>767.79235800000004</v>
      </c>
      <c r="N32">
        <v>758.559753</v>
      </c>
      <c r="O32">
        <v>749.90527299999997</v>
      </c>
      <c r="P32">
        <v>742.01159700000005</v>
      </c>
      <c r="Q32">
        <v>735.51849400000003</v>
      </c>
      <c r="R32">
        <v>729.80859399999997</v>
      </c>
      <c r="S32">
        <v>724.73846400000002</v>
      </c>
      <c r="T32">
        <v>720.23687700000005</v>
      </c>
      <c r="U32">
        <v>717.56750499999998</v>
      </c>
      <c r="V32">
        <v>715.32464600000003</v>
      </c>
      <c r="W32">
        <v>713.71099900000002</v>
      </c>
      <c r="X32">
        <v>712.02758800000004</v>
      </c>
      <c r="Y32">
        <v>710.28857400000004</v>
      </c>
      <c r="Z32">
        <v>710.64080799999999</v>
      </c>
      <c r="AA32">
        <v>711.73974599999997</v>
      </c>
      <c r="AB32">
        <v>712.92321800000002</v>
      </c>
      <c r="AC32">
        <v>714.25134300000002</v>
      </c>
      <c r="AD32">
        <v>715.76733400000001</v>
      </c>
      <c r="AE32">
        <v>717.47851600000001</v>
      </c>
      <c r="AF32">
        <v>719.38159199999996</v>
      </c>
      <c r="AG32">
        <v>721.47344999999996</v>
      </c>
      <c r="AH32">
        <v>723.75061000000005</v>
      </c>
      <c r="AI32">
        <v>1E-3</v>
      </c>
      <c r="AK32" s="31"/>
    </row>
    <row r="33" spans="1:37">
      <c r="A33" t="s">
        <v>442</v>
      </c>
      <c r="B33" t="s">
        <v>2070</v>
      </c>
      <c r="C33" t="s">
        <v>2071</v>
      </c>
      <c r="D33" t="s">
        <v>352</v>
      </c>
      <c r="F33">
        <v>283.338348</v>
      </c>
      <c r="G33">
        <v>288.46249399999999</v>
      </c>
      <c r="H33">
        <v>295.176514</v>
      </c>
      <c r="I33">
        <v>299.71984900000001</v>
      </c>
      <c r="J33">
        <v>303.20336900000001</v>
      </c>
      <c r="K33">
        <v>304.44693000000001</v>
      </c>
      <c r="L33">
        <v>305.54827899999998</v>
      </c>
      <c r="M33">
        <v>303.25888099999997</v>
      </c>
      <c r="N33">
        <v>301.15969799999999</v>
      </c>
      <c r="O33">
        <v>299.25750699999998</v>
      </c>
      <c r="P33">
        <v>297.60046399999999</v>
      </c>
      <c r="Q33">
        <v>296.21313500000002</v>
      </c>
      <c r="R33">
        <v>295.07156400000002</v>
      </c>
      <c r="S33">
        <v>294.14636200000001</v>
      </c>
      <c r="T33">
        <v>293.41232300000001</v>
      </c>
      <c r="U33">
        <v>292.84869400000002</v>
      </c>
      <c r="V33">
        <v>292.77139299999999</v>
      </c>
      <c r="W33">
        <v>293.39605699999998</v>
      </c>
      <c r="X33">
        <v>294.05398600000001</v>
      </c>
      <c r="Y33">
        <v>294.741333</v>
      </c>
      <c r="Z33">
        <v>295.45452899999998</v>
      </c>
      <c r="AA33">
        <v>296.193085</v>
      </c>
      <c r="AB33">
        <v>296.96234099999998</v>
      </c>
      <c r="AC33">
        <v>297.77542099999999</v>
      </c>
      <c r="AD33">
        <v>298.64340199999998</v>
      </c>
      <c r="AE33">
        <v>299.567657</v>
      </c>
      <c r="AF33">
        <v>300.546539</v>
      </c>
      <c r="AG33">
        <v>301.578644</v>
      </c>
      <c r="AH33">
        <v>302.66247600000003</v>
      </c>
      <c r="AI33">
        <v>2E-3</v>
      </c>
      <c r="AK33" s="31"/>
    </row>
    <row r="34" spans="1:37">
      <c r="A34" t="s">
        <v>443</v>
      </c>
      <c r="B34" t="s">
        <v>2072</v>
      </c>
      <c r="C34" t="s">
        <v>2073</v>
      </c>
      <c r="D34" t="s">
        <v>352</v>
      </c>
      <c r="F34">
        <v>303.633759</v>
      </c>
      <c r="G34">
        <v>302.016052</v>
      </c>
      <c r="H34">
        <v>300.03747600000003</v>
      </c>
      <c r="I34">
        <v>311.24240099999997</v>
      </c>
      <c r="J34">
        <v>331.283661</v>
      </c>
      <c r="K34">
        <v>341.12298600000003</v>
      </c>
      <c r="L34">
        <v>349.713684</v>
      </c>
      <c r="M34">
        <v>343.18917800000003</v>
      </c>
      <c r="N34">
        <v>336.92776500000002</v>
      </c>
      <c r="O34">
        <v>330.95632899999998</v>
      </c>
      <c r="P34">
        <v>325.38665800000001</v>
      </c>
      <c r="Q34">
        <v>320.30609099999998</v>
      </c>
      <c r="R34">
        <v>315.67099000000002</v>
      </c>
      <c r="S34">
        <v>311.436035</v>
      </c>
      <c r="T34">
        <v>307.55712899999997</v>
      </c>
      <c r="U34">
        <v>305.32012900000001</v>
      </c>
      <c r="V34">
        <v>303.00500499999998</v>
      </c>
      <c r="W34">
        <v>300.60012799999998</v>
      </c>
      <c r="X34">
        <v>298.09854100000001</v>
      </c>
      <c r="Y34">
        <v>295.50451700000002</v>
      </c>
      <c r="Z34">
        <v>294.97015399999998</v>
      </c>
      <c r="AA34">
        <v>295.152557</v>
      </c>
      <c r="AB34">
        <v>295.38324</v>
      </c>
      <c r="AC34">
        <v>295.70700099999999</v>
      </c>
      <c r="AD34">
        <v>296.15313700000002</v>
      </c>
      <c r="AE34">
        <v>296.72790500000002</v>
      </c>
      <c r="AF34">
        <v>297.430634</v>
      </c>
      <c r="AG34">
        <v>298.26028400000001</v>
      </c>
      <c r="AH34">
        <v>299.21563700000002</v>
      </c>
      <c r="AI34">
        <v>-1E-3</v>
      </c>
      <c r="AK34" s="31"/>
    </row>
    <row r="35" spans="1:37">
      <c r="A35" t="s">
        <v>444</v>
      </c>
      <c r="B35" t="s">
        <v>2074</v>
      </c>
      <c r="C35" t="s">
        <v>2075</v>
      </c>
      <c r="D35" t="s">
        <v>352</v>
      </c>
      <c r="F35">
        <v>120.5093</v>
      </c>
      <c r="G35">
        <v>124.81813</v>
      </c>
      <c r="H35">
        <v>125.630379</v>
      </c>
      <c r="I35">
        <v>125.888588</v>
      </c>
      <c r="J35">
        <v>124.57605</v>
      </c>
      <c r="K35">
        <v>123.38769499999999</v>
      </c>
      <c r="L35">
        <v>122.312378</v>
      </c>
      <c r="M35">
        <v>121.34431499999999</v>
      </c>
      <c r="N35">
        <v>120.472275</v>
      </c>
      <c r="O35">
        <v>119.691422</v>
      </c>
      <c r="P35">
        <v>119.024506</v>
      </c>
      <c r="Q35">
        <v>118.999252</v>
      </c>
      <c r="R35">
        <v>119.066025</v>
      </c>
      <c r="S35">
        <v>119.156075</v>
      </c>
      <c r="T35">
        <v>119.26737199999999</v>
      </c>
      <c r="U35">
        <v>119.39865899999999</v>
      </c>
      <c r="V35">
        <v>119.548264</v>
      </c>
      <c r="W35">
        <v>119.714798</v>
      </c>
      <c r="X35">
        <v>119.875038</v>
      </c>
      <c r="Y35">
        <v>120.04273999999999</v>
      </c>
      <c r="Z35">
        <v>120.216133</v>
      </c>
      <c r="AA35">
        <v>120.394096</v>
      </c>
      <c r="AB35">
        <v>120.577652</v>
      </c>
      <c r="AC35">
        <v>120.768944</v>
      </c>
      <c r="AD35">
        <v>120.97081</v>
      </c>
      <c r="AE35">
        <v>121.182991</v>
      </c>
      <c r="AF35">
        <v>121.404442</v>
      </c>
      <c r="AG35">
        <v>121.634506</v>
      </c>
      <c r="AH35">
        <v>121.87248200000001</v>
      </c>
      <c r="AI35">
        <v>0</v>
      </c>
      <c r="AK35" s="31"/>
    </row>
    <row r="36" spans="1:37">
      <c r="A36" t="s">
        <v>432</v>
      </c>
      <c r="B36" t="s">
        <v>2076</v>
      </c>
      <c r="C36" t="s">
        <v>2077</v>
      </c>
      <c r="D36" t="s">
        <v>352</v>
      </c>
      <c r="F36">
        <v>1039.7788089999999</v>
      </c>
      <c r="G36">
        <v>1037.8608400000001</v>
      </c>
      <c r="H36">
        <v>1058.1521</v>
      </c>
      <c r="I36">
        <v>1089.0139160000001</v>
      </c>
      <c r="J36">
        <v>1104.1401370000001</v>
      </c>
      <c r="K36">
        <v>1114.889404</v>
      </c>
      <c r="L36">
        <v>1125.8911129999999</v>
      </c>
      <c r="M36">
        <v>1134.2524410000001</v>
      </c>
      <c r="N36">
        <v>1144.076172</v>
      </c>
      <c r="O36">
        <v>1155.06897</v>
      </c>
      <c r="P36">
        <v>1166.8364260000001</v>
      </c>
      <c r="Q36">
        <v>1182.7216800000001</v>
      </c>
      <c r="R36">
        <v>1201.744019</v>
      </c>
      <c r="S36">
        <v>1220.1953120000001</v>
      </c>
      <c r="T36">
        <v>1238.6435550000001</v>
      </c>
      <c r="U36">
        <v>1257.726807</v>
      </c>
      <c r="V36">
        <v>1278.251587</v>
      </c>
      <c r="W36">
        <v>1298.651001</v>
      </c>
      <c r="X36">
        <v>1320.7441409999999</v>
      </c>
      <c r="Y36">
        <v>1343.0351559999999</v>
      </c>
      <c r="Z36">
        <v>1365.5988769999999</v>
      </c>
      <c r="AA36">
        <v>1388.4282229999999</v>
      </c>
      <c r="AB36">
        <v>1411.5117190000001</v>
      </c>
      <c r="AC36">
        <v>1434.819336</v>
      </c>
      <c r="AD36">
        <v>1458.302612</v>
      </c>
      <c r="AE36">
        <v>1481.96875</v>
      </c>
      <c r="AF36">
        <v>1505.9646</v>
      </c>
      <c r="AG36">
        <v>1530.3088379999999</v>
      </c>
      <c r="AH36">
        <v>1554.9916989999999</v>
      </c>
      <c r="AI36">
        <v>1.4E-2</v>
      </c>
      <c r="AK36" s="31"/>
    </row>
    <row r="37" spans="1:37">
      <c r="A37" t="s">
        <v>442</v>
      </c>
      <c r="B37" t="s">
        <v>2078</v>
      </c>
      <c r="C37" t="s">
        <v>2079</v>
      </c>
      <c r="D37" t="s">
        <v>352</v>
      </c>
      <c r="F37">
        <v>592.215149</v>
      </c>
      <c r="G37">
        <v>589.56909199999996</v>
      </c>
      <c r="H37">
        <v>587.25579800000003</v>
      </c>
      <c r="I37">
        <v>595.56433100000004</v>
      </c>
      <c r="J37">
        <v>596.60925299999997</v>
      </c>
      <c r="K37">
        <v>596.83630400000004</v>
      </c>
      <c r="L37">
        <v>597.54565400000001</v>
      </c>
      <c r="M37">
        <v>598.38330099999996</v>
      </c>
      <c r="N37">
        <v>600.080017</v>
      </c>
      <c r="O37">
        <v>602.466003</v>
      </c>
      <c r="P37">
        <v>605.33398399999999</v>
      </c>
      <c r="Q37">
        <v>611.98425299999997</v>
      </c>
      <c r="R37">
        <v>621.44122300000004</v>
      </c>
      <c r="S37">
        <v>630.41436799999997</v>
      </c>
      <c r="T37">
        <v>639.207581</v>
      </c>
      <c r="U37">
        <v>648.15606700000001</v>
      </c>
      <c r="V37">
        <v>657.18524200000002</v>
      </c>
      <c r="W37">
        <v>666.09240699999998</v>
      </c>
      <c r="X37">
        <v>676.69702099999995</v>
      </c>
      <c r="Y37">
        <v>687.33837900000003</v>
      </c>
      <c r="Z37">
        <v>698.06225600000005</v>
      </c>
      <c r="AA37">
        <v>708.86773700000003</v>
      </c>
      <c r="AB37">
        <v>719.75109899999995</v>
      </c>
      <c r="AC37">
        <v>730.69757100000004</v>
      </c>
      <c r="AD37">
        <v>741.68054199999995</v>
      </c>
      <c r="AE37">
        <v>752.70410200000003</v>
      </c>
      <c r="AF37">
        <v>763.84893799999998</v>
      </c>
      <c r="AG37">
        <v>775.12426800000003</v>
      </c>
      <c r="AH37">
        <v>786.52404799999999</v>
      </c>
      <c r="AI37">
        <v>0.01</v>
      </c>
      <c r="AK37" s="31"/>
    </row>
    <row r="38" spans="1:37">
      <c r="A38" t="s">
        <v>443</v>
      </c>
      <c r="B38" t="s">
        <v>2080</v>
      </c>
      <c r="C38" t="s">
        <v>2081</v>
      </c>
      <c r="D38" t="s">
        <v>352</v>
      </c>
      <c r="F38">
        <v>116.251358</v>
      </c>
      <c r="G38">
        <v>115.84869399999999</v>
      </c>
      <c r="H38">
        <v>117.798447</v>
      </c>
      <c r="I38">
        <v>125.420601</v>
      </c>
      <c r="J38">
        <v>132.68100000000001</v>
      </c>
      <c r="K38">
        <v>136.199051</v>
      </c>
      <c r="L38">
        <v>139.31684899999999</v>
      </c>
      <c r="M38">
        <v>139.46202099999999</v>
      </c>
      <c r="N38">
        <v>139.96340900000001</v>
      </c>
      <c r="O38">
        <v>140.78491199999999</v>
      </c>
      <c r="P38">
        <v>141.885864</v>
      </c>
      <c r="Q38">
        <v>143.24992399999999</v>
      </c>
      <c r="R38">
        <v>144.85853599999999</v>
      </c>
      <c r="S38">
        <v>146.66081199999999</v>
      </c>
      <c r="T38">
        <v>148.66322299999999</v>
      </c>
      <c r="U38">
        <v>150.87674000000001</v>
      </c>
      <c r="V38">
        <v>154.27641299999999</v>
      </c>
      <c r="W38">
        <v>157.73144500000001</v>
      </c>
      <c r="X38">
        <v>161.24172999999999</v>
      </c>
      <c r="Y38">
        <v>164.819626</v>
      </c>
      <c r="Z38">
        <v>168.46804800000001</v>
      </c>
      <c r="AA38">
        <v>172.187073</v>
      </c>
      <c r="AB38">
        <v>175.976257</v>
      </c>
      <c r="AC38">
        <v>179.83531199999999</v>
      </c>
      <c r="AD38">
        <v>183.76565600000001</v>
      </c>
      <c r="AE38">
        <v>187.77061499999999</v>
      </c>
      <c r="AF38">
        <v>191.85900899999999</v>
      </c>
      <c r="AG38">
        <v>196.034897</v>
      </c>
      <c r="AH38">
        <v>200.30072000000001</v>
      </c>
      <c r="AI38">
        <v>0.02</v>
      </c>
      <c r="AK38" s="31"/>
    </row>
    <row r="39" spans="1:37">
      <c r="A39" t="s">
        <v>444</v>
      </c>
      <c r="B39" t="s">
        <v>2082</v>
      </c>
      <c r="C39" t="s">
        <v>2083</v>
      </c>
      <c r="D39" t="s">
        <v>352</v>
      </c>
      <c r="F39">
        <v>331.31234699999999</v>
      </c>
      <c r="G39">
        <v>332.442993</v>
      </c>
      <c r="H39">
        <v>353.09789999999998</v>
      </c>
      <c r="I39">
        <v>368.02899200000002</v>
      </c>
      <c r="J39">
        <v>374.84991500000001</v>
      </c>
      <c r="K39">
        <v>381.85400399999997</v>
      </c>
      <c r="L39">
        <v>389.02862499999998</v>
      </c>
      <c r="M39">
        <v>396.407104</v>
      </c>
      <c r="N39">
        <v>404.03265399999998</v>
      </c>
      <c r="O39">
        <v>411.81805400000002</v>
      </c>
      <c r="P39">
        <v>419.61651599999999</v>
      </c>
      <c r="Q39">
        <v>427.48748799999998</v>
      </c>
      <c r="R39">
        <v>435.444275</v>
      </c>
      <c r="S39">
        <v>443.12017800000001</v>
      </c>
      <c r="T39">
        <v>450.77276599999999</v>
      </c>
      <c r="U39">
        <v>458.69390900000002</v>
      </c>
      <c r="V39">
        <v>466.789917</v>
      </c>
      <c r="W39">
        <v>474.82714800000002</v>
      </c>
      <c r="X39">
        <v>482.80542000000003</v>
      </c>
      <c r="Y39">
        <v>490.87713600000001</v>
      </c>
      <c r="Z39">
        <v>499.06854199999998</v>
      </c>
      <c r="AA39">
        <v>507.37341300000003</v>
      </c>
      <c r="AB39">
        <v>515.78430200000003</v>
      </c>
      <c r="AC39">
        <v>524.28643799999998</v>
      </c>
      <c r="AD39">
        <v>532.85644500000001</v>
      </c>
      <c r="AE39">
        <v>541.49401899999998</v>
      </c>
      <c r="AF39">
        <v>550.25671399999999</v>
      </c>
      <c r="AG39">
        <v>559.149719</v>
      </c>
      <c r="AH39">
        <v>568.16699200000005</v>
      </c>
      <c r="AI39">
        <v>1.9E-2</v>
      </c>
      <c r="AK39" s="31"/>
    </row>
    <row r="40" spans="1:37">
      <c r="A40" t="s">
        <v>433</v>
      </c>
      <c r="B40" t="s">
        <v>2084</v>
      </c>
      <c r="C40" t="s">
        <v>2085</v>
      </c>
      <c r="D40" t="s">
        <v>352</v>
      </c>
      <c r="F40">
        <v>440.36617999999999</v>
      </c>
      <c r="G40">
        <v>436.89562999999998</v>
      </c>
      <c r="H40">
        <v>436.44992100000002</v>
      </c>
      <c r="I40">
        <v>450.09240699999998</v>
      </c>
      <c r="J40">
        <v>473.985657</v>
      </c>
      <c r="K40">
        <v>484.88067599999999</v>
      </c>
      <c r="L40">
        <v>494.35217299999999</v>
      </c>
      <c r="M40">
        <v>494.94073500000002</v>
      </c>
      <c r="N40">
        <v>495.67910799999999</v>
      </c>
      <c r="O40">
        <v>494.06271400000003</v>
      </c>
      <c r="P40">
        <v>488.69790599999999</v>
      </c>
      <c r="Q40">
        <v>485.72769199999999</v>
      </c>
      <c r="R40">
        <v>483.971588</v>
      </c>
      <c r="S40">
        <v>482.49902300000002</v>
      </c>
      <c r="T40">
        <v>483.63992300000001</v>
      </c>
      <c r="U40">
        <v>484.18084700000003</v>
      </c>
      <c r="V40">
        <v>484.17752100000001</v>
      </c>
      <c r="W40">
        <v>484.34466600000002</v>
      </c>
      <c r="X40">
        <v>485.13974000000002</v>
      </c>
      <c r="Y40">
        <v>487.04568499999999</v>
      </c>
      <c r="Z40">
        <v>489.86489899999998</v>
      </c>
      <c r="AA40">
        <v>493.11837800000001</v>
      </c>
      <c r="AB40">
        <v>496.665863</v>
      </c>
      <c r="AC40">
        <v>500.26077299999997</v>
      </c>
      <c r="AD40">
        <v>503.62017800000001</v>
      </c>
      <c r="AE40">
        <v>506.73468000000003</v>
      </c>
      <c r="AF40">
        <v>509.94778400000001</v>
      </c>
      <c r="AG40">
        <v>513.563354</v>
      </c>
      <c r="AH40">
        <v>517.79693599999996</v>
      </c>
      <c r="AI40">
        <v>6.0000000000000001E-3</v>
      </c>
      <c r="AK40" s="31"/>
    </row>
    <row r="41" spans="1:37">
      <c r="A41" t="s">
        <v>442</v>
      </c>
      <c r="B41" t="s">
        <v>2086</v>
      </c>
      <c r="C41" t="s">
        <v>2087</v>
      </c>
      <c r="D41" t="s">
        <v>352</v>
      </c>
      <c r="F41">
        <v>239.852463</v>
      </c>
      <c r="G41">
        <v>238.02702300000001</v>
      </c>
      <c r="H41">
        <v>235.34193400000001</v>
      </c>
      <c r="I41">
        <v>242.578171</v>
      </c>
      <c r="J41">
        <v>254.44116199999999</v>
      </c>
      <c r="K41">
        <v>259.44229100000001</v>
      </c>
      <c r="L41">
        <v>263.86309799999998</v>
      </c>
      <c r="M41">
        <v>263.92904700000003</v>
      </c>
      <c r="N41">
        <v>264.19036899999998</v>
      </c>
      <c r="O41">
        <v>263.31900000000002</v>
      </c>
      <c r="P41">
        <v>260.59075899999999</v>
      </c>
      <c r="Q41">
        <v>257.84594700000002</v>
      </c>
      <c r="R41">
        <v>255.45898399999999</v>
      </c>
      <c r="S41">
        <v>253.35034200000001</v>
      </c>
      <c r="T41">
        <v>253.762619</v>
      </c>
      <c r="U41">
        <v>253.872986</v>
      </c>
      <c r="V41">
        <v>253.70996099999999</v>
      </c>
      <c r="W41">
        <v>253.63200399999999</v>
      </c>
      <c r="X41">
        <v>253.86732499999999</v>
      </c>
      <c r="Y41">
        <v>254.658691</v>
      </c>
      <c r="Z41">
        <v>255.90716599999999</v>
      </c>
      <c r="AA41">
        <v>257.37286399999999</v>
      </c>
      <c r="AB41">
        <v>258.985657</v>
      </c>
      <c r="AC41">
        <v>260.62219199999998</v>
      </c>
      <c r="AD41">
        <v>262.14132699999999</v>
      </c>
      <c r="AE41">
        <v>263.53881799999999</v>
      </c>
      <c r="AF41">
        <v>264.98663299999998</v>
      </c>
      <c r="AG41">
        <v>266.63690200000002</v>
      </c>
      <c r="AH41">
        <v>268.59750400000001</v>
      </c>
      <c r="AI41">
        <v>4.0000000000000001E-3</v>
      </c>
      <c r="AK41" s="31"/>
    </row>
    <row r="42" spans="1:37">
      <c r="A42" t="s">
        <v>443</v>
      </c>
      <c r="B42" t="s">
        <v>2088</v>
      </c>
      <c r="C42" t="s">
        <v>2089</v>
      </c>
      <c r="D42" t="s">
        <v>352</v>
      </c>
      <c r="F42">
        <v>194.09347500000001</v>
      </c>
      <c r="G42">
        <v>192.23809800000001</v>
      </c>
      <c r="H42">
        <v>194.06994599999999</v>
      </c>
      <c r="I42">
        <v>200.040436</v>
      </c>
      <c r="J42">
        <v>211.80838</v>
      </c>
      <c r="K42">
        <v>217.496094</v>
      </c>
      <c r="L42">
        <v>222.337906</v>
      </c>
      <c r="M42">
        <v>222.68753100000001</v>
      </c>
      <c r="N42">
        <v>223.00260900000001</v>
      </c>
      <c r="O42">
        <v>222.13324</v>
      </c>
      <c r="P42">
        <v>219.424149</v>
      </c>
      <c r="Q42">
        <v>219.13748200000001</v>
      </c>
      <c r="R42">
        <v>219.70962499999999</v>
      </c>
      <c r="S42">
        <v>220.290741</v>
      </c>
      <c r="T42">
        <v>220.965836</v>
      </c>
      <c r="U42">
        <v>221.35252399999999</v>
      </c>
      <c r="V42">
        <v>221.47721899999999</v>
      </c>
      <c r="W42">
        <v>221.68804900000001</v>
      </c>
      <c r="X42">
        <v>222.209259</v>
      </c>
      <c r="Y42">
        <v>223.27548200000001</v>
      </c>
      <c r="Z42">
        <v>224.79016100000001</v>
      </c>
      <c r="AA42">
        <v>226.519409</v>
      </c>
      <c r="AB42">
        <v>228.39451600000001</v>
      </c>
      <c r="AC42">
        <v>230.29495199999999</v>
      </c>
      <c r="AD42">
        <v>232.08218400000001</v>
      </c>
      <c r="AE42">
        <v>233.75134299999999</v>
      </c>
      <c r="AF42">
        <v>235.47010800000001</v>
      </c>
      <c r="AG42">
        <v>237.38677999999999</v>
      </c>
      <c r="AH42">
        <v>239.60673499999999</v>
      </c>
      <c r="AI42">
        <v>8.0000000000000002E-3</v>
      </c>
      <c r="AK42" s="31"/>
    </row>
    <row r="43" spans="1:37">
      <c r="A43" t="s">
        <v>444</v>
      </c>
      <c r="B43" t="s">
        <v>2090</v>
      </c>
      <c r="C43" t="s">
        <v>2091</v>
      </c>
      <c r="D43" t="s">
        <v>352</v>
      </c>
      <c r="F43">
        <v>6.4202589999999997</v>
      </c>
      <c r="G43">
        <v>6.630484</v>
      </c>
      <c r="H43">
        <v>7.0380539999999998</v>
      </c>
      <c r="I43">
        <v>7.4738309999999997</v>
      </c>
      <c r="J43">
        <v>7.7361279999999999</v>
      </c>
      <c r="K43">
        <v>7.942304</v>
      </c>
      <c r="L43">
        <v>8.1511990000000001</v>
      </c>
      <c r="M43">
        <v>8.3241639999999997</v>
      </c>
      <c r="N43">
        <v>8.4861249999999995</v>
      </c>
      <c r="O43">
        <v>8.6104839999999996</v>
      </c>
      <c r="P43">
        <v>8.6830189999999998</v>
      </c>
      <c r="Q43">
        <v>8.7442709999999995</v>
      </c>
      <c r="R43">
        <v>8.8029790000000006</v>
      </c>
      <c r="S43">
        <v>8.8579279999999994</v>
      </c>
      <c r="T43">
        <v>8.9114609999999992</v>
      </c>
      <c r="U43">
        <v>8.9553370000000001</v>
      </c>
      <c r="V43">
        <v>8.9903279999999999</v>
      </c>
      <c r="W43">
        <v>9.0245829999999998</v>
      </c>
      <c r="X43">
        <v>9.0631269999999997</v>
      </c>
      <c r="Y43">
        <v>9.1115169999999992</v>
      </c>
      <c r="Z43">
        <v>9.1675760000000004</v>
      </c>
      <c r="AA43">
        <v>9.2260950000000008</v>
      </c>
      <c r="AB43">
        <v>9.2856660000000009</v>
      </c>
      <c r="AC43">
        <v>9.3436179999999993</v>
      </c>
      <c r="AD43">
        <v>9.3966670000000008</v>
      </c>
      <c r="AE43">
        <v>9.4445119999999996</v>
      </c>
      <c r="AF43">
        <v>9.4910440000000005</v>
      </c>
      <c r="AG43">
        <v>9.5396800000000006</v>
      </c>
      <c r="AH43">
        <v>9.5927240000000005</v>
      </c>
      <c r="AI43">
        <v>1.4E-2</v>
      </c>
      <c r="AK43" s="31"/>
    </row>
    <row r="44" spans="1:37">
      <c r="A44" t="s">
        <v>434</v>
      </c>
      <c r="B44" t="s">
        <v>2092</v>
      </c>
      <c r="C44" t="s">
        <v>2093</v>
      </c>
      <c r="D44" t="s">
        <v>352</v>
      </c>
      <c r="F44">
        <v>1227.147827</v>
      </c>
      <c r="G44">
        <v>1249.578857</v>
      </c>
      <c r="H44">
        <v>1296.659668</v>
      </c>
      <c r="I44">
        <v>1322.8562010000001</v>
      </c>
      <c r="J44">
        <v>1346.4279790000001</v>
      </c>
      <c r="K44">
        <v>1362.371216</v>
      </c>
      <c r="L44">
        <v>1377.2524410000001</v>
      </c>
      <c r="M44">
        <v>1388.3432620000001</v>
      </c>
      <c r="N44">
        <v>1400.166138</v>
      </c>
      <c r="O44">
        <v>1413.010254</v>
      </c>
      <c r="P44">
        <v>1426.618774</v>
      </c>
      <c r="Q44">
        <v>1440.7891850000001</v>
      </c>
      <c r="R44">
        <v>1455.565308</v>
      </c>
      <c r="S44">
        <v>1470.9169919999999</v>
      </c>
      <c r="T44">
        <v>1486.759888</v>
      </c>
      <c r="U44">
        <v>1502.997437</v>
      </c>
      <c r="V44">
        <v>1519.678711</v>
      </c>
      <c r="W44">
        <v>1537.9736330000001</v>
      </c>
      <c r="X44">
        <v>1556.856567</v>
      </c>
      <c r="Y44">
        <v>1576.3481449999999</v>
      </c>
      <c r="Z44">
        <v>1596.427246</v>
      </c>
      <c r="AA44">
        <v>1617.070557</v>
      </c>
      <c r="AB44">
        <v>1638.2687989999999</v>
      </c>
      <c r="AC44">
        <v>1660.0043949999999</v>
      </c>
      <c r="AD44">
        <v>1682.3054199999999</v>
      </c>
      <c r="AE44">
        <v>1705.1701660000001</v>
      </c>
      <c r="AF44">
        <v>1728.5679929999999</v>
      </c>
      <c r="AG44">
        <v>1752.4719239999999</v>
      </c>
      <c r="AH44">
        <v>1776.8424070000001</v>
      </c>
      <c r="AI44">
        <v>1.2999999999999999E-2</v>
      </c>
      <c r="AK44" s="31"/>
    </row>
    <row r="45" spans="1:37">
      <c r="A45" t="s">
        <v>442</v>
      </c>
      <c r="B45" t="s">
        <v>2094</v>
      </c>
      <c r="C45" t="s">
        <v>2095</v>
      </c>
      <c r="D45" t="s">
        <v>352</v>
      </c>
      <c r="F45">
        <v>724.09747300000004</v>
      </c>
      <c r="G45">
        <v>745.41119400000002</v>
      </c>
      <c r="H45">
        <v>777.49664299999995</v>
      </c>
      <c r="I45">
        <v>796.97705099999996</v>
      </c>
      <c r="J45">
        <v>814.26129200000003</v>
      </c>
      <c r="K45">
        <v>825.46069299999999</v>
      </c>
      <c r="L45">
        <v>834.75518799999998</v>
      </c>
      <c r="M45">
        <v>841.63220200000001</v>
      </c>
      <c r="N45">
        <v>848.96997099999999</v>
      </c>
      <c r="O45">
        <v>856.95440699999995</v>
      </c>
      <c r="P45">
        <v>865.436646</v>
      </c>
      <c r="Q45">
        <v>874.300476</v>
      </c>
      <c r="R45">
        <v>883.56133999999997</v>
      </c>
      <c r="S45">
        <v>893.23516800000004</v>
      </c>
      <c r="T45">
        <v>903.29589799999997</v>
      </c>
      <c r="U45">
        <v>913.70910600000002</v>
      </c>
      <c r="V45">
        <v>924.48474099999999</v>
      </c>
      <c r="W45">
        <v>935.63366699999995</v>
      </c>
      <c r="X45">
        <v>947.14184599999999</v>
      </c>
      <c r="Y45">
        <v>959.021973</v>
      </c>
      <c r="Z45">
        <v>971.26080300000001</v>
      </c>
      <c r="AA45">
        <v>983.84454300000004</v>
      </c>
      <c r="AB45">
        <v>996.76702899999998</v>
      </c>
      <c r="AC45">
        <v>1010.018066</v>
      </c>
      <c r="AD45">
        <v>1023.614624</v>
      </c>
      <c r="AE45">
        <v>1037.555664</v>
      </c>
      <c r="AF45">
        <v>1051.8226320000001</v>
      </c>
      <c r="AG45">
        <v>1066.3989260000001</v>
      </c>
      <c r="AH45">
        <v>1081.260254</v>
      </c>
      <c r="AI45">
        <v>1.4E-2</v>
      </c>
      <c r="AK45" s="31"/>
    </row>
    <row r="46" spans="1:37">
      <c r="A46" t="s">
        <v>443</v>
      </c>
      <c r="B46" t="s">
        <v>2096</v>
      </c>
      <c r="C46" t="s">
        <v>2097</v>
      </c>
      <c r="D46" t="s">
        <v>352</v>
      </c>
      <c r="F46">
        <v>142.13980100000001</v>
      </c>
      <c r="G46">
        <v>141.262497</v>
      </c>
      <c r="H46">
        <v>148.55049099999999</v>
      </c>
      <c r="I46">
        <v>152.680939</v>
      </c>
      <c r="J46">
        <v>154.77879300000001</v>
      </c>
      <c r="K46">
        <v>156.26916499999999</v>
      </c>
      <c r="L46">
        <v>158.75853000000001</v>
      </c>
      <c r="M46">
        <v>160.10771199999999</v>
      </c>
      <c r="N46">
        <v>161.51473999999999</v>
      </c>
      <c r="O46">
        <v>162.989273</v>
      </c>
      <c r="P46">
        <v>164.49707000000001</v>
      </c>
      <c r="Q46">
        <v>166.01217700000001</v>
      </c>
      <c r="R46">
        <v>167.519623</v>
      </c>
      <c r="S46">
        <v>169.003647</v>
      </c>
      <c r="T46">
        <v>170.41892999999999</v>
      </c>
      <c r="U46">
        <v>171.71991</v>
      </c>
      <c r="V46">
        <v>172.94198600000001</v>
      </c>
      <c r="W46">
        <v>175.24054000000001</v>
      </c>
      <c r="X46">
        <v>177.61509699999999</v>
      </c>
      <c r="Y46">
        <v>180.06681800000001</v>
      </c>
      <c r="Z46">
        <v>182.593872</v>
      </c>
      <c r="AA46">
        <v>185.19430500000001</v>
      </c>
      <c r="AB46">
        <v>187.86746199999999</v>
      </c>
      <c r="AC46">
        <v>190.61198400000001</v>
      </c>
      <c r="AD46">
        <v>193.43158</v>
      </c>
      <c r="AE46">
        <v>196.32659899999999</v>
      </c>
      <c r="AF46">
        <v>199.294037</v>
      </c>
      <c r="AG46">
        <v>202.33120700000001</v>
      </c>
      <c r="AH46">
        <v>205.43396000000001</v>
      </c>
      <c r="AI46">
        <v>1.2999999999999999E-2</v>
      </c>
      <c r="AK46" s="31"/>
    </row>
    <row r="47" spans="1:37">
      <c r="A47" t="s">
        <v>444</v>
      </c>
      <c r="B47" t="s">
        <v>2098</v>
      </c>
      <c r="C47" t="s">
        <v>2099</v>
      </c>
      <c r="D47" t="s">
        <v>352</v>
      </c>
      <c r="F47">
        <v>360.91052200000001</v>
      </c>
      <c r="G47">
        <v>362.90515099999999</v>
      </c>
      <c r="H47">
        <v>370.61248799999998</v>
      </c>
      <c r="I47">
        <v>373.19818099999998</v>
      </c>
      <c r="J47">
        <v>377.38781699999998</v>
      </c>
      <c r="K47">
        <v>380.64135700000003</v>
      </c>
      <c r="L47">
        <v>383.73873900000001</v>
      </c>
      <c r="M47">
        <v>386.603363</v>
      </c>
      <c r="N47">
        <v>389.68142699999999</v>
      </c>
      <c r="O47">
        <v>393.06664999999998</v>
      </c>
      <c r="P47">
        <v>396.68505900000002</v>
      </c>
      <c r="Q47">
        <v>400.476562</v>
      </c>
      <c r="R47">
        <v>404.48440599999998</v>
      </c>
      <c r="S47">
        <v>408.67816199999999</v>
      </c>
      <c r="T47">
        <v>413.04504400000002</v>
      </c>
      <c r="U47">
        <v>417.56845099999998</v>
      </c>
      <c r="V47">
        <v>422.251892</v>
      </c>
      <c r="W47">
        <v>427.09936499999998</v>
      </c>
      <c r="X47">
        <v>432.09957900000001</v>
      </c>
      <c r="Y47">
        <v>437.25933800000001</v>
      </c>
      <c r="Z47">
        <v>442.57247899999999</v>
      </c>
      <c r="AA47">
        <v>448.03179899999998</v>
      </c>
      <c r="AB47">
        <v>453.63421599999998</v>
      </c>
      <c r="AC47">
        <v>459.37435900000003</v>
      </c>
      <c r="AD47">
        <v>465.25933800000001</v>
      </c>
      <c r="AE47">
        <v>471.28787199999999</v>
      </c>
      <c r="AF47">
        <v>477.45126299999998</v>
      </c>
      <c r="AG47">
        <v>483.74185199999999</v>
      </c>
      <c r="AH47">
        <v>490.14816300000001</v>
      </c>
      <c r="AI47">
        <v>1.0999999999999999E-2</v>
      </c>
      <c r="AK47" s="31"/>
    </row>
    <row r="48" spans="1:37">
      <c r="A48" t="s">
        <v>435</v>
      </c>
      <c r="B48" t="s">
        <v>2100</v>
      </c>
      <c r="C48" t="s">
        <v>2101</v>
      </c>
      <c r="D48" t="s">
        <v>352</v>
      </c>
      <c r="F48">
        <v>863.39324999999997</v>
      </c>
      <c r="G48">
        <v>858.48559599999999</v>
      </c>
      <c r="H48">
        <v>862.52239999999995</v>
      </c>
      <c r="I48">
        <v>880.34796100000005</v>
      </c>
      <c r="J48">
        <v>894.16272000000004</v>
      </c>
      <c r="K48">
        <v>887.80346699999996</v>
      </c>
      <c r="L48">
        <v>878.36523399999999</v>
      </c>
      <c r="M48">
        <v>872.06567399999994</v>
      </c>
      <c r="N48">
        <v>868.31762700000002</v>
      </c>
      <c r="O48">
        <v>871.87713599999995</v>
      </c>
      <c r="P48">
        <v>885.20684800000004</v>
      </c>
      <c r="Q48">
        <v>900.13983199999996</v>
      </c>
      <c r="R48">
        <v>915.54736300000002</v>
      </c>
      <c r="S48">
        <v>931.46655299999998</v>
      </c>
      <c r="T48">
        <v>947.493469</v>
      </c>
      <c r="U48">
        <v>963.989014</v>
      </c>
      <c r="V48">
        <v>980.96862799999997</v>
      </c>
      <c r="W48">
        <v>998.42492700000003</v>
      </c>
      <c r="X48">
        <v>1018.283325</v>
      </c>
      <c r="Y48">
        <v>1039.966797</v>
      </c>
      <c r="Z48">
        <v>1062.269043</v>
      </c>
      <c r="AA48">
        <v>1085.19812</v>
      </c>
      <c r="AB48">
        <v>1108.7426760000001</v>
      </c>
      <c r="AC48">
        <v>1132.9030760000001</v>
      </c>
      <c r="AD48">
        <v>1157.165649</v>
      </c>
      <c r="AE48">
        <v>1182.0253909999999</v>
      </c>
      <c r="AF48">
        <v>1207.5124510000001</v>
      </c>
      <c r="AG48">
        <v>1233.6441649999999</v>
      </c>
      <c r="AH48">
        <v>1260.4357910000001</v>
      </c>
      <c r="AI48">
        <v>1.4E-2</v>
      </c>
      <c r="AK48" s="31"/>
    </row>
    <row r="49" spans="1:37">
      <c r="A49" t="s">
        <v>442</v>
      </c>
      <c r="B49" t="s">
        <v>2102</v>
      </c>
      <c r="C49" t="s">
        <v>2103</v>
      </c>
      <c r="D49" t="s">
        <v>352</v>
      </c>
      <c r="F49">
        <v>582.93487500000003</v>
      </c>
      <c r="G49">
        <v>579.98657200000002</v>
      </c>
      <c r="H49">
        <v>575.57299799999998</v>
      </c>
      <c r="I49">
        <v>582.32354699999996</v>
      </c>
      <c r="J49">
        <v>587.69348100000002</v>
      </c>
      <c r="K49">
        <v>580.94970699999999</v>
      </c>
      <c r="L49">
        <v>572.30761700000005</v>
      </c>
      <c r="M49">
        <v>563.48828100000003</v>
      </c>
      <c r="N49">
        <v>556.739868</v>
      </c>
      <c r="O49">
        <v>556.94097899999997</v>
      </c>
      <c r="P49">
        <v>566.66876200000002</v>
      </c>
      <c r="Q49">
        <v>576.76788299999998</v>
      </c>
      <c r="R49">
        <v>587.24645999999996</v>
      </c>
      <c r="S49">
        <v>598.12640399999998</v>
      </c>
      <c r="T49">
        <v>609.15692100000001</v>
      </c>
      <c r="U49">
        <v>620.56207300000005</v>
      </c>
      <c r="V49">
        <v>632.35351600000001</v>
      </c>
      <c r="W49">
        <v>644.52978499999995</v>
      </c>
      <c r="X49">
        <v>658.21441700000003</v>
      </c>
      <c r="Y49">
        <v>672.11199999999997</v>
      </c>
      <c r="Z49">
        <v>686.41107199999999</v>
      </c>
      <c r="AA49">
        <v>701.115723</v>
      </c>
      <c r="AB49">
        <v>716.21807899999999</v>
      </c>
      <c r="AC49">
        <v>731.71795699999996</v>
      </c>
      <c r="AD49">
        <v>747.29480000000001</v>
      </c>
      <c r="AE49">
        <v>763.25799600000005</v>
      </c>
      <c r="AF49">
        <v>779.62646500000005</v>
      </c>
      <c r="AG49">
        <v>796.41186500000003</v>
      </c>
      <c r="AH49">
        <v>813.62445100000002</v>
      </c>
      <c r="AI49">
        <v>1.2E-2</v>
      </c>
      <c r="AK49" s="31"/>
    </row>
    <row r="50" spans="1:37">
      <c r="A50" t="s">
        <v>443</v>
      </c>
      <c r="B50" t="s">
        <v>2104</v>
      </c>
      <c r="C50" t="s">
        <v>2105</v>
      </c>
      <c r="D50" t="s">
        <v>352</v>
      </c>
      <c r="F50">
        <v>89.579268999999996</v>
      </c>
      <c r="G50">
        <v>89.271439000000001</v>
      </c>
      <c r="H50">
        <v>88.789383000000001</v>
      </c>
      <c r="I50">
        <v>89.740844999999993</v>
      </c>
      <c r="J50">
        <v>90.556579999999997</v>
      </c>
      <c r="K50">
        <v>90.010543999999996</v>
      </c>
      <c r="L50">
        <v>89.066185000000004</v>
      </c>
      <c r="M50">
        <v>87.923186999999999</v>
      </c>
      <c r="N50">
        <v>86.847686999999993</v>
      </c>
      <c r="O50">
        <v>85.837722999999997</v>
      </c>
      <c r="P50">
        <v>84.861557000000005</v>
      </c>
      <c r="Q50">
        <v>84.940544000000003</v>
      </c>
      <c r="R50">
        <v>84.936156999999994</v>
      </c>
      <c r="S50">
        <v>84.855225000000004</v>
      </c>
      <c r="T50">
        <v>84.671783000000005</v>
      </c>
      <c r="U50">
        <v>84.412375999999995</v>
      </c>
      <c r="V50">
        <v>84.076126000000002</v>
      </c>
      <c r="W50">
        <v>83.659255999999999</v>
      </c>
      <c r="X50">
        <v>83.961455999999998</v>
      </c>
      <c r="Y50">
        <v>85.832549999999998</v>
      </c>
      <c r="Z50">
        <v>87.750534000000002</v>
      </c>
      <c r="AA50">
        <v>89.717117000000002</v>
      </c>
      <c r="AB50">
        <v>91.732230999999999</v>
      </c>
      <c r="AC50">
        <v>93.796515999999997</v>
      </c>
      <c r="AD50">
        <v>95.862342999999996</v>
      </c>
      <c r="AE50">
        <v>97.976073999999997</v>
      </c>
      <c r="AF50">
        <v>100.14046500000001</v>
      </c>
      <c r="AG50">
        <v>102.35675000000001</v>
      </c>
      <c r="AH50">
        <v>104.626221</v>
      </c>
      <c r="AI50">
        <v>6.0000000000000001E-3</v>
      </c>
      <c r="AK50" s="31"/>
    </row>
    <row r="51" spans="1:37">
      <c r="A51" t="s">
        <v>444</v>
      </c>
      <c r="B51" t="s">
        <v>2106</v>
      </c>
      <c r="C51" t="s">
        <v>2107</v>
      </c>
      <c r="D51" t="s">
        <v>352</v>
      </c>
      <c r="F51">
        <v>190.87910500000001</v>
      </c>
      <c r="G51">
        <v>189.227585</v>
      </c>
      <c r="H51">
        <v>198.160034</v>
      </c>
      <c r="I51">
        <v>208.28358499999999</v>
      </c>
      <c r="J51">
        <v>215.91262800000001</v>
      </c>
      <c r="K51">
        <v>216.84320099999999</v>
      </c>
      <c r="L51">
        <v>216.99142499999999</v>
      </c>
      <c r="M51">
        <v>220.65417500000001</v>
      </c>
      <c r="N51">
        <v>224.730133</v>
      </c>
      <c r="O51">
        <v>229.098434</v>
      </c>
      <c r="P51">
        <v>233.67649800000001</v>
      </c>
      <c r="Q51">
        <v>238.43139600000001</v>
      </c>
      <c r="R51">
        <v>243.36476099999999</v>
      </c>
      <c r="S51">
        <v>248.48493999999999</v>
      </c>
      <c r="T51">
        <v>253.66471899999999</v>
      </c>
      <c r="U51">
        <v>259.01461799999998</v>
      </c>
      <c r="V51">
        <v>264.53900099999998</v>
      </c>
      <c r="W51">
        <v>270.23586999999998</v>
      </c>
      <c r="X51">
        <v>276.10742199999999</v>
      </c>
      <c r="Y51">
        <v>282.02221700000001</v>
      </c>
      <c r="Z51">
        <v>288.10745200000002</v>
      </c>
      <c r="AA51">
        <v>294.365295</v>
      </c>
      <c r="AB51">
        <v>300.79238900000001</v>
      </c>
      <c r="AC51">
        <v>307.38867199999999</v>
      </c>
      <c r="AD51">
        <v>314.00845299999997</v>
      </c>
      <c r="AE51">
        <v>320.791382</v>
      </c>
      <c r="AF51">
        <v>327.74560500000001</v>
      </c>
      <c r="AG51">
        <v>334.875519</v>
      </c>
      <c r="AH51">
        <v>342.18515000000002</v>
      </c>
      <c r="AI51">
        <v>2.1000000000000001E-2</v>
      </c>
      <c r="AK51" s="31"/>
    </row>
    <row r="52" spans="1:37">
      <c r="A52" t="s">
        <v>436</v>
      </c>
      <c r="B52" t="s">
        <v>2108</v>
      </c>
      <c r="C52" t="s">
        <v>2109</v>
      </c>
      <c r="D52" t="s">
        <v>352</v>
      </c>
      <c r="F52">
        <v>4574.6416019999997</v>
      </c>
      <c r="G52">
        <v>4502.9458009999998</v>
      </c>
      <c r="H52">
        <v>4613.8286129999997</v>
      </c>
      <c r="I52">
        <v>4782.1293949999999</v>
      </c>
      <c r="J52">
        <v>4986.513672</v>
      </c>
      <c r="K52">
        <v>5171.7817379999997</v>
      </c>
      <c r="L52">
        <v>5355.4565430000002</v>
      </c>
      <c r="M52">
        <v>5547.7666019999997</v>
      </c>
      <c r="N52">
        <v>5744.6484380000002</v>
      </c>
      <c r="O52">
        <v>5948.5024409999996</v>
      </c>
      <c r="P52">
        <v>6158.7543949999999</v>
      </c>
      <c r="Q52">
        <v>6377.5625</v>
      </c>
      <c r="R52">
        <v>6609.4726559999999</v>
      </c>
      <c r="S52">
        <v>6857.7416990000002</v>
      </c>
      <c r="T52">
        <v>7120.8588870000003</v>
      </c>
      <c r="U52">
        <v>7385.908203</v>
      </c>
      <c r="V52">
        <v>7653.1064450000003</v>
      </c>
      <c r="W52">
        <v>7924.0791019999997</v>
      </c>
      <c r="X52">
        <v>8201.3076170000004</v>
      </c>
      <c r="Y52">
        <v>8487.6396480000003</v>
      </c>
      <c r="Z52">
        <v>8782.8623050000006</v>
      </c>
      <c r="AA52">
        <v>9084.5117190000001</v>
      </c>
      <c r="AB52">
        <v>9389.5683590000008</v>
      </c>
      <c r="AC52">
        <v>9694.7392579999996</v>
      </c>
      <c r="AD52">
        <v>9999.3994139999995</v>
      </c>
      <c r="AE52">
        <v>10305.103515999999</v>
      </c>
      <c r="AF52">
        <v>10610.702148</v>
      </c>
      <c r="AG52">
        <v>10913.130859000001</v>
      </c>
      <c r="AH52">
        <v>11209.146484000001</v>
      </c>
      <c r="AI52">
        <v>3.3000000000000002E-2</v>
      </c>
      <c r="AK52" s="31"/>
    </row>
    <row r="53" spans="1:37">
      <c r="A53" t="s">
        <v>442</v>
      </c>
      <c r="B53" t="s">
        <v>2110</v>
      </c>
      <c r="C53" t="s">
        <v>2111</v>
      </c>
      <c r="D53" t="s">
        <v>352</v>
      </c>
      <c r="F53">
        <v>3559.5004880000001</v>
      </c>
      <c r="G53">
        <v>3496.1911620000001</v>
      </c>
      <c r="H53">
        <v>3554.038818</v>
      </c>
      <c r="I53">
        <v>3677.0253910000001</v>
      </c>
      <c r="J53">
        <v>3831.201172</v>
      </c>
      <c r="K53">
        <v>3982.0429690000001</v>
      </c>
      <c r="L53">
        <v>4133.1328119999998</v>
      </c>
      <c r="M53">
        <v>4289.3647460000002</v>
      </c>
      <c r="N53">
        <v>4449.0839839999999</v>
      </c>
      <c r="O53">
        <v>4613.9350590000004</v>
      </c>
      <c r="P53">
        <v>4783.53125</v>
      </c>
      <c r="Q53">
        <v>4956.9770509999998</v>
      </c>
      <c r="R53">
        <v>5134.53125</v>
      </c>
      <c r="S53">
        <v>5327.2944340000004</v>
      </c>
      <c r="T53">
        <v>5533.8310549999997</v>
      </c>
      <c r="U53">
        <v>5741.5307620000003</v>
      </c>
      <c r="V53">
        <v>5950.5478519999997</v>
      </c>
      <c r="W53">
        <v>6162.2055659999996</v>
      </c>
      <c r="X53">
        <v>6378.5224609999996</v>
      </c>
      <c r="Y53">
        <v>6601.8525390000004</v>
      </c>
      <c r="Z53">
        <v>6832.0034180000002</v>
      </c>
      <c r="AA53">
        <v>7066.9116210000002</v>
      </c>
      <c r="AB53">
        <v>7304.0498049999997</v>
      </c>
      <c r="AC53">
        <v>7540.671875</v>
      </c>
      <c r="AD53">
        <v>7776.2485349999997</v>
      </c>
      <c r="AE53">
        <v>8012.0551759999998</v>
      </c>
      <c r="AF53">
        <v>8247.1210940000001</v>
      </c>
      <c r="AG53">
        <v>8478.8828119999998</v>
      </c>
      <c r="AH53">
        <v>8704.6386719999991</v>
      </c>
      <c r="AI53">
        <v>3.2000000000000001E-2</v>
      </c>
      <c r="AK53" s="31"/>
    </row>
    <row r="54" spans="1:37">
      <c r="A54" t="s">
        <v>443</v>
      </c>
      <c r="B54" t="s">
        <v>2112</v>
      </c>
      <c r="C54" t="s">
        <v>2113</v>
      </c>
      <c r="D54" t="s">
        <v>352</v>
      </c>
      <c r="F54">
        <v>713.54803500000003</v>
      </c>
      <c r="G54">
        <v>710.85974099999999</v>
      </c>
      <c r="H54">
        <v>745.14947500000005</v>
      </c>
      <c r="I54">
        <v>788.01769999999999</v>
      </c>
      <c r="J54">
        <v>832.75152600000001</v>
      </c>
      <c r="K54">
        <v>860.81890899999996</v>
      </c>
      <c r="L54">
        <v>886.19397000000004</v>
      </c>
      <c r="M54">
        <v>910.27996800000005</v>
      </c>
      <c r="N54">
        <v>933.59338400000001</v>
      </c>
      <c r="O54">
        <v>958.60681199999999</v>
      </c>
      <c r="P54">
        <v>985.13653599999998</v>
      </c>
      <c r="Q54">
        <v>1016.287231</v>
      </c>
      <c r="R54">
        <v>1056.3041989999999</v>
      </c>
      <c r="S54">
        <v>1097.25647</v>
      </c>
      <c r="T54">
        <v>1139.1048579999999</v>
      </c>
      <c r="U54">
        <v>1181.6645510000001</v>
      </c>
      <c r="V54">
        <v>1224.9884030000001</v>
      </c>
      <c r="W54">
        <v>1269.2797849999999</v>
      </c>
      <c r="X54">
        <v>1314.854126</v>
      </c>
      <c r="Y54">
        <v>1362.0289310000001</v>
      </c>
      <c r="Z54">
        <v>1410.799683</v>
      </c>
      <c r="AA54">
        <v>1460.9208980000001</v>
      </c>
      <c r="AB54">
        <v>1512.0900879999999</v>
      </c>
      <c r="AC54">
        <v>1563.967163</v>
      </c>
      <c r="AD54">
        <v>1616.494995</v>
      </c>
      <c r="AE54">
        <v>1669.8598629999999</v>
      </c>
      <c r="AF54">
        <v>1723.9567870000001</v>
      </c>
      <c r="AG54">
        <v>1778.476807</v>
      </c>
      <c r="AH54">
        <v>1833.0798339999999</v>
      </c>
      <c r="AI54">
        <v>3.4000000000000002E-2</v>
      </c>
      <c r="AK54" s="31"/>
    </row>
    <row r="55" spans="1:37">
      <c r="A55" t="s">
        <v>444</v>
      </c>
      <c r="B55" t="s">
        <v>2114</v>
      </c>
      <c r="C55" t="s">
        <v>2115</v>
      </c>
      <c r="D55" t="s">
        <v>352</v>
      </c>
      <c r="F55">
        <v>301.593414</v>
      </c>
      <c r="G55">
        <v>295.895081</v>
      </c>
      <c r="H55">
        <v>314.64031999999997</v>
      </c>
      <c r="I55">
        <v>317.08633400000002</v>
      </c>
      <c r="J55">
        <v>322.56106599999998</v>
      </c>
      <c r="K55">
        <v>328.91992199999999</v>
      </c>
      <c r="L55">
        <v>336.129974</v>
      </c>
      <c r="M55">
        <v>348.12231400000002</v>
      </c>
      <c r="N55">
        <v>361.97113000000002</v>
      </c>
      <c r="O55">
        <v>375.96026599999999</v>
      </c>
      <c r="P55">
        <v>390.08624300000002</v>
      </c>
      <c r="Q55">
        <v>404.29849200000001</v>
      </c>
      <c r="R55">
        <v>418.63696299999998</v>
      </c>
      <c r="S55">
        <v>433.19073500000002</v>
      </c>
      <c r="T55">
        <v>447.922821</v>
      </c>
      <c r="U55">
        <v>462.71279900000002</v>
      </c>
      <c r="V55">
        <v>477.57046500000001</v>
      </c>
      <c r="W55">
        <v>492.59387199999998</v>
      </c>
      <c r="X55">
        <v>507.93145800000002</v>
      </c>
      <c r="Y55">
        <v>523.75842299999999</v>
      </c>
      <c r="Z55">
        <v>540.059753</v>
      </c>
      <c r="AA55">
        <v>556.67987100000005</v>
      </c>
      <c r="AB55">
        <v>573.42907700000001</v>
      </c>
      <c r="AC55">
        <v>590.10095200000001</v>
      </c>
      <c r="AD55">
        <v>606.65582300000005</v>
      </c>
      <c r="AE55">
        <v>623.18804899999998</v>
      </c>
      <c r="AF55">
        <v>639.62396200000001</v>
      </c>
      <c r="AG55">
        <v>655.77099599999997</v>
      </c>
      <c r="AH55">
        <v>671.42730700000004</v>
      </c>
      <c r="AI55">
        <v>2.9000000000000001E-2</v>
      </c>
      <c r="AK55" s="31"/>
    </row>
    <row r="56" spans="1:37">
      <c r="A56" t="s">
        <v>437</v>
      </c>
      <c r="B56" t="s">
        <v>2116</v>
      </c>
      <c r="C56" t="s">
        <v>2117</v>
      </c>
      <c r="D56" t="s">
        <v>352</v>
      </c>
      <c r="F56">
        <v>774.91711399999997</v>
      </c>
      <c r="G56">
        <v>768.29339600000003</v>
      </c>
      <c r="H56">
        <v>764.73290999999995</v>
      </c>
      <c r="I56">
        <v>778.03857400000004</v>
      </c>
      <c r="J56">
        <v>825.81585700000005</v>
      </c>
      <c r="K56">
        <v>870.64929199999995</v>
      </c>
      <c r="L56">
        <v>918.42169200000001</v>
      </c>
      <c r="M56">
        <v>971.06671100000005</v>
      </c>
      <c r="N56">
        <v>1026.44812</v>
      </c>
      <c r="O56">
        <v>1083.606567</v>
      </c>
      <c r="P56">
        <v>1142.3126219999999</v>
      </c>
      <c r="Q56">
        <v>1202.0158690000001</v>
      </c>
      <c r="R56">
        <v>1262.122803</v>
      </c>
      <c r="S56">
        <v>1322.8093260000001</v>
      </c>
      <c r="T56">
        <v>1385.2110600000001</v>
      </c>
      <c r="U56">
        <v>1454.5601810000001</v>
      </c>
      <c r="V56">
        <v>1525.713379</v>
      </c>
      <c r="W56">
        <v>1598.5498050000001</v>
      </c>
      <c r="X56">
        <v>1672.8598629999999</v>
      </c>
      <c r="Y56">
        <v>1748.564453</v>
      </c>
      <c r="Z56">
        <v>1825.5356449999999</v>
      </c>
      <c r="AA56">
        <v>1903.6933590000001</v>
      </c>
      <c r="AB56">
        <v>1982.8089600000001</v>
      </c>
      <c r="AC56">
        <v>2062.6984859999998</v>
      </c>
      <c r="AD56">
        <v>2143.1623540000001</v>
      </c>
      <c r="AE56">
        <v>2223.9953609999998</v>
      </c>
      <c r="AF56">
        <v>2304.9533689999998</v>
      </c>
      <c r="AG56">
        <v>2385.7915039999998</v>
      </c>
      <c r="AH56">
        <v>2466.2854000000002</v>
      </c>
      <c r="AI56">
        <v>4.2000000000000003E-2</v>
      </c>
      <c r="AK56" s="31"/>
    </row>
    <row r="57" spans="1:37">
      <c r="A57" t="s">
        <v>442</v>
      </c>
      <c r="B57" t="s">
        <v>2118</v>
      </c>
      <c r="C57" t="s">
        <v>2119</v>
      </c>
      <c r="D57" t="s">
        <v>352</v>
      </c>
      <c r="F57">
        <v>608.56921399999999</v>
      </c>
      <c r="G57">
        <v>603.60931400000004</v>
      </c>
      <c r="H57">
        <v>597.139771</v>
      </c>
      <c r="I57">
        <v>605.89227300000005</v>
      </c>
      <c r="J57">
        <v>641.84368900000004</v>
      </c>
      <c r="K57">
        <v>675.50701900000001</v>
      </c>
      <c r="L57">
        <v>710.96124299999997</v>
      </c>
      <c r="M57">
        <v>750.22021500000005</v>
      </c>
      <c r="N57">
        <v>791.62097200000005</v>
      </c>
      <c r="O57">
        <v>834.676331</v>
      </c>
      <c r="P57">
        <v>879.022156</v>
      </c>
      <c r="Q57">
        <v>924.22381600000006</v>
      </c>
      <c r="R57">
        <v>969.81457499999999</v>
      </c>
      <c r="S57">
        <v>1015.923828</v>
      </c>
      <c r="T57">
        <v>1062.9696039999999</v>
      </c>
      <c r="U57">
        <v>1116.5548100000001</v>
      </c>
      <c r="V57">
        <v>1171.5344239999999</v>
      </c>
      <c r="W57">
        <v>1227.8149410000001</v>
      </c>
      <c r="X57">
        <v>1285.2337649999999</v>
      </c>
      <c r="Y57">
        <v>1343.7298579999999</v>
      </c>
      <c r="Z57">
        <v>1403.2042240000001</v>
      </c>
      <c r="AA57">
        <v>1463.5946039999999</v>
      </c>
      <c r="AB57">
        <v>1524.723755</v>
      </c>
      <c r="AC57">
        <v>1586.4490969999999</v>
      </c>
      <c r="AD57">
        <v>1648.616211</v>
      </c>
      <c r="AE57">
        <v>1711.065918</v>
      </c>
      <c r="AF57">
        <v>1773.6091309999999</v>
      </c>
      <c r="AG57">
        <v>1836.05603</v>
      </c>
      <c r="AH57">
        <v>1898.2326660000001</v>
      </c>
      <c r="AI57">
        <v>4.1000000000000002E-2</v>
      </c>
      <c r="AK57" s="31"/>
    </row>
    <row r="58" spans="1:37">
      <c r="A58" t="s">
        <v>443</v>
      </c>
      <c r="B58" t="s">
        <v>2120</v>
      </c>
      <c r="C58" t="s">
        <v>2121</v>
      </c>
      <c r="D58" t="s">
        <v>352</v>
      </c>
      <c r="F58">
        <v>52.231566999999998</v>
      </c>
      <c r="G58">
        <v>51.949814000000003</v>
      </c>
      <c r="H58">
        <v>54.070957</v>
      </c>
      <c r="I58">
        <v>58.484687999999998</v>
      </c>
      <c r="J58">
        <v>62.701180000000001</v>
      </c>
      <c r="K58">
        <v>65.006927000000005</v>
      </c>
      <c r="L58">
        <v>67.098465000000004</v>
      </c>
      <c r="M58">
        <v>69.922432000000001</v>
      </c>
      <c r="N58">
        <v>73.083709999999996</v>
      </c>
      <c r="O58">
        <v>76.195869000000002</v>
      </c>
      <c r="P58">
        <v>79.452858000000006</v>
      </c>
      <c r="Q58">
        <v>82.816260999999997</v>
      </c>
      <c r="R58">
        <v>86.246093999999999</v>
      </c>
      <c r="S58">
        <v>89.745720000000006</v>
      </c>
      <c r="T58">
        <v>93.928413000000006</v>
      </c>
      <c r="U58">
        <v>98.213973999999993</v>
      </c>
      <c r="V58">
        <v>102.60317999999999</v>
      </c>
      <c r="W58">
        <v>107.08957700000001</v>
      </c>
      <c r="X58">
        <v>111.664528</v>
      </c>
      <c r="Y58">
        <v>116.322639</v>
      </c>
      <c r="Z58">
        <v>121.057312</v>
      </c>
      <c r="AA58">
        <v>125.865196</v>
      </c>
      <c r="AB58">
        <v>130.73493999999999</v>
      </c>
      <c r="AC58">
        <v>135.65770000000001</v>
      </c>
      <c r="AD58">
        <v>140.623108</v>
      </c>
      <c r="AE58">
        <v>145.62043800000001</v>
      </c>
      <c r="AF58">
        <v>150.63755800000001</v>
      </c>
      <c r="AG58">
        <v>155.66235399999999</v>
      </c>
      <c r="AH58">
        <v>160.68379200000001</v>
      </c>
      <c r="AI58">
        <v>4.1000000000000002E-2</v>
      </c>
      <c r="AK58" s="31"/>
    </row>
    <row r="59" spans="1:37">
      <c r="A59" t="s">
        <v>444</v>
      </c>
      <c r="B59" t="s">
        <v>2122</v>
      </c>
      <c r="C59" t="s">
        <v>2123</v>
      </c>
      <c r="D59" t="s">
        <v>352</v>
      </c>
      <c r="F59">
        <v>114.11634100000001</v>
      </c>
      <c r="G59">
        <v>112.73427599999999</v>
      </c>
      <c r="H59">
        <v>113.52216300000001</v>
      </c>
      <c r="I59">
        <v>113.661636</v>
      </c>
      <c r="J59">
        <v>121.270988</v>
      </c>
      <c r="K59">
        <v>130.13536099999999</v>
      </c>
      <c r="L59">
        <v>140.36199999999999</v>
      </c>
      <c r="M59">
        <v>150.92408800000001</v>
      </c>
      <c r="N59">
        <v>161.74336199999999</v>
      </c>
      <c r="O59">
        <v>172.734421</v>
      </c>
      <c r="P59">
        <v>183.837616</v>
      </c>
      <c r="Q59">
        <v>194.97575399999999</v>
      </c>
      <c r="R59">
        <v>206.06214900000001</v>
      </c>
      <c r="S59">
        <v>217.139816</v>
      </c>
      <c r="T59">
        <v>228.31294299999999</v>
      </c>
      <c r="U59">
        <v>239.791382</v>
      </c>
      <c r="V59">
        <v>251.57586699999999</v>
      </c>
      <c r="W59">
        <v>263.64529399999998</v>
      </c>
      <c r="X59">
        <v>275.96154799999999</v>
      </c>
      <c r="Y59">
        <v>288.51196299999998</v>
      </c>
      <c r="Z59">
        <v>301.27423099999999</v>
      </c>
      <c r="AA59">
        <v>314.23358200000001</v>
      </c>
      <c r="AB59">
        <v>327.350189</v>
      </c>
      <c r="AC59">
        <v>340.59161399999999</v>
      </c>
      <c r="AD59">
        <v>353.92303500000003</v>
      </c>
      <c r="AE59">
        <v>367.30886800000002</v>
      </c>
      <c r="AF59">
        <v>380.70669600000002</v>
      </c>
      <c r="AG59">
        <v>394.073151</v>
      </c>
      <c r="AH59">
        <v>407.36892699999999</v>
      </c>
      <c r="AI59">
        <v>4.5999999999999999E-2</v>
      </c>
      <c r="AK59" s="31"/>
    </row>
    <row r="60" spans="1:37">
      <c r="A60" t="s">
        <v>438</v>
      </c>
      <c r="B60" t="s">
        <v>2124</v>
      </c>
      <c r="C60" t="s">
        <v>2125</v>
      </c>
      <c r="D60" t="s">
        <v>352</v>
      </c>
      <c r="F60">
        <v>2422.461182</v>
      </c>
      <c r="G60">
        <v>2403.8427729999999</v>
      </c>
      <c r="H60">
        <v>2484.544922</v>
      </c>
      <c r="I60">
        <v>2535.189453</v>
      </c>
      <c r="J60">
        <v>2677.6083979999999</v>
      </c>
      <c r="K60">
        <v>2765.7629390000002</v>
      </c>
      <c r="L60">
        <v>2871.211182</v>
      </c>
      <c r="M60">
        <v>2963.2067870000001</v>
      </c>
      <c r="N60">
        <v>3057.7136230000001</v>
      </c>
      <c r="O60">
        <v>3156.2983399999998</v>
      </c>
      <c r="P60">
        <v>3259.5288089999999</v>
      </c>
      <c r="Q60">
        <v>3367.3149410000001</v>
      </c>
      <c r="R60">
        <v>3479.9047850000002</v>
      </c>
      <c r="S60">
        <v>3598.414307</v>
      </c>
      <c r="T60">
        <v>3728.743164</v>
      </c>
      <c r="U60">
        <v>3863.0517580000001</v>
      </c>
      <c r="V60">
        <v>4001.6860350000002</v>
      </c>
      <c r="W60">
        <v>4144.5512699999999</v>
      </c>
      <c r="X60">
        <v>4292.0288090000004</v>
      </c>
      <c r="Y60">
        <v>4441.8955079999996</v>
      </c>
      <c r="Z60">
        <v>4595.4902339999999</v>
      </c>
      <c r="AA60">
        <v>4753.0302730000003</v>
      </c>
      <c r="AB60">
        <v>4914.658203</v>
      </c>
      <c r="AC60">
        <v>5080.1923829999996</v>
      </c>
      <c r="AD60">
        <v>5245.4790039999998</v>
      </c>
      <c r="AE60">
        <v>5413.6181640000004</v>
      </c>
      <c r="AF60">
        <v>5585.7260740000002</v>
      </c>
      <c r="AG60">
        <v>5762.1835940000001</v>
      </c>
      <c r="AH60">
        <v>5943.4619140000004</v>
      </c>
      <c r="AI60">
        <v>3.3000000000000002E-2</v>
      </c>
      <c r="AK60" s="31"/>
    </row>
    <row r="61" spans="1:37">
      <c r="A61" t="s">
        <v>442</v>
      </c>
      <c r="B61" t="s">
        <v>2126</v>
      </c>
      <c r="C61" t="s">
        <v>2127</v>
      </c>
      <c r="D61" t="s">
        <v>352</v>
      </c>
      <c r="F61">
        <v>1233.3013920000001</v>
      </c>
      <c r="G61">
        <v>1224.104126</v>
      </c>
      <c r="H61">
        <v>1281.5924070000001</v>
      </c>
      <c r="I61">
        <v>1308.4814449999999</v>
      </c>
      <c r="J61">
        <v>1389.5876459999999</v>
      </c>
      <c r="K61">
        <v>1442.8294679999999</v>
      </c>
      <c r="L61">
        <v>1509.2680660000001</v>
      </c>
      <c r="M61">
        <v>1570.1552730000001</v>
      </c>
      <c r="N61">
        <v>1631.6839600000001</v>
      </c>
      <c r="O61">
        <v>1694.868774</v>
      </c>
      <c r="P61">
        <v>1760.072144</v>
      </c>
      <c r="Q61">
        <v>1827.2969969999999</v>
      </c>
      <c r="R61">
        <v>1896.733643</v>
      </c>
      <c r="S61">
        <v>1968.550293</v>
      </c>
      <c r="T61">
        <v>2041.873169</v>
      </c>
      <c r="U61">
        <v>2117.439453</v>
      </c>
      <c r="V61">
        <v>2195.4516600000002</v>
      </c>
      <c r="W61">
        <v>2275.8540039999998</v>
      </c>
      <c r="X61">
        <v>2358.866943</v>
      </c>
      <c r="Y61">
        <v>2443.226807</v>
      </c>
      <c r="Z61">
        <v>2529.6801759999998</v>
      </c>
      <c r="AA61">
        <v>2618.351807</v>
      </c>
      <c r="AB61">
        <v>2709.3227539999998</v>
      </c>
      <c r="AC61">
        <v>2802.4846189999998</v>
      </c>
      <c r="AD61">
        <v>2895.4592290000001</v>
      </c>
      <c r="AE61">
        <v>2990.0065920000002</v>
      </c>
      <c r="AF61">
        <v>3086.7780760000001</v>
      </c>
      <c r="AG61">
        <v>3185.9946289999998</v>
      </c>
      <c r="AH61">
        <v>3287.9323730000001</v>
      </c>
      <c r="AI61">
        <v>3.5999999999999997E-2</v>
      </c>
      <c r="AK61" s="31"/>
    </row>
    <row r="62" spans="1:37">
      <c r="A62" t="s">
        <v>443</v>
      </c>
      <c r="B62" t="s">
        <v>2128</v>
      </c>
      <c r="C62" t="s">
        <v>2129</v>
      </c>
      <c r="D62" t="s">
        <v>352</v>
      </c>
      <c r="F62">
        <v>657.39782700000001</v>
      </c>
      <c r="G62">
        <v>654.79388400000005</v>
      </c>
      <c r="H62">
        <v>658.53247099999999</v>
      </c>
      <c r="I62">
        <v>686.114014</v>
      </c>
      <c r="J62">
        <v>723.33544900000004</v>
      </c>
      <c r="K62">
        <v>740.81671100000005</v>
      </c>
      <c r="L62">
        <v>756.37115500000004</v>
      </c>
      <c r="M62">
        <v>762.24163799999997</v>
      </c>
      <c r="N62">
        <v>769.76165800000001</v>
      </c>
      <c r="O62">
        <v>778.96453899999995</v>
      </c>
      <c r="P62">
        <v>789.93981900000006</v>
      </c>
      <c r="Q62">
        <v>802.59716800000001</v>
      </c>
      <c r="R62">
        <v>816.90594499999997</v>
      </c>
      <c r="S62">
        <v>833.73852499999998</v>
      </c>
      <c r="T62">
        <v>860.23303199999998</v>
      </c>
      <c r="U62">
        <v>887.51733400000001</v>
      </c>
      <c r="V62">
        <v>915.63934300000005</v>
      </c>
      <c r="W62">
        <v>944.59045400000002</v>
      </c>
      <c r="X62">
        <v>974.42956500000003</v>
      </c>
      <c r="Y62">
        <v>1004.7432250000001</v>
      </c>
      <c r="Z62">
        <v>1035.8229980000001</v>
      </c>
      <c r="AA62">
        <v>1067.706543</v>
      </c>
      <c r="AB62">
        <v>1100.419678</v>
      </c>
      <c r="AC62">
        <v>1133.94397</v>
      </c>
      <c r="AD62">
        <v>1167.555908</v>
      </c>
      <c r="AE62">
        <v>1201.8382570000001</v>
      </c>
      <c r="AF62">
        <v>1236.949707</v>
      </c>
      <c r="AG62">
        <v>1272.9492190000001</v>
      </c>
      <c r="AH62">
        <v>1309.9025879999999</v>
      </c>
      <c r="AI62">
        <v>2.5000000000000001E-2</v>
      </c>
      <c r="AK62" s="31"/>
    </row>
    <row r="63" spans="1:37">
      <c r="A63" t="s">
        <v>444</v>
      </c>
      <c r="B63" t="s">
        <v>2130</v>
      </c>
      <c r="C63" t="s">
        <v>2131</v>
      </c>
      <c r="D63" t="s">
        <v>352</v>
      </c>
      <c r="F63">
        <v>531.762024</v>
      </c>
      <c r="G63">
        <v>524.94470200000001</v>
      </c>
      <c r="H63">
        <v>544.42016599999999</v>
      </c>
      <c r="I63">
        <v>540.59411599999999</v>
      </c>
      <c r="J63">
        <v>564.68536400000005</v>
      </c>
      <c r="K63">
        <v>582.11676</v>
      </c>
      <c r="L63">
        <v>605.57202099999995</v>
      </c>
      <c r="M63">
        <v>630.80981399999996</v>
      </c>
      <c r="N63">
        <v>656.26800500000002</v>
      </c>
      <c r="O63">
        <v>682.46508800000004</v>
      </c>
      <c r="P63">
        <v>709.51696800000002</v>
      </c>
      <c r="Q63">
        <v>737.42077600000005</v>
      </c>
      <c r="R63">
        <v>766.26501499999995</v>
      </c>
      <c r="S63">
        <v>796.12542699999995</v>
      </c>
      <c r="T63">
        <v>826.637024</v>
      </c>
      <c r="U63">
        <v>858.09491000000003</v>
      </c>
      <c r="V63">
        <v>890.59491000000003</v>
      </c>
      <c r="W63">
        <v>924.10687299999995</v>
      </c>
      <c r="X63">
        <v>958.73242200000004</v>
      </c>
      <c r="Y63">
        <v>993.92578100000003</v>
      </c>
      <c r="Z63">
        <v>1029.986938</v>
      </c>
      <c r="AA63">
        <v>1066.972168</v>
      </c>
      <c r="AB63">
        <v>1104.9155270000001</v>
      </c>
      <c r="AC63">
        <v>1143.7635499999999</v>
      </c>
      <c r="AD63">
        <v>1182.463745</v>
      </c>
      <c r="AE63">
        <v>1221.773682</v>
      </c>
      <c r="AF63">
        <v>1261.998413</v>
      </c>
      <c r="AG63">
        <v>1303.239624</v>
      </c>
      <c r="AH63">
        <v>1345.6267089999999</v>
      </c>
      <c r="AI63">
        <v>3.4000000000000002E-2</v>
      </c>
      <c r="AK63" s="31"/>
    </row>
    <row r="64" spans="1:37">
      <c r="A64" t="s">
        <v>439</v>
      </c>
      <c r="B64" t="s">
        <v>2132</v>
      </c>
      <c r="C64" t="s">
        <v>2133</v>
      </c>
      <c r="D64" t="s">
        <v>352</v>
      </c>
      <c r="F64">
        <v>1597.1236570000001</v>
      </c>
      <c r="G64">
        <v>1591.389404</v>
      </c>
      <c r="H64">
        <v>1640.6396480000001</v>
      </c>
      <c r="I64">
        <v>1756.101318</v>
      </c>
      <c r="J64">
        <v>1818.8460689999999</v>
      </c>
      <c r="K64">
        <v>1851.6521</v>
      </c>
      <c r="L64">
        <v>1886.1179199999999</v>
      </c>
      <c r="M64">
        <v>1911.7062989999999</v>
      </c>
      <c r="N64">
        <v>1942.7021480000001</v>
      </c>
      <c r="O64">
        <v>1977.3397219999999</v>
      </c>
      <c r="P64">
        <v>2026.0280760000001</v>
      </c>
      <c r="Q64">
        <v>2080.0947270000001</v>
      </c>
      <c r="R64">
        <v>2138.1757809999999</v>
      </c>
      <c r="S64">
        <v>2200.2983399999998</v>
      </c>
      <c r="T64">
        <v>2265.561768</v>
      </c>
      <c r="U64">
        <v>2342.5532229999999</v>
      </c>
      <c r="V64">
        <v>2422.474365</v>
      </c>
      <c r="W64">
        <v>2505.2758789999998</v>
      </c>
      <c r="X64">
        <v>2591.001221</v>
      </c>
      <c r="Y64">
        <v>2679.5126949999999</v>
      </c>
      <c r="Z64">
        <v>2770.998779</v>
      </c>
      <c r="AA64">
        <v>2865.5375979999999</v>
      </c>
      <c r="AB64">
        <v>2963.1970209999999</v>
      </c>
      <c r="AC64">
        <v>3064.0649410000001</v>
      </c>
      <c r="AD64">
        <v>3167.2495119999999</v>
      </c>
      <c r="AE64">
        <v>3276.900635</v>
      </c>
      <c r="AF64">
        <v>3391.7421880000002</v>
      </c>
      <c r="AG64">
        <v>3510.6784670000002</v>
      </c>
      <c r="AH64">
        <v>3633.8305660000001</v>
      </c>
      <c r="AI64">
        <v>0.03</v>
      </c>
      <c r="AK64" s="31"/>
    </row>
    <row r="65" spans="1:37">
      <c r="A65" t="s">
        <v>442</v>
      </c>
      <c r="B65" t="s">
        <v>2134</v>
      </c>
      <c r="C65" t="s">
        <v>2135</v>
      </c>
      <c r="D65" t="s">
        <v>352</v>
      </c>
      <c r="F65">
        <v>627.44543499999997</v>
      </c>
      <c r="G65">
        <v>624.08117700000003</v>
      </c>
      <c r="H65">
        <v>652.27984600000002</v>
      </c>
      <c r="I65">
        <v>698.03772000000004</v>
      </c>
      <c r="J65">
        <v>718.38330099999996</v>
      </c>
      <c r="K65">
        <v>728.02087400000005</v>
      </c>
      <c r="L65">
        <v>738.82153300000004</v>
      </c>
      <c r="M65">
        <v>747.05450399999995</v>
      </c>
      <c r="N65">
        <v>757.58111599999995</v>
      </c>
      <c r="O65">
        <v>769.64556900000002</v>
      </c>
      <c r="P65">
        <v>792.69946300000004</v>
      </c>
      <c r="Q65">
        <v>818.07269299999996</v>
      </c>
      <c r="R65">
        <v>844.54199200000005</v>
      </c>
      <c r="S65">
        <v>872.17761199999995</v>
      </c>
      <c r="T65">
        <v>900.712219</v>
      </c>
      <c r="U65">
        <v>930.41021699999999</v>
      </c>
      <c r="V65">
        <v>961.29730199999995</v>
      </c>
      <c r="W65">
        <v>993.35949700000003</v>
      </c>
      <c r="X65">
        <v>1026.6259769999999</v>
      </c>
      <c r="Y65">
        <v>1061.3823239999999</v>
      </c>
      <c r="Z65">
        <v>1097.3851320000001</v>
      </c>
      <c r="AA65">
        <v>1134.6779790000001</v>
      </c>
      <c r="AB65">
        <v>1173.290894</v>
      </c>
      <c r="AC65">
        <v>1213.2707519999999</v>
      </c>
      <c r="AD65">
        <v>1254.2749020000001</v>
      </c>
      <c r="AE65">
        <v>1296.6667480000001</v>
      </c>
      <c r="AF65">
        <v>1340.506836</v>
      </c>
      <c r="AG65">
        <v>1385.829956</v>
      </c>
      <c r="AH65">
        <v>1432.6805420000001</v>
      </c>
      <c r="AI65">
        <v>0.03</v>
      </c>
      <c r="AK65" s="31"/>
    </row>
    <row r="66" spans="1:37">
      <c r="A66" t="s">
        <v>443</v>
      </c>
      <c r="B66" t="s">
        <v>2136</v>
      </c>
      <c r="C66" t="s">
        <v>2137</v>
      </c>
      <c r="D66" t="s">
        <v>352</v>
      </c>
      <c r="F66">
        <v>825.44860800000004</v>
      </c>
      <c r="G66">
        <v>819.13842799999998</v>
      </c>
      <c r="H66">
        <v>814.13549799999998</v>
      </c>
      <c r="I66">
        <v>867.21343999999999</v>
      </c>
      <c r="J66">
        <v>905.22576900000001</v>
      </c>
      <c r="K66">
        <v>922.63647500000002</v>
      </c>
      <c r="L66">
        <v>940.29821800000002</v>
      </c>
      <c r="M66">
        <v>951.64843800000006</v>
      </c>
      <c r="N66">
        <v>965.87914999999998</v>
      </c>
      <c r="O66">
        <v>982.10546899999997</v>
      </c>
      <c r="P66">
        <v>1001.234924</v>
      </c>
      <c r="Q66">
        <v>1023.194702</v>
      </c>
      <c r="R66">
        <v>1047.825317</v>
      </c>
      <c r="S66">
        <v>1075.0554199999999</v>
      </c>
      <c r="T66">
        <v>1104.3100589999999</v>
      </c>
      <c r="U66">
        <v>1143.8754879999999</v>
      </c>
      <c r="V66">
        <v>1184.925659</v>
      </c>
      <c r="W66">
        <v>1227.4458010000001</v>
      </c>
      <c r="X66">
        <v>1271.4476320000001</v>
      </c>
      <c r="Y66">
        <v>1316.5389399999999</v>
      </c>
      <c r="Z66">
        <v>1363.114014</v>
      </c>
      <c r="AA66">
        <v>1411.1958010000001</v>
      </c>
      <c r="AB66">
        <v>1460.8192140000001</v>
      </c>
      <c r="AC66">
        <v>1512.0169679999999</v>
      </c>
      <c r="AD66">
        <v>1564.3043210000001</v>
      </c>
      <c r="AE66">
        <v>1621.411255</v>
      </c>
      <c r="AF66">
        <v>1681.9835210000001</v>
      </c>
      <c r="AG66">
        <v>1744.885986</v>
      </c>
      <c r="AH66">
        <v>1810.187134</v>
      </c>
      <c r="AI66">
        <v>2.8000000000000001E-2</v>
      </c>
      <c r="AK66" s="31"/>
    </row>
    <row r="67" spans="1:37">
      <c r="A67" t="s">
        <v>444</v>
      </c>
      <c r="B67" t="s">
        <v>2138</v>
      </c>
      <c r="C67" t="s">
        <v>2139</v>
      </c>
      <c r="D67" t="s">
        <v>352</v>
      </c>
      <c r="F67">
        <v>144.229645</v>
      </c>
      <c r="G67">
        <v>148.169861</v>
      </c>
      <c r="H67">
        <v>174.22431900000001</v>
      </c>
      <c r="I67">
        <v>190.85011299999999</v>
      </c>
      <c r="J67">
        <v>195.23698400000001</v>
      </c>
      <c r="K67">
        <v>200.994766</v>
      </c>
      <c r="L67">
        <v>206.99812299999999</v>
      </c>
      <c r="M67">
        <v>213.00337200000001</v>
      </c>
      <c r="N67">
        <v>219.24191300000001</v>
      </c>
      <c r="O67">
        <v>225.588776</v>
      </c>
      <c r="P67">
        <v>232.09375</v>
      </c>
      <c r="Q67">
        <v>238.82742300000001</v>
      </c>
      <c r="R67">
        <v>245.808594</v>
      </c>
      <c r="S67">
        <v>253.065201</v>
      </c>
      <c r="T67">
        <v>260.53964200000001</v>
      </c>
      <c r="U67">
        <v>268.26748700000002</v>
      </c>
      <c r="V67">
        <v>276.25143400000002</v>
      </c>
      <c r="W67">
        <v>284.47061200000002</v>
      </c>
      <c r="X67">
        <v>292.92742900000002</v>
      </c>
      <c r="Y67">
        <v>301.591339</v>
      </c>
      <c r="Z67">
        <v>310.499664</v>
      </c>
      <c r="AA67">
        <v>319.66375699999998</v>
      </c>
      <c r="AB67">
        <v>329.086975</v>
      </c>
      <c r="AC67">
        <v>338.77734400000003</v>
      </c>
      <c r="AD67">
        <v>348.67047100000002</v>
      </c>
      <c r="AE67">
        <v>358.82257099999998</v>
      </c>
      <c r="AF67">
        <v>369.25192299999998</v>
      </c>
      <c r="AG67">
        <v>379.96264600000001</v>
      </c>
      <c r="AH67">
        <v>390.96298200000001</v>
      </c>
      <c r="AI67">
        <v>3.5999999999999997E-2</v>
      </c>
      <c r="AK67" s="31"/>
    </row>
    <row r="68" spans="1:37">
      <c r="A68" t="s">
        <v>118</v>
      </c>
      <c r="B68" t="s">
        <v>2140</v>
      </c>
      <c r="C68" t="s">
        <v>2141</v>
      </c>
      <c r="D68" t="s">
        <v>352</v>
      </c>
      <c r="F68">
        <v>1278.578125</v>
      </c>
      <c r="G68">
        <v>1353.916504</v>
      </c>
      <c r="H68">
        <v>1480.8450929999999</v>
      </c>
      <c r="I68">
        <v>1532.908203</v>
      </c>
      <c r="J68">
        <v>1594.940308</v>
      </c>
      <c r="K68">
        <v>1637.217163</v>
      </c>
      <c r="L68">
        <v>1683.996948</v>
      </c>
      <c r="M68">
        <v>1741.565186</v>
      </c>
      <c r="N68">
        <v>1802.2414550000001</v>
      </c>
      <c r="O68">
        <v>1865.9837649999999</v>
      </c>
      <c r="P68">
        <v>1934.3267820000001</v>
      </c>
      <c r="Q68">
        <v>2005.2375489999999</v>
      </c>
      <c r="R68">
        <v>2078.7006839999999</v>
      </c>
      <c r="S68">
        <v>2154.7143550000001</v>
      </c>
      <c r="T68">
        <v>2234.1352539999998</v>
      </c>
      <c r="U68">
        <v>2316.3398440000001</v>
      </c>
      <c r="V68">
        <v>2401.2246089999999</v>
      </c>
      <c r="W68">
        <v>2488.7795409999999</v>
      </c>
      <c r="X68">
        <v>2579.0349120000001</v>
      </c>
      <c r="Y68">
        <v>2672.8364259999998</v>
      </c>
      <c r="Z68">
        <v>2769.508057</v>
      </c>
      <c r="AA68">
        <v>2868.9941410000001</v>
      </c>
      <c r="AB68">
        <v>2971.3325199999999</v>
      </c>
      <c r="AC68">
        <v>3076.6308589999999</v>
      </c>
      <c r="AD68">
        <v>3185.580078</v>
      </c>
      <c r="AE68">
        <v>3297.5820309999999</v>
      </c>
      <c r="AF68">
        <v>3412.6123050000001</v>
      </c>
      <c r="AG68">
        <v>3530.7048340000001</v>
      </c>
      <c r="AH68">
        <v>3651.9643550000001</v>
      </c>
      <c r="AI68">
        <v>3.7999999999999999E-2</v>
      </c>
      <c r="AK68" s="31"/>
    </row>
    <row r="69" spans="1:37">
      <c r="A69" t="s">
        <v>126</v>
      </c>
    </row>
    <row r="70" spans="1:37" s="14" customFormat="1">
      <c r="A70" s="14" t="s">
        <v>427</v>
      </c>
      <c r="B70" s="14" t="s">
        <v>2142</v>
      </c>
      <c r="C70" s="14" t="s">
        <v>2143</v>
      </c>
      <c r="D70" s="14" t="s">
        <v>352</v>
      </c>
      <c r="F70" s="14">
        <v>554.21826199999998</v>
      </c>
      <c r="G70" s="14">
        <v>558.18225099999995</v>
      </c>
      <c r="H70" s="14">
        <v>616.61242700000003</v>
      </c>
      <c r="I70" s="14">
        <v>642.00720200000001</v>
      </c>
      <c r="J70" s="14">
        <v>677.56213400000001</v>
      </c>
      <c r="K70" s="14">
        <v>703.04217500000004</v>
      </c>
      <c r="L70" s="14">
        <v>726.45831299999998</v>
      </c>
      <c r="M70" s="14">
        <v>751.31414800000005</v>
      </c>
      <c r="N70" s="14">
        <v>777.54492200000004</v>
      </c>
      <c r="O70" s="14">
        <v>805.10766599999999</v>
      </c>
      <c r="P70" s="14">
        <v>833.80895999999996</v>
      </c>
      <c r="Q70" s="14">
        <v>863.57214399999998</v>
      </c>
      <c r="R70" s="14">
        <v>894.38806199999999</v>
      </c>
      <c r="S70" s="14">
        <v>926.25329599999998</v>
      </c>
      <c r="T70" s="14">
        <v>959.52636700000005</v>
      </c>
      <c r="U70" s="14">
        <v>993.94397000000004</v>
      </c>
      <c r="V70" s="14">
        <v>1029.4589840000001</v>
      </c>
      <c r="W70" s="14">
        <v>1066.0639650000001</v>
      </c>
      <c r="X70" s="14">
        <v>1103.774658</v>
      </c>
      <c r="Y70" s="14">
        <v>1142.943237</v>
      </c>
      <c r="Z70" s="14">
        <v>1183.2827150000001</v>
      </c>
      <c r="AA70" s="14">
        <v>1224.766357</v>
      </c>
      <c r="AB70" s="14">
        <v>1267.4079589999999</v>
      </c>
      <c r="AC70" s="14">
        <v>1311.251831</v>
      </c>
      <c r="AD70" s="14">
        <v>1356.5870359999999</v>
      </c>
      <c r="AE70" s="14">
        <v>1403.1583250000001</v>
      </c>
      <c r="AF70" s="14">
        <v>1450.9521480000001</v>
      </c>
      <c r="AG70" s="14">
        <v>1499.9804690000001</v>
      </c>
      <c r="AH70" s="14">
        <v>1550.2852780000001</v>
      </c>
      <c r="AI70" s="14">
        <v>3.6999999999999998E-2</v>
      </c>
      <c r="AK70" s="161"/>
    </row>
    <row r="71" spans="1:37">
      <c r="A71" t="s">
        <v>442</v>
      </c>
      <c r="B71" t="s">
        <v>2144</v>
      </c>
      <c r="C71" t="s">
        <v>2145</v>
      </c>
      <c r="D71" t="s">
        <v>352</v>
      </c>
      <c r="F71">
        <v>209.65748600000001</v>
      </c>
      <c r="G71">
        <v>207.417496</v>
      </c>
      <c r="H71">
        <v>218.458527</v>
      </c>
      <c r="I71">
        <v>226.53890999999999</v>
      </c>
      <c r="J71">
        <v>235.83163500000001</v>
      </c>
      <c r="K71">
        <v>240.06748999999999</v>
      </c>
      <c r="L71">
        <v>246.85766599999999</v>
      </c>
      <c r="M71">
        <v>255.55560299999999</v>
      </c>
      <c r="N71">
        <v>264.66421500000001</v>
      </c>
      <c r="O71">
        <v>274.15472399999999</v>
      </c>
      <c r="P71">
        <v>283.97366299999999</v>
      </c>
      <c r="Q71">
        <v>294.095032</v>
      </c>
      <c r="R71">
        <v>304.51745599999998</v>
      </c>
      <c r="S71">
        <v>315.24044800000001</v>
      </c>
      <c r="T71">
        <v>326.38293499999997</v>
      </c>
      <c r="U71">
        <v>337.86129799999998</v>
      </c>
      <c r="V71">
        <v>349.65744000000001</v>
      </c>
      <c r="W71">
        <v>361.76809700000001</v>
      </c>
      <c r="X71">
        <v>374.20461999999998</v>
      </c>
      <c r="Y71">
        <v>387.07870500000001</v>
      </c>
      <c r="Z71">
        <v>400.29553199999998</v>
      </c>
      <c r="AA71">
        <v>413.843658</v>
      </c>
      <c r="AB71">
        <v>427.72616599999998</v>
      </c>
      <c r="AC71">
        <v>441.95739700000001</v>
      </c>
      <c r="AD71">
        <v>456.63092</v>
      </c>
      <c r="AE71">
        <v>471.66030899999998</v>
      </c>
      <c r="AF71">
        <v>487.03784200000001</v>
      </c>
      <c r="AG71">
        <v>502.76507600000002</v>
      </c>
      <c r="AH71">
        <v>518.85461399999997</v>
      </c>
      <c r="AI71">
        <v>3.3000000000000002E-2</v>
      </c>
      <c r="AK71" s="31"/>
    </row>
    <row r="72" spans="1:37">
      <c r="A72" t="s">
        <v>443</v>
      </c>
      <c r="B72" t="s">
        <v>2146</v>
      </c>
      <c r="C72" t="s">
        <v>2147</v>
      </c>
      <c r="D72" t="s">
        <v>352</v>
      </c>
      <c r="F72">
        <v>514.70239300000003</v>
      </c>
      <c r="G72">
        <v>588.31671100000005</v>
      </c>
      <c r="H72">
        <v>645.77417000000003</v>
      </c>
      <c r="I72">
        <v>664.362122</v>
      </c>
      <c r="J72">
        <v>681.54650900000001</v>
      </c>
      <c r="K72">
        <v>694.107483</v>
      </c>
      <c r="L72">
        <v>710.680969</v>
      </c>
      <c r="M72">
        <v>734.69543499999997</v>
      </c>
      <c r="N72">
        <v>760.03228799999999</v>
      </c>
      <c r="O72">
        <v>786.72131300000001</v>
      </c>
      <c r="P72">
        <v>816.54418899999996</v>
      </c>
      <c r="Q72">
        <v>847.57025099999998</v>
      </c>
      <c r="R72">
        <v>879.79516599999999</v>
      </c>
      <c r="S72">
        <v>913.22070299999996</v>
      </c>
      <c r="T72">
        <v>948.22601299999997</v>
      </c>
      <c r="U72">
        <v>984.53442399999994</v>
      </c>
      <c r="V72">
        <v>1022.108215</v>
      </c>
      <c r="W72">
        <v>1060.94751</v>
      </c>
      <c r="X72">
        <v>1101.055664</v>
      </c>
      <c r="Y72">
        <v>1142.814453</v>
      </c>
      <c r="Z72">
        <v>1185.9298100000001</v>
      </c>
      <c r="AA72">
        <v>1230.384155</v>
      </c>
      <c r="AB72">
        <v>1276.1982419999999</v>
      </c>
      <c r="AC72">
        <v>1323.4216309999999</v>
      </c>
      <c r="AD72">
        <v>1372.362061</v>
      </c>
      <c r="AE72">
        <v>1422.7633060000001</v>
      </c>
      <c r="AF72">
        <v>1474.622314</v>
      </c>
      <c r="AG72">
        <v>1527.9592290000001</v>
      </c>
      <c r="AH72">
        <v>1582.8244629999999</v>
      </c>
      <c r="AI72">
        <v>4.1000000000000002E-2</v>
      </c>
      <c r="AK72" s="31"/>
    </row>
    <row r="73" spans="1:37">
      <c r="A73" t="s">
        <v>444</v>
      </c>
      <c r="B73" t="s">
        <v>2148</v>
      </c>
      <c r="C73" t="s">
        <v>2149</v>
      </c>
      <c r="D73" t="s">
        <v>352</v>
      </c>
      <c r="F73">
        <v>579.44018600000004</v>
      </c>
      <c r="G73">
        <v>568.17541500000004</v>
      </c>
      <c r="H73">
        <v>565.291382</v>
      </c>
      <c r="I73">
        <v>570.04858400000001</v>
      </c>
      <c r="J73">
        <v>575.02783199999999</v>
      </c>
      <c r="K73">
        <v>583.30731200000002</v>
      </c>
      <c r="L73">
        <v>592.10095200000001</v>
      </c>
      <c r="M73">
        <v>600.00384499999996</v>
      </c>
      <c r="N73">
        <v>607.42138699999998</v>
      </c>
      <c r="O73">
        <v>614.10613999999998</v>
      </c>
      <c r="P73">
        <v>620.57043499999997</v>
      </c>
      <c r="Q73">
        <v>626.77056900000002</v>
      </c>
      <c r="R73">
        <v>632.79754600000001</v>
      </c>
      <c r="S73">
        <v>638.99731399999996</v>
      </c>
      <c r="T73">
        <v>644.80749500000002</v>
      </c>
      <c r="U73">
        <v>650.27832000000001</v>
      </c>
      <c r="V73">
        <v>655.45025599999997</v>
      </c>
      <c r="W73">
        <v>660.363831</v>
      </c>
      <c r="X73">
        <v>665.03460700000005</v>
      </c>
      <c r="Y73">
        <v>669.50195299999996</v>
      </c>
      <c r="Z73">
        <v>673.78112799999997</v>
      </c>
      <c r="AA73">
        <v>677.88568099999998</v>
      </c>
      <c r="AB73">
        <v>681.82342500000004</v>
      </c>
      <c r="AC73">
        <v>685.603027</v>
      </c>
      <c r="AD73">
        <v>689.246399</v>
      </c>
      <c r="AE73">
        <v>692.74871800000005</v>
      </c>
      <c r="AF73">
        <v>696.11041299999999</v>
      </c>
      <c r="AG73">
        <v>699.317139</v>
      </c>
      <c r="AH73">
        <v>702.37976100000003</v>
      </c>
      <c r="AI73">
        <v>7.0000000000000001E-3</v>
      </c>
      <c r="AK73" s="31"/>
    </row>
    <row r="74" spans="1:37">
      <c r="A74" t="s">
        <v>428</v>
      </c>
      <c r="B74" t="s">
        <v>2150</v>
      </c>
      <c r="C74" t="s">
        <v>2151</v>
      </c>
      <c r="D74" t="s">
        <v>352</v>
      </c>
      <c r="F74">
        <v>349.17269900000002</v>
      </c>
      <c r="G74">
        <v>341.48065200000002</v>
      </c>
      <c r="H74">
        <v>339.75915500000002</v>
      </c>
      <c r="I74">
        <v>342.40258799999998</v>
      </c>
      <c r="J74">
        <v>345.408997</v>
      </c>
      <c r="K74">
        <v>351.74755900000002</v>
      </c>
      <c r="L74">
        <v>357.72976699999998</v>
      </c>
      <c r="M74">
        <v>363.22683699999999</v>
      </c>
      <c r="N74">
        <v>368.37377900000001</v>
      </c>
      <c r="O74">
        <v>373.02066000000002</v>
      </c>
      <c r="P74">
        <v>377.49044800000001</v>
      </c>
      <c r="Q74">
        <v>381.76281699999998</v>
      </c>
      <c r="R74">
        <v>385.81326300000001</v>
      </c>
      <c r="S74">
        <v>389.620789</v>
      </c>
      <c r="T74">
        <v>393.18017600000002</v>
      </c>
      <c r="U74">
        <v>396.53048699999999</v>
      </c>
      <c r="V74">
        <v>399.696777</v>
      </c>
      <c r="W74">
        <v>402.70388800000001</v>
      </c>
      <c r="X74">
        <v>405.561646</v>
      </c>
      <c r="Y74">
        <v>408.29409800000002</v>
      </c>
      <c r="Z74">
        <v>410.91058299999997</v>
      </c>
      <c r="AA74">
        <v>413.41967799999998</v>
      </c>
      <c r="AB74">
        <v>415.82611100000003</v>
      </c>
      <c r="AC74">
        <v>418.13528400000001</v>
      </c>
      <c r="AD74">
        <v>420.360229</v>
      </c>
      <c r="AE74">
        <v>422.49801600000001</v>
      </c>
      <c r="AF74">
        <v>424.54959100000002</v>
      </c>
      <c r="AG74">
        <v>426.50680499999999</v>
      </c>
      <c r="AH74">
        <v>428.37677000000002</v>
      </c>
      <c r="AI74">
        <v>7.0000000000000001E-3</v>
      </c>
      <c r="AK74" s="31"/>
    </row>
    <row r="75" spans="1:37">
      <c r="A75" t="s">
        <v>442</v>
      </c>
      <c r="B75" t="s">
        <v>2152</v>
      </c>
      <c r="C75" t="s">
        <v>2153</v>
      </c>
      <c r="D75" t="s">
        <v>352</v>
      </c>
      <c r="F75">
        <v>46.264198</v>
      </c>
      <c r="G75">
        <v>45.996563000000002</v>
      </c>
      <c r="H75">
        <v>45.765495000000001</v>
      </c>
      <c r="I75">
        <v>47.246243</v>
      </c>
      <c r="J75">
        <v>48.850132000000002</v>
      </c>
      <c r="K75">
        <v>49.416592000000001</v>
      </c>
      <c r="L75">
        <v>49.641044999999998</v>
      </c>
      <c r="M75">
        <v>49.457557999999999</v>
      </c>
      <c r="N75">
        <v>49.283423999999997</v>
      </c>
      <c r="O75">
        <v>49.092177999999997</v>
      </c>
      <c r="P75">
        <v>48.926909999999999</v>
      </c>
      <c r="Q75">
        <v>48.775105000000003</v>
      </c>
      <c r="R75">
        <v>48.765163000000001</v>
      </c>
      <c r="S75">
        <v>49.274971000000001</v>
      </c>
      <c r="T75">
        <v>49.750889000000001</v>
      </c>
      <c r="U75">
        <v>50.187385999999996</v>
      </c>
      <c r="V75">
        <v>50.589148999999999</v>
      </c>
      <c r="W75">
        <v>50.960861000000001</v>
      </c>
      <c r="X75">
        <v>51.306828000000003</v>
      </c>
      <c r="Y75">
        <v>51.630629999999996</v>
      </c>
      <c r="Z75">
        <v>51.934437000000003</v>
      </c>
      <c r="AA75">
        <v>52.219741999999997</v>
      </c>
      <c r="AB75">
        <v>52.487304999999999</v>
      </c>
      <c r="AC75">
        <v>52.738438000000002</v>
      </c>
      <c r="AD75">
        <v>52.977215000000001</v>
      </c>
      <c r="AE75">
        <v>53.203147999999999</v>
      </c>
      <c r="AF75">
        <v>53.414192</v>
      </c>
      <c r="AG75">
        <v>53.606419000000002</v>
      </c>
      <c r="AH75">
        <v>53.779335000000003</v>
      </c>
      <c r="AI75">
        <v>5.0000000000000001E-3</v>
      </c>
      <c r="AK75" s="31"/>
    </row>
    <row r="76" spans="1:37">
      <c r="A76" t="s">
        <v>443</v>
      </c>
      <c r="B76" t="s">
        <v>2154</v>
      </c>
      <c r="C76" t="s">
        <v>2155</v>
      </c>
      <c r="D76" t="s">
        <v>352</v>
      </c>
      <c r="F76">
        <v>184.003311</v>
      </c>
      <c r="G76">
        <v>180.69821200000001</v>
      </c>
      <c r="H76">
        <v>179.76675399999999</v>
      </c>
      <c r="I76">
        <v>180.399765</v>
      </c>
      <c r="J76">
        <v>180.76873800000001</v>
      </c>
      <c r="K76">
        <v>182.14317299999999</v>
      </c>
      <c r="L76">
        <v>184.730118</v>
      </c>
      <c r="M76">
        <v>187.319458</v>
      </c>
      <c r="N76">
        <v>189.76419100000001</v>
      </c>
      <c r="O76">
        <v>191.99327099999999</v>
      </c>
      <c r="P76">
        <v>194.153076</v>
      </c>
      <c r="Q76">
        <v>196.23262</v>
      </c>
      <c r="R76">
        <v>198.21910099999999</v>
      </c>
      <c r="S76">
        <v>200.10154700000001</v>
      </c>
      <c r="T76">
        <v>201.87645000000001</v>
      </c>
      <c r="U76">
        <v>203.56042500000001</v>
      </c>
      <c r="V76">
        <v>205.16433699999999</v>
      </c>
      <c r="W76">
        <v>206.69908100000001</v>
      </c>
      <c r="X76">
        <v>208.166122</v>
      </c>
      <c r="Y76">
        <v>209.57723999999999</v>
      </c>
      <c r="Z76">
        <v>210.936081</v>
      </c>
      <c r="AA76">
        <v>212.24629200000001</v>
      </c>
      <c r="AB76">
        <v>213.51002500000001</v>
      </c>
      <c r="AC76">
        <v>214.72927899999999</v>
      </c>
      <c r="AD76">
        <v>215.90896599999999</v>
      </c>
      <c r="AE76">
        <v>217.047562</v>
      </c>
      <c r="AF76">
        <v>218.146637</v>
      </c>
      <c r="AG76">
        <v>219.203934</v>
      </c>
      <c r="AH76">
        <v>220.22366299999999</v>
      </c>
      <c r="AI76">
        <v>6.0000000000000001E-3</v>
      </c>
      <c r="AK76" s="31"/>
    </row>
    <row r="77" spans="1:37">
      <c r="A77" t="s">
        <v>444</v>
      </c>
      <c r="B77" t="s">
        <v>2156</v>
      </c>
      <c r="C77" t="s">
        <v>2157</v>
      </c>
      <c r="D77" t="s">
        <v>352</v>
      </c>
      <c r="F77">
        <v>640.41119400000002</v>
      </c>
      <c r="G77">
        <v>646.77502400000003</v>
      </c>
      <c r="H77">
        <v>703.69317599999999</v>
      </c>
      <c r="I77">
        <v>725.62133800000004</v>
      </c>
      <c r="J77">
        <v>749.83581500000003</v>
      </c>
      <c r="K77">
        <v>773.87145999999996</v>
      </c>
      <c r="L77">
        <v>794.29504399999996</v>
      </c>
      <c r="M77">
        <v>813.33612100000005</v>
      </c>
      <c r="N77">
        <v>832.46167000000003</v>
      </c>
      <c r="O77">
        <v>851.43066399999998</v>
      </c>
      <c r="P77">
        <v>870.95385699999997</v>
      </c>
      <c r="Q77">
        <v>891.11114499999996</v>
      </c>
      <c r="R77">
        <v>911.926514</v>
      </c>
      <c r="S77">
        <v>933.42114300000003</v>
      </c>
      <c r="T77">
        <v>955.50414999999998</v>
      </c>
      <c r="U77">
        <v>978.29809599999999</v>
      </c>
      <c r="V77">
        <v>1001.802673</v>
      </c>
      <c r="W77">
        <v>1026.01001</v>
      </c>
      <c r="X77">
        <v>1050.9014890000001</v>
      </c>
      <c r="Y77">
        <v>1076.4708250000001</v>
      </c>
      <c r="Z77">
        <v>1102.747314</v>
      </c>
      <c r="AA77">
        <v>1129.7282709999999</v>
      </c>
      <c r="AB77">
        <v>1157.412476</v>
      </c>
      <c r="AC77">
        <v>1185.794189</v>
      </c>
      <c r="AD77">
        <v>1214.5979</v>
      </c>
      <c r="AE77">
        <v>1244.1032709999999</v>
      </c>
      <c r="AF77">
        <v>1274.3251949999999</v>
      </c>
      <c r="AG77">
        <v>1305.278198</v>
      </c>
      <c r="AH77">
        <v>1336.9658199999999</v>
      </c>
      <c r="AI77">
        <v>2.7E-2</v>
      </c>
      <c r="AK77" s="31"/>
    </row>
    <row r="78" spans="1:37">
      <c r="A78" t="s">
        <v>429</v>
      </c>
      <c r="B78" t="s">
        <v>2158</v>
      </c>
      <c r="C78" t="s">
        <v>2159</v>
      </c>
      <c r="D78" t="s">
        <v>352</v>
      </c>
      <c r="F78">
        <v>378.27899200000002</v>
      </c>
      <c r="G78">
        <v>379.28137199999998</v>
      </c>
      <c r="H78">
        <v>413.40386999999998</v>
      </c>
      <c r="I78">
        <v>429.02813700000002</v>
      </c>
      <c r="J78">
        <v>445.18142699999999</v>
      </c>
      <c r="K78">
        <v>460.404449</v>
      </c>
      <c r="L78">
        <v>472.94979899999998</v>
      </c>
      <c r="M78">
        <v>484.517426</v>
      </c>
      <c r="N78">
        <v>496.17450000000002</v>
      </c>
      <c r="O78">
        <v>507.78445399999998</v>
      </c>
      <c r="P78">
        <v>519.74121100000002</v>
      </c>
      <c r="Q78">
        <v>532.09045400000002</v>
      </c>
      <c r="R78">
        <v>544.84722899999997</v>
      </c>
      <c r="S78">
        <v>558.02502400000003</v>
      </c>
      <c r="T78">
        <v>571.57074</v>
      </c>
      <c r="U78">
        <v>585.55658000000005</v>
      </c>
      <c r="V78">
        <v>599.98290999999995</v>
      </c>
      <c r="W78">
        <v>614.84613000000002</v>
      </c>
      <c r="X78">
        <v>630.13610800000004</v>
      </c>
      <c r="Y78">
        <v>645.84582499999999</v>
      </c>
      <c r="Z78">
        <v>661.99694799999997</v>
      </c>
      <c r="AA78">
        <v>678.589111</v>
      </c>
      <c r="AB78">
        <v>695.62231399999996</v>
      </c>
      <c r="AC78">
        <v>713.09442100000001</v>
      </c>
      <c r="AD78">
        <v>730.84729000000004</v>
      </c>
      <c r="AE78">
        <v>749.04260299999999</v>
      </c>
      <c r="AF78">
        <v>767.69018600000004</v>
      </c>
      <c r="AG78">
        <v>786.80004899999994</v>
      </c>
      <c r="AH78">
        <v>806.37561000000005</v>
      </c>
      <c r="AI78">
        <v>2.7E-2</v>
      </c>
      <c r="AK78" s="31"/>
    </row>
    <row r="79" spans="1:37">
      <c r="A79" t="s">
        <v>442</v>
      </c>
      <c r="B79" t="s">
        <v>2160</v>
      </c>
      <c r="C79" t="s">
        <v>2161</v>
      </c>
      <c r="D79" t="s">
        <v>352</v>
      </c>
      <c r="F79">
        <v>33.778087999999997</v>
      </c>
      <c r="G79">
        <v>34.658271999999997</v>
      </c>
      <c r="H79">
        <v>38.264583999999999</v>
      </c>
      <c r="I79">
        <v>41.593207999999997</v>
      </c>
      <c r="J79">
        <v>44.730679000000002</v>
      </c>
      <c r="K79">
        <v>46.748756</v>
      </c>
      <c r="L79">
        <v>48.334347000000001</v>
      </c>
      <c r="M79">
        <v>49.760165999999998</v>
      </c>
      <c r="N79">
        <v>51.196857000000001</v>
      </c>
      <c r="O79">
        <v>52.628287999999998</v>
      </c>
      <c r="P79">
        <v>54.102493000000003</v>
      </c>
      <c r="Q79">
        <v>55.625664</v>
      </c>
      <c r="R79">
        <v>57.200287000000003</v>
      </c>
      <c r="S79">
        <v>58.828654999999998</v>
      </c>
      <c r="T79">
        <v>60.505028000000003</v>
      </c>
      <c r="U79">
        <v>62.238639999999997</v>
      </c>
      <c r="V79">
        <v>64.030190000000005</v>
      </c>
      <c r="W79">
        <v>65.879706999999996</v>
      </c>
      <c r="X79">
        <v>67.786552</v>
      </c>
      <c r="Y79">
        <v>69.750709999999998</v>
      </c>
      <c r="Z79">
        <v>71.774963</v>
      </c>
      <c r="AA79">
        <v>73.859656999999999</v>
      </c>
      <c r="AB79">
        <v>76.005279999999999</v>
      </c>
      <c r="AC79">
        <v>78.211876000000004</v>
      </c>
      <c r="AD79">
        <v>80.459701999999993</v>
      </c>
      <c r="AE79">
        <v>82.769576999999998</v>
      </c>
      <c r="AF79">
        <v>85.143119999999996</v>
      </c>
      <c r="AG79">
        <v>87.581847999999994</v>
      </c>
      <c r="AH79">
        <v>90.086539999999999</v>
      </c>
      <c r="AI79">
        <v>3.5999999999999997E-2</v>
      </c>
      <c r="AK79" s="31"/>
    </row>
    <row r="80" spans="1:37">
      <c r="A80" t="s">
        <v>443</v>
      </c>
      <c r="B80" t="s">
        <v>2162</v>
      </c>
      <c r="C80" t="s">
        <v>2163</v>
      </c>
      <c r="D80" t="s">
        <v>352</v>
      </c>
      <c r="F80">
        <v>228.354141</v>
      </c>
      <c r="G80">
        <v>232.83540300000001</v>
      </c>
      <c r="H80">
        <v>252.024734</v>
      </c>
      <c r="I80">
        <v>254.99998500000001</v>
      </c>
      <c r="J80">
        <v>259.92370599999998</v>
      </c>
      <c r="K80">
        <v>266.71826199999998</v>
      </c>
      <c r="L80">
        <v>273.01092499999999</v>
      </c>
      <c r="M80">
        <v>279.05853300000001</v>
      </c>
      <c r="N80">
        <v>285.09030200000001</v>
      </c>
      <c r="O80">
        <v>291.017944</v>
      </c>
      <c r="P80">
        <v>297.11016799999999</v>
      </c>
      <c r="Q80">
        <v>303.39501999999999</v>
      </c>
      <c r="R80">
        <v>309.87899800000002</v>
      </c>
      <c r="S80">
        <v>316.56744400000002</v>
      </c>
      <c r="T80">
        <v>323.428406</v>
      </c>
      <c r="U80">
        <v>330.50289900000001</v>
      </c>
      <c r="V80">
        <v>337.78955100000002</v>
      </c>
      <c r="W80">
        <v>345.28417999999999</v>
      </c>
      <c r="X80">
        <v>352.97885100000002</v>
      </c>
      <c r="Y80">
        <v>360.87429800000001</v>
      </c>
      <c r="Z80">
        <v>368.97543300000001</v>
      </c>
      <c r="AA80">
        <v>377.27954099999999</v>
      </c>
      <c r="AB80">
        <v>385.784943</v>
      </c>
      <c r="AC80">
        <v>394.48791499999999</v>
      </c>
      <c r="AD80">
        <v>403.29089399999998</v>
      </c>
      <c r="AE80">
        <v>412.29104599999999</v>
      </c>
      <c r="AF80">
        <v>421.49194299999999</v>
      </c>
      <c r="AG80">
        <v>430.89630099999999</v>
      </c>
      <c r="AH80">
        <v>440.50366200000002</v>
      </c>
      <c r="AI80">
        <v>2.4E-2</v>
      </c>
      <c r="AK80" s="31"/>
    </row>
    <row r="81" spans="1:37">
      <c r="A81" t="s">
        <v>444</v>
      </c>
      <c r="B81" t="s">
        <v>2164</v>
      </c>
      <c r="C81" t="s">
        <v>2165</v>
      </c>
      <c r="D81" t="s">
        <v>352</v>
      </c>
      <c r="F81">
        <v>32724.091797000001</v>
      </c>
      <c r="G81">
        <v>33176.96875</v>
      </c>
      <c r="H81">
        <v>34069.660155999998</v>
      </c>
      <c r="I81">
        <v>34648.40625</v>
      </c>
      <c r="J81">
        <v>35605.191405999998</v>
      </c>
      <c r="K81">
        <v>36234.917969000002</v>
      </c>
      <c r="L81">
        <v>36859.019530999998</v>
      </c>
      <c r="M81">
        <v>37449.753905999998</v>
      </c>
      <c r="N81">
        <v>38079.335937999997</v>
      </c>
      <c r="O81">
        <v>38755.359375</v>
      </c>
      <c r="P81">
        <v>39521.863280999998</v>
      </c>
      <c r="Q81">
        <v>40395.703125</v>
      </c>
      <c r="R81">
        <v>41309.355469000002</v>
      </c>
      <c r="S81">
        <v>42264.308594000002</v>
      </c>
      <c r="T81">
        <v>43284.355469000002</v>
      </c>
      <c r="U81">
        <v>44358.980469000002</v>
      </c>
      <c r="V81">
        <v>45466.375</v>
      </c>
      <c r="W81">
        <v>46603.574219000002</v>
      </c>
      <c r="X81">
        <v>47798.792969000002</v>
      </c>
      <c r="Y81">
        <v>49022.867187999997</v>
      </c>
      <c r="Z81">
        <v>50283.246094000002</v>
      </c>
      <c r="AA81">
        <v>51578.214844000002</v>
      </c>
      <c r="AB81">
        <v>52891.121094000002</v>
      </c>
      <c r="AC81">
        <v>54218.246094000002</v>
      </c>
      <c r="AD81">
        <v>55562.453125</v>
      </c>
      <c r="AE81">
        <v>56945.726562000003</v>
      </c>
      <c r="AF81">
        <v>58354.359375</v>
      </c>
      <c r="AG81">
        <v>59782.636719000002</v>
      </c>
      <c r="AH81">
        <v>61247.554687999997</v>
      </c>
      <c r="AI81">
        <v>2.3E-2</v>
      </c>
      <c r="AK81" s="31"/>
    </row>
    <row r="82" spans="1:37">
      <c r="A82" t="s">
        <v>430</v>
      </c>
      <c r="B82" t="s">
        <v>2166</v>
      </c>
      <c r="C82" t="s">
        <v>2167</v>
      </c>
      <c r="D82" t="s">
        <v>352</v>
      </c>
      <c r="F82">
        <v>18949.568359000001</v>
      </c>
      <c r="G82">
        <v>19042.259765999999</v>
      </c>
      <c r="H82">
        <v>19489.505859000001</v>
      </c>
      <c r="I82">
        <v>19815.244140999999</v>
      </c>
      <c r="J82">
        <v>20348.558593999998</v>
      </c>
      <c r="K82">
        <v>20734.050781000002</v>
      </c>
      <c r="L82">
        <v>21117.726562</v>
      </c>
      <c r="M82">
        <v>21487.429688</v>
      </c>
      <c r="N82">
        <v>21869.119140999999</v>
      </c>
      <c r="O82">
        <v>22281.746093999998</v>
      </c>
      <c r="P82">
        <v>22753.675781000002</v>
      </c>
      <c r="Q82">
        <v>23300.654297000001</v>
      </c>
      <c r="R82">
        <v>23864.619140999999</v>
      </c>
      <c r="S82">
        <v>24455.300781000002</v>
      </c>
      <c r="T82">
        <v>25083.292968999998</v>
      </c>
      <c r="U82">
        <v>25738.103515999999</v>
      </c>
      <c r="V82">
        <v>26410.238281000002</v>
      </c>
      <c r="W82">
        <v>27098.439452999999</v>
      </c>
      <c r="X82">
        <v>27820.572265999999</v>
      </c>
      <c r="Y82">
        <v>28559.626952999999</v>
      </c>
      <c r="Z82">
        <v>29319.089843999998</v>
      </c>
      <c r="AA82">
        <v>30098.089843999998</v>
      </c>
      <c r="AB82">
        <v>30886.808593999998</v>
      </c>
      <c r="AC82">
        <v>31682.181640999999</v>
      </c>
      <c r="AD82">
        <v>32485.513672000001</v>
      </c>
      <c r="AE82">
        <v>33307.628905999998</v>
      </c>
      <c r="AF82">
        <v>34141.304687999997</v>
      </c>
      <c r="AG82">
        <v>34983.109375</v>
      </c>
      <c r="AH82">
        <v>35841.484375</v>
      </c>
      <c r="AI82">
        <v>2.3E-2</v>
      </c>
      <c r="AK82" s="31"/>
    </row>
    <row r="83" spans="1:37">
      <c r="A83" t="s">
        <v>442</v>
      </c>
      <c r="B83" t="s">
        <v>2168</v>
      </c>
      <c r="C83" t="s">
        <v>2169</v>
      </c>
      <c r="D83" t="s">
        <v>352</v>
      </c>
      <c r="F83">
        <v>6245.7333980000003</v>
      </c>
      <c r="G83">
        <v>6231.0595700000003</v>
      </c>
      <c r="H83">
        <v>6314.3334960000002</v>
      </c>
      <c r="I83">
        <v>6466.5615230000003</v>
      </c>
      <c r="J83">
        <v>6717.0078119999998</v>
      </c>
      <c r="K83">
        <v>6819.9873049999997</v>
      </c>
      <c r="L83">
        <v>6915.9755859999996</v>
      </c>
      <c r="M83">
        <v>6980.1840819999998</v>
      </c>
      <c r="N83">
        <v>7070.7036129999997</v>
      </c>
      <c r="O83">
        <v>7169.5</v>
      </c>
      <c r="P83">
        <v>7280.1435549999997</v>
      </c>
      <c r="Q83">
        <v>7410.0976559999999</v>
      </c>
      <c r="R83">
        <v>7558.0327150000003</v>
      </c>
      <c r="S83">
        <v>7715.0625</v>
      </c>
      <c r="T83">
        <v>7889.6967770000001</v>
      </c>
      <c r="U83">
        <v>8081.4609380000002</v>
      </c>
      <c r="V83">
        <v>8280.7919920000004</v>
      </c>
      <c r="W83">
        <v>8487.390625</v>
      </c>
      <c r="X83">
        <v>8703.9472659999992</v>
      </c>
      <c r="Y83">
        <v>8927.5712889999995</v>
      </c>
      <c r="Z83">
        <v>9160.1601559999999</v>
      </c>
      <c r="AA83">
        <v>9400.2392579999996</v>
      </c>
      <c r="AB83">
        <v>9645.2226559999999</v>
      </c>
      <c r="AC83">
        <v>9894.703125</v>
      </c>
      <c r="AD83">
        <v>10148.449219</v>
      </c>
      <c r="AE83">
        <v>10412.636719</v>
      </c>
      <c r="AF83">
        <v>10684.567383</v>
      </c>
      <c r="AG83">
        <v>10962.772461</v>
      </c>
      <c r="AH83">
        <v>11249.638671999999</v>
      </c>
      <c r="AI83">
        <v>2.1000000000000001E-2</v>
      </c>
      <c r="AK83" s="31"/>
    </row>
    <row r="84" spans="1:37">
      <c r="A84" t="s">
        <v>443</v>
      </c>
      <c r="B84" t="s">
        <v>2170</v>
      </c>
      <c r="C84" t="s">
        <v>2171</v>
      </c>
      <c r="D84" t="s">
        <v>352</v>
      </c>
      <c r="F84">
        <v>7528.7861329999996</v>
      </c>
      <c r="G84">
        <v>7903.6494140000004</v>
      </c>
      <c r="H84">
        <v>8265.8242190000001</v>
      </c>
      <c r="I84">
        <v>8366.6005860000005</v>
      </c>
      <c r="J84">
        <v>8539.6171880000002</v>
      </c>
      <c r="K84">
        <v>8680.8691409999992</v>
      </c>
      <c r="L84">
        <v>8825.3193360000005</v>
      </c>
      <c r="M84">
        <v>8982.1474610000005</v>
      </c>
      <c r="N84">
        <v>9139.515625</v>
      </c>
      <c r="O84">
        <v>9304.1113280000009</v>
      </c>
      <c r="P84">
        <v>9488.0527340000008</v>
      </c>
      <c r="Q84">
        <v>9684.9472659999992</v>
      </c>
      <c r="R84">
        <v>9886.6923829999996</v>
      </c>
      <c r="S84">
        <v>10093.938477</v>
      </c>
      <c r="T84">
        <v>10311.365234000001</v>
      </c>
      <c r="U84">
        <v>10539.424805000001</v>
      </c>
      <c r="V84">
        <v>10775.347656</v>
      </c>
      <c r="W84">
        <v>11017.750977</v>
      </c>
      <c r="X84">
        <v>11274.274414</v>
      </c>
      <c r="Y84">
        <v>11535.670898</v>
      </c>
      <c r="Z84">
        <v>11803.990234000001</v>
      </c>
      <c r="AA84">
        <v>12079.879883</v>
      </c>
      <c r="AB84">
        <v>12359.091796999999</v>
      </c>
      <c r="AC84">
        <v>12641.359375</v>
      </c>
      <c r="AD84">
        <v>12928.488281</v>
      </c>
      <c r="AE84">
        <v>13225.459961</v>
      </c>
      <c r="AF84">
        <v>13528.482421999999</v>
      </c>
      <c r="AG84">
        <v>13836.764648</v>
      </c>
      <c r="AH84">
        <v>14156.446289</v>
      </c>
      <c r="AI84">
        <v>2.3E-2</v>
      </c>
      <c r="AK84" s="31"/>
    </row>
    <row r="85" spans="1:37">
      <c r="A85" t="s">
        <v>444</v>
      </c>
      <c r="B85" t="s">
        <v>2172</v>
      </c>
      <c r="C85" t="s">
        <v>2173</v>
      </c>
      <c r="D85" t="s">
        <v>352</v>
      </c>
      <c r="F85">
        <v>6287.6152339999999</v>
      </c>
      <c r="G85">
        <v>6719.4003910000001</v>
      </c>
      <c r="H85">
        <v>6753.7509769999997</v>
      </c>
      <c r="I85">
        <v>6728.169922</v>
      </c>
      <c r="J85">
        <v>6826.3349609999996</v>
      </c>
      <c r="K85">
        <v>6925.685547</v>
      </c>
      <c r="L85">
        <v>7011.4433589999999</v>
      </c>
      <c r="M85">
        <v>7078.7402339999999</v>
      </c>
      <c r="N85">
        <v>7129.4311520000001</v>
      </c>
      <c r="O85">
        <v>7187.734375</v>
      </c>
      <c r="P85">
        <v>7282.8027339999999</v>
      </c>
      <c r="Q85">
        <v>7399.7236329999996</v>
      </c>
      <c r="R85">
        <v>7517.0771480000003</v>
      </c>
      <c r="S85">
        <v>7638.2182620000003</v>
      </c>
      <c r="T85">
        <v>7776.2841799999997</v>
      </c>
      <c r="U85">
        <v>7930.7080079999996</v>
      </c>
      <c r="V85">
        <v>8093.7294920000004</v>
      </c>
      <c r="W85">
        <v>8260.8017579999996</v>
      </c>
      <c r="X85">
        <v>8453.7158199999994</v>
      </c>
      <c r="Y85">
        <v>8647.0117190000001</v>
      </c>
      <c r="Z85">
        <v>8845.9550780000009</v>
      </c>
      <c r="AA85">
        <v>9052.9091800000006</v>
      </c>
      <c r="AB85">
        <v>9256.1279300000006</v>
      </c>
      <c r="AC85">
        <v>9455.6152340000008</v>
      </c>
      <c r="AD85">
        <v>9660.2285159999992</v>
      </c>
      <c r="AE85">
        <v>9881.6875</v>
      </c>
      <c r="AF85">
        <v>10108.027344</v>
      </c>
      <c r="AG85">
        <v>10337.007812</v>
      </c>
      <c r="AH85">
        <v>10586.442383</v>
      </c>
      <c r="AI85">
        <v>1.9E-2</v>
      </c>
      <c r="AK85" s="31"/>
    </row>
    <row r="86" spans="1:37">
      <c r="A86" t="s">
        <v>431</v>
      </c>
      <c r="B86" t="s">
        <v>2174</v>
      </c>
      <c r="C86" t="s">
        <v>2175</v>
      </c>
      <c r="D86" t="s">
        <v>352</v>
      </c>
      <c r="F86">
        <v>3707.0668949999999</v>
      </c>
      <c r="G86">
        <v>3928.1225589999999</v>
      </c>
      <c r="H86">
        <v>3932.0683589999999</v>
      </c>
      <c r="I86">
        <v>3914.6293949999999</v>
      </c>
      <c r="J86">
        <v>3971.0764159999999</v>
      </c>
      <c r="K86">
        <v>4028.1835940000001</v>
      </c>
      <c r="L86">
        <v>4077.2890619999998</v>
      </c>
      <c r="M86">
        <v>4115.546875</v>
      </c>
      <c r="N86">
        <v>4144.048828</v>
      </c>
      <c r="O86">
        <v>4176.9873049999997</v>
      </c>
      <c r="P86">
        <v>4231.4326170000004</v>
      </c>
      <c r="Q86">
        <v>4298.6430659999996</v>
      </c>
      <c r="R86">
        <v>4366.0722660000001</v>
      </c>
      <c r="S86">
        <v>4435.6865230000003</v>
      </c>
      <c r="T86">
        <v>4515.1733400000003</v>
      </c>
      <c r="U86">
        <v>4604.1953119999998</v>
      </c>
      <c r="V86">
        <v>4698.2094729999999</v>
      </c>
      <c r="W86">
        <v>4794.5532229999999</v>
      </c>
      <c r="X86">
        <v>4905.9638670000004</v>
      </c>
      <c r="Y86">
        <v>5017.5478519999997</v>
      </c>
      <c r="Z86">
        <v>5132.3847660000001</v>
      </c>
      <c r="AA86">
        <v>5251.8544920000004</v>
      </c>
      <c r="AB86">
        <v>5369.0859380000002</v>
      </c>
      <c r="AC86">
        <v>5484.0815430000002</v>
      </c>
      <c r="AD86">
        <v>5602.0205079999996</v>
      </c>
      <c r="AE86">
        <v>5729.7504879999997</v>
      </c>
      <c r="AF86">
        <v>5860.2744140000004</v>
      </c>
      <c r="AG86">
        <v>5992.2822269999997</v>
      </c>
      <c r="AH86">
        <v>6136.1806640000004</v>
      </c>
      <c r="AI86">
        <v>1.7999999999999999E-2</v>
      </c>
      <c r="AK86" s="31"/>
    </row>
    <row r="87" spans="1:37">
      <c r="A87" t="s">
        <v>442</v>
      </c>
      <c r="B87" t="s">
        <v>2176</v>
      </c>
      <c r="C87" t="s">
        <v>2177</v>
      </c>
      <c r="D87" t="s">
        <v>352</v>
      </c>
      <c r="F87">
        <v>388.04144300000002</v>
      </c>
      <c r="G87">
        <v>496.49783300000001</v>
      </c>
      <c r="H87">
        <v>536.61535600000002</v>
      </c>
      <c r="I87">
        <v>541.00836200000003</v>
      </c>
      <c r="J87">
        <v>550.58935499999995</v>
      </c>
      <c r="K87">
        <v>560.339966</v>
      </c>
      <c r="L87">
        <v>569.23065199999996</v>
      </c>
      <c r="M87">
        <v>576.90759300000002</v>
      </c>
      <c r="N87">
        <v>583.48693800000001</v>
      </c>
      <c r="O87">
        <v>590.65801999999996</v>
      </c>
      <c r="P87">
        <v>600.49352999999996</v>
      </c>
      <c r="Q87">
        <v>611.95989999999995</v>
      </c>
      <c r="R87">
        <v>623.54107699999997</v>
      </c>
      <c r="S87">
        <v>635.47607400000004</v>
      </c>
      <c r="T87">
        <v>648.70874000000003</v>
      </c>
      <c r="U87">
        <v>663.20953399999996</v>
      </c>
      <c r="V87">
        <v>678.42877199999998</v>
      </c>
      <c r="W87">
        <v>694.04370100000006</v>
      </c>
      <c r="X87">
        <v>711.65508999999997</v>
      </c>
      <c r="Y87">
        <v>729.41967799999998</v>
      </c>
      <c r="Z87">
        <v>747.72357199999999</v>
      </c>
      <c r="AA87">
        <v>766.74267599999996</v>
      </c>
      <c r="AB87">
        <v>785.62506099999996</v>
      </c>
      <c r="AC87">
        <v>804.37023899999997</v>
      </c>
      <c r="AD87">
        <v>823.62792999999999</v>
      </c>
      <c r="AE87">
        <v>844.26458700000001</v>
      </c>
      <c r="AF87">
        <v>865.40924099999995</v>
      </c>
      <c r="AG87">
        <v>886.90051300000005</v>
      </c>
      <c r="AH87">
        <v>910.05938700000002</v>
      </c>
      <c r="AI87">
        <v>3.1E-2</v>
      </c>
      <c r="AK87" s="31"/>
    </row>
    <row r="88" spans="1:37">
      <c r="A88" t="s">
        <v>443</v>
      </c>
      <c r="B88" t="s">
        <v>2178</v>
      </c>
      <c r="C88" t="s">
        <v>2179</v>
      </c>
      <c r="D88" t="s">
        <v>352</v>
      </c>
      <c r="F88">
        <v>2192.506836</v>
      </c>
      <c r="G88">
        <v>2294.7797850000002</v>
      </c>
      <c r="H88">
        <v>2285.0671390000002</v>
      </c>
      <c r="I88">
        <v>2272.531982</v>
      </c>
      <c r="J88">
        <v>2304.6689449999999</v>
      </c>
      <c r="K88">
        <v>2337.1623540000001</v>
      </c>
      <c r="L88">
        <v>2364.923828</v>
      </c>
      <c r="M88">
        <v>2386.2856449999999</v>
      </c>
      <c r="N88">
        <v>2401.8955080000001</v>
      </c>
      <c r="O88">
        <v>2420.0888669999999</v>
      </c>
      <c r="P88">
        <v>2450.876221</v>
      </c>
      <c r="Q88">
        <v>2489.1208499999998</v>
      </c>
      <c r="R88">
        <v>2527.4636230000001</v>
      </c>
      <c r="S88">
        <v>2567.055664</v>
      </c>
      <c r="T88">
        <v>2612.4023440000001</v>
      </c>
      <c r="U88">
        <v>2663.3029790000001</v>
      </c>
      <c r="V88">
        <v>2717.0910640000002</v>
      </c>
      <c r="W88">
        <v>2772.2053219999998</v>
      </c>
      <c r="X88">
        <v>2836.0966800000001</v>
      </c>
      <c r="Y88">
        <v>2900.0434570000002</v>
      </c>
      <c r="Z88">
        <v>2965.8469239999999</v>
      </c>
      <c r="AA88">
        <v>3034.3120119999999</v>
      </c>
      <c r="AB88">
        <v>3101.4172359999998</v>
      </c>
      <c r="AC88">
        <v>3167.163086</v>
      </c>
      <c r="AD88">
        <v>3234.580078</v>
      </c>
      <c r="AE88">
        <v>3307.672607</v>
      </c>
      <c r="AF88">
        <v>3382.3439939999998</v>
      </c>
      <c r="AG88">
        <v>3457.8256839999999</v>
      </c>
      <c r="AH88">
        <v>3540.201904</v>
      </c>
      <c r="AI88">
        <v>1.7000000000000001E-2</v>
      </c>
      <c r="AK88" s="31"/>
    </row>
    <row r="89" spans="1:37">
      <c r="A89" t="s">
        <v>444</v>
      </c>
      <c r="B89" t="s">
        <v>2180</v>
      </c>
      <c r="C89" t="s">
        <v>2181</v>
      </c>
      <c r="D89" t="s">
        <v>352</v>
      </c>
      <c r="F89">
        <v>636.88562000000002</v>
      </c>
      <c r="G89">
        <v>724.73333700000001</v>
      </c>
      <c r="H89">
        <v>779.74560499999995</v>
      </c>
      <c r="I89">
        <v>812.74212599999998</v>
      </c>
      <c r="J89">
        <v>842.13964799999997</v>
      </c>
      <c r="K89">
        <v>868.23669400000006</v>
      </c>
      <c r="L89">
        <v>880.58709699999997</v>
      </c>
      <c r="M89">
        <v>893.67065400000001</v>
      </c>
      <c r="N89">
        <v>907.385132</v>
      </c>
      <c r="O89">
        <v>921.72094700000002</v>
      </c>
      <c r="P89">
        <v>936.61547900000005</v>
      </c>
      <c r="Q89">
        <v>952.00158699999997</v>
      </c>
      <c r="R89">
        <v>967.85717799999998</v>
      </c>
      <c r="S89">
        <v>984.16497800000002</v>
      </c>
      <c r="T89">
        <v>1000.907166</v>
      </c>
      <c r="U89">
        <v>1018.072632</v>
      </c>
      <c r="V89">
        <v>1035.6483149999999</v>
      </c>
      <c r="W89">
        <v>1053.627808</v>
      </c>
      <c r="X89">
        <v>1071.974365</v>
      </c>
      <c r="Y89">
        <v>1090.6904300000001</v>
      </c>
      <c r="Z89">
        <v>1109.7749020000001</v>
      </c>
      <c r="AA89">
        <v>1129.216553</v>
      </c>
      <c r="AB89">
        <v>1149.044922</v>
      </c>
      <c r="AC89">
        <v>1169.2723390000001</v>
      </c>
      <c r="AD89">
        <v>1189.899414</v>
      </c>
      <c r="AE89">
        <v>1210.932861</v>
      </c>
      <c r="AF89">
        <v>1232.377686</v>
      </c>
      <c r="AG89">
        <v>1254.2468260000001</v>
      </c>
      <c r="AH89">
        <v>1276.5483400000001</v>
      </c>
      <c r="AI89">
        <v>2.5000000000000001E-2</v>
      </c>
      <c r="AK89" s="31"/>
    </row>
    <row r="90" spans="1:37">
      <c r="A90" t="s">
        <v>432</v>
      </c>
      <c r="B90" t="s">
        <v>2182</v>
      </c>
      <c r="C90" t="s">
        <v>2183</v>
      </c>
      <c r="D90" t="s">
        <v>352</v>
      </c>
      <c r="F90">
        <v>273.16107199999999</v>
      </c>
      <c r="G90">
        <v>305.90670799999998</v>
      </c>
      <c r="H90">
        <v>322.99240099999997</v>
      </c>
      <c r="I90">
        <v>334.52890000000002</v>
      </c>
      <c r="J90">
        <v>345.267517</v>
      </c>
      <c r="K90">
        <v>354.8349</v>
      </c>
      <c r="L90">
        <v>359.61828600000001</v>
      </c>
      <c r="M90">
        <v>364.701233</v>
      </c>
      <c r="N90">
        <v>370.03866599999998</v>
      </c>
      <c r="O90">
        <v>375.62744099999998</v>
      </c>
      <c r="P90">
        <v>381.439819</v>
      </c>
      <c r="Q90">
        <v>387.44644199999999</v>
      </c>
      <c r="R90">
        <v>393.637787</v>
      </c>
      <c r="S90">
        <v>400.00628699999999</v>
      </c>
      <c r="T90">
        <v>406.54440299999999</v>
      </c>
      <c r="U90">
        <v>413.24707000000001</v>
      </c>
      <c r="V90">
        <v>420.10864299999997</v>
      </c>
      <c r="W90">
        <v>427.12606799999998</v>
      </c>
      <c r="X90">
        <v>434.28280599999999</v>
      </c>
      <c r="Y90">
        <v>441.58017000000001</v>
      </c>
      <c r="Z90">
        <v>449.01767000000001</v>
      </c>
      <c r="AA90">
        <v>456.59021000000001</v>
      </c>
      <c r="AB90">
        <v>464.30926499999998</v>
      </c>
      <c r="AC90">
        <v>472.17950400000001</v>
      </c>
      <c r="AD90">
        <v>480.20059199999997</v>
      </c>
      <c r="AE90">
        <v>488.375092</v>
      </c>
      <c r="AF90">
        <v>496.70452899999998</v>
      </c>
      <c r="AG90">
        <v>505.19372600000003</v>
      </c>
      <c r="AH90">
        <v>513.84545900000001</v>
      </c>
      <c r="AI90">
        <v>2.3E-2</v>
      </c>
      <c r="AK90" s="31"/>
    </row>
    <row r="91" spans="1:37">
      <c r="A91" t="s">
        <v>442</v>
      </c>
      <c r="B91" t="s">
        <v>2184</v>
      </c>
      <c r="C91" t="s">
        <v>2185</v>
      </c>
      <c r="D91" t="s">
        <v>352</v>
      </c>
      <c r="F91">
        <v>73.902916000000005</v>
      </c>
      <c r="G91">
        <v>92.482269000000002</v>
      </c>
      <c r="H91">
        <v>106.752396</v>
      </c>
      <c r="I91">
        <v>116.04083300000001</v>
      </c>
      <c r="J91">
        <v>123.285713</v>
      </c>
      <c r="K91">
        <v>129.63995399999999</v>
      </c>
      <c r="L91">
        <v>132.075073</v>
      </c>
      <c r="M91">
        <v>134.61972</v>
      </c>
      <c r="N91">
        <v>137.266052</v>
      </c>
      <c r="O91">
        <v>140.01118500000001</v>
      </c>
      <c r="P91">
        <v>142.85011299999999</v>
      </c>
      <c r="Q91">
        <v>145.77740499999999</v>
      </c>
      <c r="R91">
        <v>148.79087799999999</v>
      </c>
      <c r="S91">
        <v>151.88885500000001</v>
      </c>
      <c r="T91">
        <v>155.06951900000001</v>
      </c>
      <c r="U91">
        <v>158.33225999999999</v>
      </c>
      <c r="V91">
        <v>161.675735</v>
      </c>
      <c r="W91">
        <v>165.100067</v>
      </c>
      <c r="X91">
        <v>168.60325599999999</v>
      </c>
      <c r="Y91">
        <v>172.18461600000001</v>
      </c>
      <c r="Z91">
        <v>175.84478799999999</v>
      </c>
      <c r="AA91">
        <v>179.582413</v>
      </c>
      <c r="AB91">
        <v>183.40360999999999</v>
      </c>
      <c r="AC91">
        <v>187.31118799999999</v>
      </c>
      <c r="AD91">
        <v>191.30612199999999</v>
      </c>
      <c r="AE91">
        <v>195.39027400000001</v>
      </c>
      <c r="AF91">
        <v>199.56527700000001</v>
      </c>
      <c r="AG91">
        <v>203.83422899999999</v>
      </c>
      <c r="AH91">
        <v>208.19927999999999</v>
      </c>
      <c r="AI91">
        <v>3.7999999999999999E-2</v>
      </c>
      <c r="AK91" s="31"/>
    </row>
    <row r="92" spans="1:37">
      <c r="A92" t="s">
        <v>443</v>
      </c>
      <c r="B92" t="s">
        <v>2186</v>
      </c>
      <c r="C92" t="s">
        <v>2187</v>
      </c>
      <c r="D92" t="s">
        <v>352</v>
      </c>
      <c r="F92">
        <v>289.821594</v>
      </c>
      <c r="G92">
        <v>326.34435999999999</v>
      </c>
      <c r="H92">
        <v>350.00076300000001</v>
      </c>
      <c r="I92">
        <v>362.172394</v>
      </c>
      <c r="J92">
        <v>373.586456</v>
      </c>
      <c r="K92">
        <v>383.76187099999999</v>
      </c>
      <c r="L92">
        <v>388.89373799999998</v>
      </c>
      <c r="M92">
        <v>394.34970099999998</v>
      </c>
      <c r="N92">
        <v>400.08038299999998</v>
      </c>
      <c r="O92">
        <v>406.082336</v>
      </c>
      <c r="P92">
        <v>412.32553100000001</v>
      </c>
      <c r="Q92">
        <v>418.77773999999999</v>
      </c>
      <c r="R92">
        <v>425.42852800000003</v>
      </c>
      <c r="S92">
        <v>432.269836</v>
      </c>
      <c r="T92">
        <v>439.293274</v>
      </c>
      <c r="U92">
        <v>446.49328600000001</v>
      </c>
      <c r="V92">
        <v>453.863922</v>
      </c>
      <c r="W92">
        <v>461.40167200000002</v>
      </c>
      <c r="X92">
        <v>469.088348</v>
      </c>
      <c r="Y92">
        <v>476.92559799999998</v>
      </c>
      <c r="Z92">
        <v>484.91253699999999</v>
      </c>
      <c r="AA92">
        <v>493.04388399999999</v>
      </c>
      <c r="AB92">
        <v>501.33206200000001</v>
      </c>
      <c r="AC92">
        <v>509.78164700000002</v>
      </c>
      <c r="AD92">
        <v>518.39263900000003</v>
      </c>
      <c r="AE92">
        <v>527.16754200000003</v>
      </c>
      <c r="AF92">
        <v>536.10790999999995</v>
      </c>
      <c r="AG92">
        <v>545.21881099999996</v>
      </c>
      <c r="AH92">
        <v>554.50354000000004</v>
      </c>
      <c r="AI92">
        <v>2.3E-2</v>
      </c>
      <c r="AK92" s="31"/>
    </row>
    <row r="93" spans="1:37">
      <c r="A93" t="s">
        <v>444</v>
      </c>
      <c r="B93" t="s">
        <v>2188</v>
      </c>
      <c r="C93" t="s">
        <v>2189</v>
      </c>
      <c r="D93" t="s">
        <v>352</v>
      </c>
      <c r="F93">
        <v>510.13781699999998</v>
      </c>
      <c r="G93">
        <v>607.08679199999995</v>
      </c>
      <c r="H93">
        <v>689.76232900000002</v>
      </c>
      <c r="I93">
        <v>731.00323500000002</v>
      </c>
      <c r="J93">
        <v>770.99700900000005</v>
      </c>
      <c r="K93">
        <v>801.07250999999997</v>
      </c>
      <c r="L93">
        <v>827.71020499999997</v>
      </c>
      <c r="M93">
        <v>852.55218500000001</v>
      </c>
      <c r="N93">
        <v>878.49865699999998</v>
      </c>
      <c r="O93">
        <v>905.47668499999997</v>
      </c>
      <c r="P93">
        <v>933.66302499999995</v>
      </c>
      <c r="Q93">
        <v>962.88934300000005</v>
      </c>
      <c r="R93">
        <v>993.16522199999997</v>
      </c>
      <c r="S93">
        <v>1024.485596</v>
      </c>
      <c r="T93">
        <v>1056.7460940000001</v>
      </c>
      <c r="U93">
        <v>1090.045654</v>
      </c>
      <c r="V93">
        <v>1124.4025879999999</v>
      </c>
      <c r="W93">
        <v>1159.8264160000001</v>
      </c>
      <c r="X93">
        <v>1196.290405</v>
      </c>
      <c r="Y93">
        <v>1233.541626</v>
      </c>
      <c r="Z93">
        <v>1271.8422849999999</v>
      </c>
      <c r="AA93">
        <v>1311.208862</v>
      </c>
      <c r="AB93">
        <v>1351.653564</v>
      </c>
      <c r="AC93">
        <v>1393.179443</v>
      </c>
      <c r="AD93">
        <v>1435.486328</v>
      </c>
      <c r="AE93">
        <v>1478.831909</v>
      </c>
      <c r="AF93">
        <v>1523.3122559999999</v>
      </c>
      <c r="AG93">
        <v>1569.0361330000001</v>
      </c>
      <c r="AH93">
        <v>1616.095703</v>
      </c>
      <c r="AI93">
        <v>4.2000000000000003E-2</v>
      </c>
      <c r="AK93" s="31"/>
    </row>
    <row r="94" spans="1:37">
      <c r="A94" t="s">
        <v>433</v>
      </c>
      <c r="B94" t="s">
        <v>2190</v>
      </c>
      <c r="C94" t="s">
        <v>2191</v>
      </c>
      <c r="D94" t="s">
        <v>352</v>
      </c>
      <c r="F94">
        <v>316.654022</v>
      </c>
      <c r="G94">
        <v>377.51306199999999</v>
      </c>
      <c r="H94">
        <v>429.65152</v>
      </c>
      <c r="I94">
        <v>455.68197600000002</v>
      </c>
      <c r="J94">
        <v>480.828033</v>
      </c>
      <c r="K94">
        <v>499.65640300000001</v>
      </c>
      <c r="L94">
        <v>516.28814699999998</v>
      </c>
      <c r="M94">
        <v>531.76483199999996</v>
      </c>
      <c r="N94">
        <v>547.92858899999999</v>
      </c>
      <c r="O94">
        <v>564.73394800000005</v>
      </c>
      <c r="P94">
        <v>582.29070999999999</v>
      </c>
      <c r="Q94">
        <v>600.494507</v>
      </c>
      <c r="R94">
        <v>619.35095200000001</v>
      </c>
      <c r="S94">
        <v>638.85717799999998</v>
      </c>
      <c r="T94">
        <v>658.94805899999994</v>
      </c>
      <c r="U94">
        <v>679.68518100000006</v>
      </c>
      <c r="V94">
        <v>701.07959000000005</v>
      </c>
      <c r="W94">
        <v>723.13751200000002</v>
      </c>
      <c r="X94">
        <v>745.84216300000003</v>
      </c>
      <c r="Y94">
        <v>769.036743</v>
      </c>
      <c r="Z94">
        <v>792.88372800000002</v>
      </c>
      <c r="AA94">
        <v>817.39331100000004</v>
      </c>
      <c r="AB94">
        <v>842.57318099999998</v>
      </c>
      <c r="AC94">
        <v>868.42498799999998</v>
      </c>
      <c r="AD94">
        <v>894.76245100000006</v>
      </c>
      <c r="AE94">
        <v>921.74530000000004</v>
      </c>
      <c r="AF94">
        <v>949.43347200000005</v>
      </c>
      <c r="AG94">
        <v>977.89483600000005</v>
      </c>
      <c r="AH94">
        <v>1007.1868899999999</v>
      </c>
      <c r="AI94">
        <v>4.2000000000000003E-2</v>
      </c>
      <c r="AK94" s="31"/>
    </row>
    <row r="95" spans="1:37">
      <c r="A95" t="s">
        <v>442</v>
      </c>
      <c r="B95" t="s">
        <v>2192</v>
      </c>
      <c r="C95" t="s">
        <v>2193</v>
      </c>
      <c r="D95" t="s">
        <v>352</v>
      </c>
      <c r="F95">
        <v>40.398083</v>
      </c>
      <c r="G95">
        <v>50.614764999999998</v>
      </c>
      <c r="H95">
        <v>59.206772000000001</v>
      </c>
      <c r="I95">
        <v>65.663933</v>
      </c>
      <c r="J95">
        <v>71.095741000000004</v>
      </c>
      <c r="K95">
        <v>74.483497999999997</v>
      </c>
      <c r="L95">
        <v>77.105109999999996</v>
      </c>
      <c r="M95">
        <v>79.25985</v>
      </c>
      <c r="N95">
        <v>81.502052000000006</v>
      </c>
      <c r="O95">
        <v>83.824104000000005</v>
      </c>
      <c r="P95">
        <v>86.239936999999998</v>
      </c>
      <c r="Q95">
        <v>88.737815999999995</v>
      </c>
      <c r="R95">
        <v>91.317672999999999</v>
      </c>
      <c r="S95">
        <v>93.978309999999993</v>
      </c>
      <c r="T95">
        <v>96.712646000000007</v>
      </c>
      <c r="U95">
        <v>99.526816999999994</v>
      </c>
      <c r="V95">
        <v>102.42166899999999</v>
      </c>
      <c r="W95">
        <v>105.397537</v>
      </c>
      <c r="X95">
        <v>108.45356</v>
      </c>
      <c r="Y95">
        <v>111.572723</v>
      </c>
      <c r="Z95">
        <v>114.771461</v>
      </c>
      <c r="AA95">
        <v>118.050468</v>
      </c>
      <c r="AB95">
        <v>121.41037799999999</v>
      </c>
      <c r="AC95">
        <v>124.85075399999999</v>
      </c>
      <c r="AD95">
        <v>128.35020399999999</v>
      </c>
      <c r="AE95">
        <v>131.92523199999999</v>
      </c>
      <c r="AF95">
        <v>135.58485400000001</v>
      </c>
      <c r="AG95">
        <v>139.33955399999999</v>
      </c>
      <c r="AH95">
        <v>143.19787600000001</v>
      </c>
      <c r="AI95">
        <v>4.5999999999999999E-2</v>
      </c>
      <c r="AK95" s="31"/>
    </row>
    <row r="96" spans="1:37">
      <c r="A96" t="s">
        <v>443</v>
      </c>
      <c r="B96" t="s">
        <v>2194</v>
      </c>
      <c r="C96" t="s">
        <v>2195</v>
      </c>
      <c r="D96" t="s">
        <v>352</v>
      </c>
      <c r="F96">
        <v>153.08570900000001</v>
      </c>
      <c r="G96">
        <v>178.958923</v>
      </c>
      <c r="H96">
        <v>200.90403699999999</v>
      </c>
      <c r="I96">
        <v>209.65733299999999</v>
      </c>
      <c r="J96">
        <v>219.07325700000001</v>
      </c>
      <c r="K96">
        <v>226.932648</v>
      </c>
      <c r="L96">
        <v>234.316925</v>
      </c>
      <c r="M96">
        <v>241.527512</v>
      </c>
      <c r="N96">
        <v>249.06796299999999</v>
      </c>
      <c r="O96">
        <v>256.91863999999998</v>
      </c>
      <c r="P96">
        <v>265.132385</v>
      </c>
      <c r="Q96">
        <v>273.65704299999999</v>
      </c>
      <c r="R96">
        <v>282.49658199999999</v>
      </c>
      <c r="S96">
        <v>291.65014600000001</v>
      </c>
      <c r="T96">
        <v>301.08532700000001</v>
      </c>
      <c r="U96">
        <v>310.83364899999998</v>
      </c>
      <c r="V96">
        <v>320.901276</v>
      </c>
      <c r="W96">
        <v>331.29144300000002</v>
      </c>
      <c r="X96">
        <v>341.99471999999997</v>
      </c>
      <c r="Y96">
        <v>352.93215900000001</v>
      </c>
      <c r="Z96">
        <v>364.18710299999998</v>
      </c>
      <c r="AA96">
        <v>375.76504499999999</v>
      </c>
      <c r="AB96">
        <v>387.669983</v>
      </c>
      <c r="AC96">
        <v>399.90365600000001</v>
      </c>
      <c r="AD96">
        <v>412.37359600000002</v>
      </c>
      <c r="AE96">
        <v>425.161407</v>
      </c>
      <c r="AF96">
        <v>438.29391500000003</v>
      </c>
      <c r="AG96">
        <v>451.80172700000003</v>
      </c>
      <c r="AH96">
        <v>465.710938</v>
      </c>
      <c r="AI96">
        <v>4.1000000000000002E-2</v>
      </c>
      <c r="AK96" s="31"/>
    </row>
    <row r="97" spans="1:37">
      <c r="A97" t="s">
        <v>444</v>
      </c>
      <c r="B97" t="s">
        <v>2196</v>
      </c>
      <c r="C97" t="s">
        <v>2197</v>
      </c>
      <c r="D97" t="s">
        <v>352</v>
      </c>
      <c r="F97">
        <v>3762.0329590000001</v>
      </c>
      <c r="G97">
        <v>4748.001953</v>
      </c>
      <c r="H97">
        <v>5353.5395509999998</v>
      </c>
      <c r="I97">
        <v>5531.044922</v>
      </c>
      <c r="J97">
        <v>5775.6142579999996</v>
      </c>
      <c r="K97">
        <v>5864.3710940000001</v>
      </c>
      <c r="L97">
        <v>5956.8701170000004</v>
      </c>
      <c r="M97">
        <v>6053.4848629999997</v>
      </c>
      <c r="N97">
        <v>6154.3422849999997</v>
      </c>
      <c r="O97">
        <v>6259.3935549999997</v>
      </c>
      <c r="P97">
        <v>6368.6088870000003</v>
      </c>
      <c r="Q97">
        <v>6481.9433589999999</v>
      </c>
      <c r="R97">
        <v>6599.0610349999997</v>
      </c>
      <c r="S97">
        <v>6719.5424800000001</v>
      </c>
      <c r="T97">
        <v>6843.6357420000004</v>
      </c>
      <c r="U97">
        <v>6971.5454099999997</v>
      </c>
      <c r="V97">
        <v>7103.0249020000001</v>
      </c>
      <c r="W97">
        <v>7237.9794920000004</v>
      </c>
      <c r="X97">
        <v>7376.4609380000002</v>
      </c>
      <c r="Y97">
        <v>7518.2265619999998</v>
      </c>
      <c r="Z97">
        <v>7663.1791990000002</v>
      </c>
      <c r="AA97">
        <v>7811.2163090000004</v>
      </c>
      <c r="AB97">
        <v>7962.2353519999997</v>
      </c>
      <c r="AC97">
        <v>8116.169922</v>
      </c>
      <c r="AD97">
        <v>8272.9707030000009</v>
      </c>
      <c r="AE97">
        <v>8432.609375</v>
      </c>
      <c r="AF97">
        <v>8595.2480469999991</v>
      </c>
      <c r="AG97">
        <v>8761.1083980000003</v>
      </c>
      <c r="AH97">
        <v>8930.3339840000008</v>
      </c>
      <c r="AI97">
        <v>3.1E-2</v>
      </c>
      <c r="AK97" s="31"/>
    </row>
    <row r="98" spans="1:37">
      <c r="A98" t="s">
        <v>434</v>
      </c>
      <c r="B98" t="s">
        <v>2198</v>
      </c>
      <c r="C98" t="s">
        <v>2199</v>
      </c>
      <c r="D98" t="s">
        <v>352</v>
      </c>
      <c r="F98">
        <v>2251.7707519999999</v>
      </c>
      <c r="G98">
        <v>2824.7802729999999</v>
      </c>
      <c r="H98">
        <v>3159.9794919999999</v>
      </c>
      <c r="I98">
        <v>3257.9604490000002</v>
      </c>
      <c r="J98">
        <v>3380.0771479999999</v>
      </c>
      <c r="K98">
        <v>3432.951904</v>
      </c>
      <c r="L98">
        <v>3487.991211</v>
      </c>
      <c r="M98">
        <v>3545.4409179999998</v>
      </c>
      <c r="N98">
        <v>3605.3881839999999</v>
      </c>
      <c r="O98">
        <v>3667.8046880000002</v>
      </c>
      <c r="P98">
        <v>3732.6826169999999</v>
      </c>
      <c r="Q98">
        <v>3800.0107419999999</v>
      </c>
      <c r="R98">
        <v>3869.5900879999999</v>
      </c>
      <c r="S98">
        <v>3941.16626</v>
      </c>
      <c r="T98">
        <v>4014.9035640000002</v>
      </c>
      <c r="U98">
        <v>4090.930664</v>
      </c>
      <c r="V98">
        <v>4169.0976559999999</v>
      </c>
      <c r="W98">
        <v>4249.3491210000002</v>
      </c>
      <c r="X98">
        <v>4331.7280270000001</v>
      </c>
      <c r="Y98">
        <v>4416.0815430000002</v>
      </c>
      <c r="Z98">
        <v>4502.3525390000004</v>
      </c>
      <c r="AA98">
        <v>4590.4814450000003</v>
      </c>
      <c r="AB98">
        <v>4680.40625</v>
      </c>
      <c r="AC98">
        <v>4772.091797</v>
      </c>
      <c r="AD98">
        <v>4865.5161129999997</v>
      </c>
      <c r="AE98">
        <v>4960.6669920000004</v>
      </c>
      <c r="AF98">
        <v>5057.6396480000003</v>
      </c>
      <c r="AG98">
        <v>5156.5708009999998</v>
      </c>
      <c r="AH98">
        <v>5257.5439450000003</v>
      </c>
      <c r="AI98">
        <v>3.1E-2</v>
      </c>
      <c r="AK98" s="31"/>
    </row>
    <row r="99" spans="1:37">
      <c r="A99" t="s">
        <v>442</v>
      </c>
      <c r="B99" t="s">
        <v>2200</v>
      </c>
      <c r="C99" t="s">
        <v>2201</v>
      </c>
      <c r="D99" t="s">
        <v>352</v>
      </c>
      <c r="F99">
        <v>599.214294</v>
      </c>
      <c r="G99">
        <v>762.268372</v>
      </c>
      <c r="H99">
        <v>868.50219700000002</v>
      </c>
      <c r="I99">
        <v>908.78015100000005</v>
      </c>
      <c r="J99">
        <v>986.05267300000003</v>
      </c>
      <c r="K99">
        <v>999.63122599999997</v>
      </c>
      <c r="L99">
        <v>1013.892578</v>
      </c>
      <c r="M99">
        <v>1028.8524170000001</v>
      </c>
      <c r="N99">
        <v>1044.5131839999999</v>
      </c>
      <c r="O99">
        <v>1060.864746</v>
      </c>
      <c r="P99">
        <v>1077.8847659999999</v>
      </c>
      <c r="Q99">
        <v>1095.54187</v>
      </c>
      <c r="R99">
        <v>1113.7825929999999</v>
      </c>
      <c r="S99">
        <v>1132.5489500000001</v>
      </c>
      <c r="T99">
        <v>1151.852539</v>
      </c>
      <c r="U99">
        <v>1171.7117920000001</v>
      </c>
      <c r="V99">
        <v>1192.096313</v>
      </c>
      <c r="W99">
        <v>1212.9866939999999</v>
      </c>
      <c r="X99">
        <v>1234.3725589999999</v>
      </c>
      <c r="Y99">
        <v>1256.2304690000001</v>
      </c>
      <c r="Z99">
        <v>1278.5439449999999</v>
      </c>
      <c r="AA99">
        <v>1301.295044</v>
      </c>
      <c r="AB99">
        <v>1324.4681399999999</v>
      </c>
      <c r="AC99">
        <v>1348.048462</v>
      </c>
      <c r="AD99">
        <v>1372.0131839999999</v>
      </c>
      <c r="AE99">
        <v>1396.3532709999999</v>
      </c>
      <c r="AF99">
        <v>1421.0908199999999</v>
      </c>
      <c r="AG99">
        <v>1446.2570800000001</v>
      </c>
      <c r="AH99">
        <v>1471.8752440000001</v>
      </c>
      <c r="AI99">
        <v>3.3000000000000002E-2</v>
      </c>
      <c r="AK99" s="31"/>
    </row>
    <row r="100" spans="1:37">
      <c r="A100" t="s">
        <v>443</v>
      </c>
      <c r="B100" t="s">
        <v>2202</v>
      </c>
      <c r="C100" t="s">
        <v>2203</v>
      </c>
      <c r="D100" t="s">
        <v>352</v>
      </c>
      <c r="F100">
        <v>911.04791299999999</v>
      </c>
      <c r="G100">
        <v>1160.9532469999999</v>
      </c>
      <c r="H100">
        <v>1325.0579829999999</v>
      </c>
      <c r="I100">
        <v>1364.3039550000001</v>
      </c>
      <c r="J100">
        <v>1409.484375</v>
      </c>
      <c r="K100">
        <v>1431.788086</v>
      </c>
      <c r="L100">
        <v>1454.986328</v>
      </c>
      <c r="M100">
        <v>1479.191284</v>
      </c>
      <c r="N100">
        <v>1504.4407960000001</v>
      </c>
      <c r="O100">
        <v>1530.7242429999999</v>
      </c>
      <c r="P100">
        <v>1558.0413820000001</v>
      </c>
      <c r="Q100">
        <v>1586.3903809999999</v>
      </c>
      <c r="R100">
        <v>1615.6884769999999</v>
      </c>
      <c r="S100">
        <v>1645.8271480000001</v>
      </c>
      <c r="T100">
        <v>1676.8798830000001</v>
      </c>
      <c r="U100">
        <v>1708.9027100000001</v>
      </c>
      <c r="V100">
        <v>1741.831177</v>
      </c>
      <c r="W100">
        <v>1775.643311</v>
      </c>
      <c r="X100">
        <v>1810.3602289999999</v>
      </c>
      <c r="Y100">
        <v>1845.914673</v>
      </c>
      <c r="Z100">
        <v>1882.282837</v>
      </c>
      <c r="AA100">
        <v>1919.440063</v>
      </c>
      <c r="AB100">
        <v>1957.360596</v>
      </c>
      <c r="AC100">
        <v>1996.030029</v>
      </c>
      <c r="AD100">
        <v>2035.4411620000001</v>
      </c>
      <c r="AE100">
        <v>2075.5893550000001</v>
      </c>
      <c r="AF100">
        <v>2116.5170899999998</v>
      </c>
      <c r="AG100">
        <v>2158.280518</v>
      </c>
      <c r="AH100">
        <v>2200.9147950000001</v>
      </c>
      <c r="AI100">
        <v>3.2000000000000001E-2</v>
      </c>
      <c r="AK100" s="31"/>
    </row>
    <row r="101" spans="1:37">
      <c r="A101" t="s">
        <v>444</v>
      </c>
      <c r="B101" t="s">
        <v>2204</v>
      </c>
      <c r="C101" t="s">
        <v>2205</v>
      </c>
      <c r="D101" t="s">
        <v>352</v>
      </c>
      <c r="F101">
        <v>334.30587800000001</v>
      </c>
      <c r="G101">
        <v>482.67523199999999</v>
      </c>
      <c r="H101">
        <v>543.73724400000003</v>
      </c>
      <c r="I101">
        <v>574.16961700000002</v>
      </c>
      <c r="J101">
        <v>609.476135</v>
      </c>
      <c r="K101">
        <v>631.25524900000005</v>
      </c>
      <c r="L101">
        <v>650.66949499999998</v>
      </c>
      <c r="M101">
        <v>650.72229000000004</v>
      </c>
      <c r="N101">
        <v>650.47351100000003</v>
      </c>
      <c r="O101">
        <v>650.04211399999997</v>
      </c>
      <c r="P101">
        <v>649.65869099999998</v>
      </c>
      <c r="Q101">
        <v>649.51635699999997</v>
      </c>
      <c r="R101">
        <v>649.60699499999998</v>
      </c>
      <c r="S101">
        <v>649.90551800000003</v>
      </c>
      <c r="T101">
        <v>650.389771</v>
      </c>
      <c r="U101">
        <v>651.04125999999997</v>
      </c>
      <c r="V101">
        <v>651.84350600000005</v>
      </c>
      <c r="W101">
        <v>652.77838099999997</v>
      </c>
      <c r="X101">
        <v>653.81298800000002</v>
      </c>
      <c r="Y101">
        <v>654.95043899999996</v>
      </c>
      <c r="Z101">
        <v>656.17468299999996</v>
      </c>
      <c r="AA101">
        <v>657.48034700000005</v>
      </c>
      <c r="AB101">
        <v>658.88653599999998</v>
      </c>
      <c r="AC101">
        <v>660.45416299999999</v>
      </c>
      <c r="AD101">
        <v>662.22705099999996</v>
      </c>
      <c r="AE101">
        <v>664.21197500000005</v>
      </c>
      <c r="AF101">
        <v>666.40466300000003</v>
      </c>
      <c r="AG101">
        <v>668.80127000000005</v>
      </c>
      <c r="AH101">
        <v>671.39721699999996</v>
      </c>
      <c r="AI101">
        <v>2.5000000000000001E-2</v>
      </c>
      <c r="AK101" s="31"/>
    </row>
    <row r="102" spans="1:37">
      <c r="A102" t="s">
        <v>435</v>
      </c>
      <c r="B102" t="s">
        <v>2206</v>
      </c>
      <c r="C102" t="s">
        <v>2207</v>
      </c>
      <c r="D102" t="s">
        <v>352</v>
      </c>
      <c r="F102">
        <v>157.00242600000001</v>
      </c>
      <c r="G102">
        <v>226.84420800000001</v>
      </c>
      <c r="H102">
        <v>246.46307400000001</v>
      </c>
      <c r="I102">
        <v>254.599121</v>
      </c>
      <c r="J102">
        <v>261.34945699999997</v>
      </c>
      <c r="K102">
        <v>265.541901</v>
      </c>
      <c r="L102">
        <v>269.29544099999998</v>
      </c>
      <c r="M102">
        <v>269.39648399999999</v>
      </c>
      <c r="N102">
        <v>269.45678700000002</v>
      </c>
      <c r="O102">
        <v>269.50479100000001</v>
      </c>
      <c r="P102">
        <v>269.59854100000001</v>
      </c>
      <c r="Q102">
        <v>269.78677399999998</v>
      </c>
      <c r="R102">
        <v>270.06545999999997</v>
      </c>
      <c r="S102">
        <v>270.42456099999998</v>
      </c>
      <c r="T102">
        <v>270.85540800000001</v>
      </c>
      <c r="U102">
        <v>271.35137900000001</v>
      </c>
      <c r="V102">
        <v>271.90600599999999</v>
      </c>
      <c r="W102">
        <v>272.51284800000002</v>
      </c>
      <c r="X102">
        <v>273.15570100000002</v>
      </c>
      <c r="Y102">
        <v>273.838348</v>
      </c>
      <c r="Z102">
        <v>274.55523699999998</v>
      </c>
      <c r="AA102">
        <v>275.30450400000001</v>
      </c>
      <c r="AB102">
        <v>276.09158300000001</v>
      </c>
      <c r="AC102">
        <v>276.93158</v>
      </c>
      <c r="AD102">
        <v>277.83703600000001</v>
      </c>
      <c r="AE102">
        <v>278.80905200000001</v>
      </c>
      <c r="AF102">
        <v>279.84530599999999</v>
      </c>
      <c r="AG102">
        <v>280.943848</v>
      </c>
      <c r="AH102">
        <v>282.10253899999998</v>
      </c>
      <c r="AI102">
        <v>2.1000000000000001E-2</v>
      </c>
      <c r="AK102" s="31"/>
    </row>
    <row r="103" spans="1:37">
      <c r="A103" t="s">
        <v>442</v>
      </c>
      <c r="B103" t="s">
        <v>2208</v>
      </c>
      <c r="C103" t="s">
        <v>2209</v>
      </c>
      <c r="D103" t="s">
        <v>352</v>
      </c>
      <c r="F103">
        <v>108.138092</v>
      </c>
      <c r="G103">
        <v>155.81738300000001</v>
      </c>
      <c r="H103">
        <v>191.16619900000001</v>
      </c>
      <c r="I103">
        <v>211.71112099999999</v>
      </c>
      <c r="J103">
        <v>240.22532699999999</v>
      </c>
      <c r="K103">
        <v>257.76501500000001</v>
      </c>
      <c r="L103">
        <v>273.371735</v>
      </c>
      <c r="M103">
        <v>273.25607300000001</v>
      </c>
      <c r="N103">
        <v>272.86740099999997</v>
      </c>
      <c r="O103">
        <v>272.29208399999999</v>
      </c>
      <c r="P103">
        <v>271.69168100000002</v>
      </c>
      <c r="Q103">
        <v>271.20190400000001</v>
      </c>
      <c r="R103">
        <v>270.820312</v>
      </c>
      <c r="S103">
        <v>270.53582799999998</v>
      </c>
      <c r="T103">
        <v>270.33837899999997</v>
      </c>
      <c r="U103">
        <v>270.21820100000002</v>
      </c>
      <c r="V103">
        <v>270.16796900000003</v>
      </c>
      <c r="W103">
        <v>270.17804000000001</v>
      </c>
      <c r="X103">
        <v>270.23925800000001</v>
      </c>
      <c r="Y103">
        <v>270.34848</v>
      </c>
      <c r="Z103">
        <v>270.49700899999999</v>
      </c>
      <c r="AA103">
        <v>270.68206800000002</v>
      </c>
      <c r="AB103">
        <v>270.91598499999998</v>
      </c>
      <c r="AC103">
        <v>271.24194299999999</v>
      </c>
      <c r="AD103">
        <v>271.688019</v>
      </c>
      <c r="AE103">
        <v>272.26010100000002</v>
      </c>
      <c r="AF103">
        <v>272.957336</v>
      </c>
      <c r="AG103">
        <v>273.778595</v>
      </c>
      <c r="AH103">
        <v>274.72259500000001</v>
      </c>
      <c r="AI103">
        <v>3.4000000000000002E-2</v>
      </c>
      <c r="AK103" s="31"/>
    </row>
    <row r="104" spans="1:37">
      <c r="A104" t="s">
        <v>443</v>
      </c>
      <c r="B104" t="s">
        <v>2210</v>
      </c>
      <c r="C104" t="s">
        <v>2211</v>
      </c>
      <c r="D104" t="s">
        <v>352</v>
      </c>
      <c r="F104">
        <v>69.165374999999997</v>
      </c>
      <c r="G104">
        <v>100.01365699999999</v>
      </c>
      <c r="H104">
        <v>106.107979</v>
      </c>
      <c r="I104">
        <v>107.859352</v>
      </c>
      <c r="J104">
        <v>107.90136699999999</v>
      </c>
      <c r="K104">
        <v>107.94834899999999</v>
      </c>
      <c r="L104">
        <v>108.00232699999999</v>
      </c>
      <c r="M104">
        <v>108.06967899999999</v>
      </c>
      <c r="N104">
        <v>108.149277</v>
      </c>
      <c r="O104">
        <v>108.24527</v>
      </c>
      <c r="P104">
        <v>108.36844600000001</v>
      </c>
      <c r="Q104">
        <v>108.527725</v>
      </c>
      <c r="R104">
        <v>108.72123000000001</v>
      </c>
      <c r="S104">
        <v>108.94512899999999</v>
      </c>
      <c r="T104">
        <v>109.19601400000001</v>
      </c>
      <c r="U104">
        <v>109.47168000000001</v>
      </c>
      <c r="V104">
        <v>109.76956199999999</v>
      </c>
      <c r="W104">
        <v>110.087486</v>
      </c>
      <c r="X104">
        <v>110.418037</v>
      </c>
      <c r="Y104">
        <v>110.76361799999999</v>
      </c>
      <c r="Z104">
        <v>111.122467</v>
      </c>
      <c r="AA104">
        <v>111.49376700000001</v>
      </c>
      <c r="AB104">
        <v>111.87896000000001</v>
      </c>
      <c r="AC104">
        <v>112.280655</v>
      </c>
      <c r="AD104">
        <v>112.70199599999999</v>
      </c>
      <c r="AE104">
        <v>113.142838</v>
      </c>
      <c r="AF104">
        <v>113.602074</v>
      </c>
      <c r="AG104">
        <v>114.078835</v>
      </c>
      <c r="AH104">
        <v>114.57208300000001</v>
      </c>
      <c r="AI104">
        <v>1.7999999999999999E-2</v>
      </c>
      <c r="AK104" s="31"/>
    </row>
    <row r="105" spans="1:37">
      <c r="A105" t="s">
        <v>444</v>
      </c>
      <c r="B105" t="s">
        <v>2212</v>
      </c>
      <c r="C105" t="s">
        <v>2213</v>
      </c>
      <c r="D105" t="s">
        <v>352</v>
      </c>
      <c r="F105">
        <v>389.34106400000002</v>
      </c>
      <c r="G105">
        <v>527.30407700000001</v>
      </c>
      <c r="H105">
        <v>603.57464600000003</v>
      </c>
      <c r="I105">
        <v>646.87390100000005</v>
      </c>
      <c r="J105">
        <v>672.17700200000002</v>
      </c>
      <c r="K105">
        <v>692.76977499999998</v>
      </c>
      <c r="L105">
        <v>712.78027299999997</v>
      </c>
      <c r="M105">
        <v>729.14636199999995</v>
      </c>
      <c r="N105">
        <v>746.07000700000003</v>
      </c>
      <c r="O105">
        <v>763.38781700000004</v>
      </c>
      <c r="P105">
        <v>780.82421899999997</v>
      </c>
      <c r="Q105">
        <v>798.49176</v>
      </c>
      <c r="R105">
        <v>816.41674799999998</v>
      </c>
      <c r="S105">
        <v>833.91308600000002</v>
      </c>
      <c r="T105">
        <v>851.46484399999997</v>
      </c>
      <c r="U105">
        <v>869.62023899999997</v>
      </c>
      <c r="V105">
        <v>888.20556599999998</v>
      </c>
      <c r="W105">
        <v>906.783142</v>
      </c>
      <c r="X105">
        <v>925.35437000000002</v>
      </c>
      <c r="Y105">
        <v>944.20440699999995</v>
      </c>
      <c r="Z105">
        <v>963.38317900000004</v>
      </c>
      <c r="AA105">
        <v>982.878784</v>
      </c>
      <c r="AB105">
        <v>1002.678101</v>
      </c>
      <c r="AC105">
        <v>1022.752686</v>
      </c>
      <c r="AD105">
        <v>1043.0593260000001</v>
      </c>
      <c r="AE105">
        <v>1063.5974120000001</v>
      </c>
      <c r="AF105">
        <v>1084.4758300000001</v>
      </c>
      <c r="AG105">
        <v>1105.705688</v>
      </c>
      <c r="AH105">
        <v>1127.2768550000001</v>
      </c>
      <c r="AI105">
        <v>3.9E-2</v>
      </c>
      <c r="AK105" s="31"/>
    </row>
    <row r="106" spans="1:37">
      <c r="A106" t="s">
        <v>436</v>
      </c>
      <c r="B106" t="s">
        <v>2214</v>
      </c>
      <c r="C106" t="s">
        <v>2215</v>
      </c>
      <c r="D106" t="s">
        <v>352</v>
      </c>
      <c r="F106">
        <v>160.62977599999999</v>
      </c>
      <c r="G106">
        <v>214.01713599999999</v>
      </c>
      <c r="H106">
        <v>240.182434</v>
      </c>
      <c r="I106">
        <v>255.44360399999999</v>
      </c>
      <c r="J106">
        <v>263.13372800000002</v>
      </c>
      <c r="K106">
        <v>270.02578699999998</v>
      </c>
      <c r="L106">
        <v>276.88372800000002</v>
      </c>
      <c r="M106">
        <v>283.15142800000001</v>
      </c>
      <c r="N106">
        <v>289.63079800000003</v>
      </c>
      <c r="O106">
        <v>296.25329599999998</v>
      </c>
      <c r="P106">
        <v>302.903595</v>
      </c>
      <c r="Q106">
        <v>309.62863199999998</v>
      </c>
      <c r="R106">
        <v>316.438965</v>
      </c>
      <c r="S106">
        <v>323.04699699999998</v>
      </c>
      <c r="T106">
        <v>329.65524299999998</v>
      </c>
      <c r="U106">
        <v>336.49298099999999</v>
      </c>
      <c r="V106">
        <v>343.487213</v>
      </c>
      <c r="W106">
        <v>350.45428500000003</v>
      </c>
      <c r="X106">
        <v>357.39453099999997</v>
      </c>
      <c r="Y106">
        <v>364.427368</v>
      </c>
      <c r="Z106">
        <v>371.57376099999999</v>
      </c>
      <c r="AA106">
        <v>378.828644</v>
      </c>
      <c r="AB106">
        <v>386.18637100000001</v>
      </c>
      <c r="AC106">
        <v>393.63519300000002</v>
      </c>
      <c r="AD106">
        <v>401.15685999999999</v>
      </c>
      <c r="AE106">
        <v>408.75112899999999</v>
      </c>
      <c r="AF106">
        <v>416.46343999999999</v>
      </c>
      <c r="AG106">
        <v>424.29794299999998</v>
      </c>
      <c r="AH106">
        <v>432.25027499999999</v>
      </c>
      <c r="AI106">
        <v>3.5999999999999997E-2</v>
      </c>
      <c r="AK106" s="31"/>
    </row>
    <row r="107" spans="1:37">
      <c r="A107" t="s">
        <v>442</v>
      </c>
      <c r="B107" t="s">
        <v>2216</v>
      </c>
      <c r="C107" t="s">
        <v>2217</v>
      </c>
      <c r="D107" t="s">
        <v>352</v>
      </c>
      <c r="F107">
        <v>35.168582999999998</v>
      </c>
      <c r="G107">
        <v>54.096428000000003</v>
      </c>
      <c r="H107">
        <v>70.564491000000004</v>
      </c>
      <c r="I107">
        <v>82.110648999999995</v>
      </c>
      <c r="J107">
        <v>92.902702000000005</v>
      </c>
      <c r="K107">
        <v>99.599311999999998</v>
      </c>
      <c r="L107">
        <v>105.577263</v>
      </c>
      <c r="M107">
        <v>108.297195</v>
      </c>
      <c r="N107">
        <v>111.115891</v>
      </c>
      <c r="O107">
        <v>114.025818</v>
      </c>
      <c r="P107">
        <v>117.01339</v>
      </c>
      <c r="Q107">
        <v>120.08496100000001</v>
      </c>
      <c r="R107">
        <v>123.242828</v>
      </c>
      <c r="S107">
        <v>126.455254</v>
      </c>
      <c r="T107">
        <v>129.746216</v>
      </c>
      <c r="U107">
        <v>133.14265399999999</v>
      </c>
      <c r="V107">
        <v>136.637756</v>
      </c>
      <c r="W107">
        <v>140.211029</v>
      </c>
      <c r="X107">
        <v>143.863754</v>
      </c>
      <c r="Y107">
        <v>147.60922199999999</v>
      </c>
      <c r="Z107">
        <v>151.45024100000001</v>
      </c>
      <c r="AA107">
        <v>155.38606300000001</v>
      </c>
      <c r="AB107">
        <v>159.41670199999999</v>
      </c>
      <c r="AC107">
        <v>163.54042100000001</v>
      </c>
      <c r="AD107">
        <v>167.755325</v>
      </c>
      <c r="AE107">
        <v>172.061554</v>
      </c>
      <c r="AF107">
        <v>176.46504200000001</v>
      </c>
      <c r="AG107">
        <v>180.967377</v>
      </c>
      <c r="AH107">
        <v>185.56895399999999</v>
      </c>
      <c r="AI107">
        <v>6.0999999999999999E-2</v>
      </c>
      <c r="AK107" s="31"/>
    </row>
    <row r="108" spans="1:37">
      <c r="A108" t="s">
        <v>443</v>
      </c>
      <c r="B108" t="s">
        <v>2218</v>
      </c>
      <c r="C108" t="s">
        <v>2219</v>
      </c>
      <c r="D108" t="s">
        <v>352</v>
      </c>
      <c r="F108">
        <v>193.542709</v>
      </c>
      <c r="G108">
        <v>259.19052099999999</v>
      </c>
      <c r="H108">
        <v>292.82772799999998</v>
      </c>
      <c r="I108">
        <v>309.31964099999999</v>
      </c>
      <c r="J108">
        <v>316.14059400000002</v>
      </c>
      <c r="K108">
        <v>323.14468399999998</v>
      </c>
      <c r="L108">
        <v>330.319275</v>
      </c>
      <c r="M108">
        <v>337.69775399999997</v>
      </c>
      <c r="N108">
        <v>345.32330300000001</v>
      </c>
      <c r="O108">
        <v>353.10873400000003</v>
      </c>
      <c r="P108">
        <v>360.907196</v>
      </c>
      <c r="Q108">
        <v>368.77816799999999</v>
      </c>
      <c r="R108">
        <v>376.73492399999998</v>
      </c>
      <c r="S108">
        <v>384.41085800000002</v>
      </c>
      <c r="T108">
        <v>392.06341600000002</v>
      </c>
      <c r="U108">
        <v>399.98458900000003</v>
      </c>
      <c r="V108">
        <v>408.08056599999998</v>
      </c>
      <c r="W108">
        <v>416.11782799999997</v>
      </c>
      <c r="X108">
        <v>424.09609999999998</v>
      </c>
      <c r="Y108">
        <v>432.16778599999998</v>
      </c>
      <c r="Z108">
        <v>440.35919200000001</v>
      </c>
      <c r="AA108">
        <v>448.66409299999998</v>
      </c>
      <c r="AB108">
        <v>457.07498199999998</v>
      </c>
      <c r="AC108">
        <v>465.57708700000001</v>
      </c>
      <c r="AD108">
        <v>474.14712500000002</v>
      </c>
      <c r="AE108">
        <v>482.78469799999999</v>
      </c>
      <c r="AF108">
        <v>491.547394</v>
      </c>
      <c r="AG108">
        <v>500.44039900000001</v>
      </c>
      <c r="AH108">
        <v>509.45764200000002</v>
      </c>
      <c r="AI108">
        <v>3.5000000000000003E-2</v>
      </c>
      <c r="AK108" s="31"/>
    </row>
    <row r="109" spans="1:37">
      <c r="A109" t="s">
        <v>444</v>
      </c>
      <c r="B109" t="s">
        <v>2220</v>
      </c>
      <c r="C109" t="s">
        <v>2221</v>
      </c>
      <c r="D109" t="s">
        <v>352</v>
      </c>
      <c r="F109">
        <v>182.763184</v>
      </c>
      <c r="G109">
        <v>237.52479600000001</v>
      </c>
      <c r="H109">
        <v>278.12484699999999</v>
      </c>
      <c r="I109">
        <v>304.20562699999999</v>
      </c>
      <c r="J109">
        <v>339.451843</v>
      </c>
      <c r="K109">
        <v>360.63619999999997</v>
      </c>
      <c r="L109">
        <v>379.52752700000002</v>
      </c>
      <c r="M109">
        <v>388.76623499999999</v>
      </c>
      <c r="N109">
        <v>397.46667500000001</v>
      </c>
      <c r="O109">
        <v>403.19485500000002</v>
      </c>
      <c r="P109">
        <v>404.653076</v>
      </c>
      <c r="Q109">
        <v>405.40646400000003</v>
      </c>
      <c r="R109">
        <v>406.23818999999997</v>
      </c>
      <c r="S109">
        <v>407.06143200000002</v>
      </c>
      <c r="T109">
        <v>408.06191999999999</v>
      </c>
      <c r="U109">
        <v>408.494507</v>
      </c>
      <c r="V109">
        <v>408.41366599999998</v>
      </c>
      <c r="W109">
        <v>408.500854</v>
      </c>
      <c r="X109">
        <v>409.19189499999999</v>
      </c>
      <c r="Y109">
        <v>410.94830300000001</v>
      </c>
      <c r="Z109">
        <v>413.58322099999998</v>
      </c>
      <c r="AA109">
        <v>416.640961</v>
      </c>
      <c r="AB109">
        <v>419.987976</v>
      </c>
      <c r="AC109">
        <v>423.38955700000002</v>
      </c>
      <c r="AD109">
        <v>426.57775900000001</v>
      </c>
      <c r="AE109">
        <v>429.54504400000002</v>
      </c>
      <c r="AF109">
        <v>432.61886600000003</v>
      </c>
      <c r="AG109">
        <v>436.08874500000002</v>
      </c>
      <c r="AH109">
        <v>440.16095000000001</v>
      </c>
      <c r="AI109">
        <v>3.2000000000000001E-2</v>
      </c>
      <c r="AK109" s="31"/>
    </row>
    <row r="110" spans="1:37">
      <c r="A110" t="s">
        <v>437</v>
      </c>
      <c r="B110" t="s">
        <v>2222</v>
      </c>
      <c r="C110" t="s">
        <v>2223</v>
      </c>
      <c r="D110" t="s">
        <v>352</v>
      </c>
      <c r="F110">
        <v>112.27862500000001</v>
      </c>
      <c r="G110">
        <v>141.364563</v>
      </c>
      <c r="H110">
        <v>162.32298299999999</v>
      </c>
      <c r="I110">
        <v>176.838638</v>
      </c>
      <c r="J110">
        <v>195.25990300000001</v>
      </c>
      <c r="K110">
        <v>206.16815199999999</v>
      </c>
      <c r="L110">
        <v>215.91021699999999</v>
      </c>
      <c r="M110">
        <v>220.76951600000001</v>
      </c>
      <c r="N110">
        <v>225.34823600000001</v>
      </c>
      <c r="O110">
        <v>228.36549400000001</v>
      </c>
      <c r="P110">
        <v>229.13916</v>
      </c>
      <c r="Q110">
        <v>229.54512</v>
      </c>
      <c r="R110">
        <v>229.99362199999999</v>
      </c>
      <c r="S110">
        <v>230.437241</v>
      </c>
      <c r="T110">
        <v>230.973083</v>
      </c>
      <c r="U110">
        <v>231.208923</v>
      </c>
      <c r="V110">
        <v>231.17323300000001</v>
      </c>
      <c r="W110">
        <v>231.22438</v>
      </c>
      <c r="X110">
        <v>231.59045399999999</v>
      </c>
      <c r="Y110">
        <v>232.51417499999999</v>
      </c>
      <c r="Z110">
        <v>233.89657600000001</v>
      </c>
      <c r="AA110">
        <v>235.49775700000001</v>
      </c>
      <c r="AB110">
        <v>237.24749800000001</v>
      </c>
      <c r="AC110">
        <v>239.02226300000001</v>
      </c>
      <c r="AD110">
        <v>240.680801</v>
      </c>
      <c r="AE110">
        <v>242.21876499999999</v>
      </c>
      <c r="AF110">
        <v>243.808121</v>
      </c>
      <c r="AG110">
        <v>245.60090600000001</v>
      </c>
      <c r="AH110">
        <v>247.70498699999999</v>
      </c>
      <c r="AI110">
        <v>2.9000000000000001E-2</v>
      </c>
      <c r="AK110" s="31"/>
    </row>
    <row r="111" spans="1:37">
      <c r="A111" t="s">
        <v>442</v>
      </c>
      <c r="B111" t="s">
        <v>2224</v>
      </c>
      <c r="C111" t="s">
        <v>2225</v>
      </c>
      <c r="D111" t="s">
        <v>352</v>
      </c>
      <c r="F111">
        <v>64.446442000000005</v>
      </c>
      <c r="G111">
        <v>89.869308000000004</v>
      </c>
      <c r="H111">
        <v>109.098129</v>
      </c>
      <c r="I111">
        <v>120.227448</v>
      </c>
      <c r="J111">
        <v>136.790131</v>
      </c>
      <c r="K111">
        <v>146.95330799999999</v>
      </c>
      <c r="L111">
        <v>155.99787900000001</v>
      </c>
      <c r="M111">
        <v>160.30012500000001</v>
      </c>
      <c r="N111">
        <v>164.34848</v>
      </c>
      <c r="O111">
        <v>167.01036099999999</v>
      </c>
      <c r="P111">
        <v>167.680893</v>
      </c>
      <c r="Q111">
        <v>168.01942399999999</v>
      </c>
      <c r="R111">
        <v>168.39267000000001</v>
      </c>
      <c r="S111">
        <v>168.76252700000001</v>
      </c>
      <c r="T111">
        <v>169.21620200000001</v>
      </c>
      <c r="U111">
        <v>169.40704299999999</v>
      </c>
      <c r="V111">
        <v>169.360703</v>
      </c>
      <c r="W111">
        <v>169.39456200000001</v>
      </c>
      <c r="X111">
        <v>169.713043</v>
      </c>
      <c r="Y111">
        <v>170.53109699999999</v>
      </c>
      <c r="Z111">
        <v>171.762573</v>
      </c>
      <c r="AA111">
        <v>173.195526</v>
      </c>
      <c r="AB111">
        <v>174.76779199999999</v>
      </c>
      <c r="AC111">
        <v>176.370148</v>
      </c>
      <c r="AD111">
        <v>177.87814299999999</v>
      </c>
      <c r="AE111">
        <v>179.28894</v>
      </c>
      <c r="AF111">
        <v>180.75520299999999</v>
      </c>
      <c r="AG111">
        <v>182.41215500000001</v>
      </c>
      <c r="AH111">
        <v>184.35659799999999</v>
      </c>
      <c r="AI111">
        <v>3.7999999999999999E-2</v>
      </c>
      <c r="AK111" s="31"/>
    </row>
    <row r="112" spans="1:37">
      <c r="A112" t="s">
        <v>443</v>
      </c>
      <c r="B112" t="s">
        <v>2226</v>
      </c>
      <c r="C112" t="s">
        <v>2227</v>
      </c>
      <c r="D112" t="s">
        <v>352</v>
      </c>
      <c r="F112">
        <v>6.0381179999999999</v>
      </c>
      <c r="G112">
        <v>6.290921</v>
      </c>
      <c r="H112">
        <v>6.7037339999999999</v>
      </c>
      <c r="I112">
        <v>7.1395119999999999</v>
      </c>
      <c r="J112">
        <v>7.4018090000000001</v>
      </c>
      <c r="K112">
        <v>7.5147519999999997</v>
      </c>
      <c r="L112">
        <v>7.6194449999999998</v>
      </c>
      <c r="M112">
        <v>7.696599</v>
      </c>
      <c r="N112">
        <v>7.7699540000000002</v>
      </c>
      <c r="O112">
        <v>7.8189890000000002</v>
      </c>
      <c r="P112">
        <v>7.8329950000000004</v>
      </c>
      <c r="Q112">
        <v>7.8419319999999999</v>
      </c>
      <c r="R112">
        <v>7.8518939999999997</v>
      </c>
      <c r="S112">
        <v>7.8616700000000002</v>
      </c>
      <c r="T112">
        <v>7.8726440000000002</v>
      </c>
      <c r="U112">
        <v>7.8785350000000003</v>
      </c>
      <c r="V112">
        <v>7.879721</v>
      </c>
      <c r="W112">
        <v>7.8818989999999998</v>
      </c>
      <c r="X112">
        <v>7.888382</v>
      </c>
      <c r="Y112">
        <v>7.9030189999999996</v>
      </c>
      <c r="Z112">
        <v>7.924067</v>
      </c>
      <c r="AA112">
        <v>7.9476639999999996</v>
      </c>
      <c r="AB112">
        <v>7.9726860000000004</v>
      </c>
      <c r="AC112">
        <v>7.9971690000000004</v>
      </c>
      <c r="AD112">
        <v>8.0187860000000004</v>
      </c>
      <c r="AE112">
        <v>8.0373450000000002</v>
      </c>
      <c r="AF112">
        <v>8.0555350000000008</v>
      </c>
      <c r="AG112">
        <v>8.0756920000000001</v>
      </c>
      <c r="AH112">
        <v>8.0993770000000005</v>
      </c>
      <c r="AI112">
        <v>1.0999999999999999E-2</v>
      </c>
      <c r="AK112" s="31"/>
    </row>
    <row r="113" spans="1:37">
      <c r="A113" t="s">
        <v>444</v>
      </c>
      <c r="B113" t="s">
        <v>2228</v>
      </c>
      <c r="C113" t="s">
        <v>2229</v>
      </c>
      <c r="D113" t="s">
        <v>352</v>
      </c>
      <c r="F113">
        <v>933.64172399999995</v>
      </c>
      <c r="G113">
        <v>970.34521500000005</v>
      </c>
      <c r="H113">
        <v>1023.072449</v>
      </c>
      <c r="I113">
        <v>1053.4545900000001</v>
      </c>
      <c r="J113">
        <v>1080.8114009999999</v>
      </c>
      <c r="K113">
        <v>1098.616211</v>
      </c>
      <c r="L113">
        <v>1113.439697</v>
      </c>
      <c r="M113">
        <v>1124.475586</v>
      </c>
      <c r="N113">
        <v>1136.2514650000001</v>
      </c>
      <c r="O113">
        <v>1149.053711</v>
      </c>
      <c r="P113">
        <v>1162.6475829999999</v>
      </c>
      <c r="Q113">
        <v>1176.852783</v>
      </c>
      <c r="R113">
        <v>1191.695068</v>
      </c>
      <c r="S113">
        <v>1207.200562</v>
      </c>
      <c r="T113">
        <v>1223.326904</v>
      </c>
      <c r="U113">
        <v>1240.018311</v>
      </c>
      <c r="V113">
        <v>1257.290894</v>
      </c>
      <c r="W113">
        <v>1275.1625979999999</v>
      </c>
      <c r="X113">
        <v>1293.6102289999999</v>
      </c>
      <c r="Y113">
        <v>1312.6541749999999</v>
      </c>
      <c r="Z113">
        <v>1332.273682</v>
      </c>
      <c r="AA113">
        <v>1352.445923</v>
      </c>
      <c r="AB113">
        <v>1373.160889</v>
      </c>
      <c r="AC113">
        <v>1394.4018550000001</v>
      </c>
      <c r="AD113">
        <v>1416.1967770000001</v>
      </c>
      <c r="AE113">
        <v>1438.5435789999999</v>
      </c>
      <c r="AF113">
        <v>1461.4121090000001</v>
      </c>
      <c r="AG113">
        <v>1484.7753909999999</v>
      </c>
      <c r="AH113">
        <v>1508.5935059999999</v>
      </c>
      <c r="AI113">
        <v>1.7000000000000001E-2</v>
      </c>
      <c r="AK113" s="31"/>
    </row>
    <row r="114" spans="1:37">
      <c r="A114" t="s">
        <v>438</v>
      </c>
      <c r="B114" t="s">
        <v>2230</v>
      </c>
      <c r="C114" t="s">
        <v>2231</v>
      </c>
      <c r="D114" t="s">
        <v>352</v>
      </c>
      <c r="F114">
        <v>568.04724099999999</v>
      </c>
      <c r="G114">
        <v>590.52404799999999</v>
      </c>
      <c r="H114">
        <v>622.65716599999996</v>
      </c>
      <c r="I114">
        <v>642.02844200000004</v>
      </c>
      <c r="J114">
        <v>659.22845500000005</v>
      </c>
      <c r="K114">
        <v>670.35357699999997</v>
      </c>
      <c r="L114">
        <v>679.56475799999998</v>
      </c>
      <c r="M114">
        <v>686.34899900000005</v>
      </c>
      <c r="N114">
        <v>693.58520499999997</v>
      </c>
      <c r="O114">
        <v>701.44732699999997</v>
      </c>
      <c r="P114">
        <v>709.79235800000004</v>
      </c>
      <c r="Q114">
        <v>718.51135299999999</v>
      </c>
      <c r="R114">
        <v>727.62011700000005</v>
      </c>
      <c r="S114">
        <v>737.13500999999997</v>
      </c>
      <c r="T114">
        <v>747.03015100000005</v>
      </c>
      <c r="U114">
        <v>757.27142300000003</v>
      </c>
      <c r="V114">
        <v>767.86908000000005</v>
      </c>
      <c r="W114">
        <v>778.83404499999995</v>
      </c>
      <c r="X114">
        <v>790.152649</v>
      </c>
      <c r="Y114">
        <v>801.83758499999999</v>
      </c>
      <c r="Z114">
        <v>813.87579300000004</v>
      </c>
      <c r="AA114">
        <v>826.25372300000004</v>
      </c>
      <c r="AB114">
        <v>838.96502699999996</v>
      </c>
      <c r="AC114">
        <v>851.99981700000001</v>
      </c>
      <c r="AD114">
        <v>865.37512200000003</v>
      </c>
      <c r="AE114">
        <v>879.08984399999997</v>
      </c>
      <c r="AF114">
        <v>893.12554899999998</v>
      </c>
      <c r="AG114">
        <v>907.46563700000002</v>
      </c>
      <c r="AH114">
        <v>922.08575399999995</v>
      </c>
      <c r="AI114">
        <v>1.7000000000000001E-2</v>
      </c>
      <c r="AK114" s="31"/>
    </row>
    <row r="115" spans="1:37">
      <c r="A115" t="s">
        <v>442</v>
      </c>
      <c r="B115" t="s">
        <v>2232</v>
      </c>
      <c r="C115" t="s">
        <v>2233</v>
      </c>
      <c r="D115" t="s">
        <v>352</v>
      </c>
      <c r="F115">
        <v>59.813918999999999</v>
      </c>
      <c r="G115">
        <v>72.033225999999999</v>
      </c>
      <c r="H115">
        <v>84.910149000000004</v>
      </c>
      <c r="I115">
        <v>93.323134999999994</v>
      </c>
      <c r="J115">
        <v>99.276482000000001</v>
      </c>
      <c r="K115">
        <v>102.68712600000001</v>
      </c>
      <c r="L115">
        <v>105.185013</v>
      </c>
      <c r="M115">
        <v>106.55347399999999</v>
      </c>
      <c r="N115">
        <v>107.994957</v>
      </c>
      <c r="O115">
        <v>109.528519</v>
      </c>
      <c r="P115">
        <v>111.13607</v>
      </c>
      <c r="Q115">
        <v>112.806595</v>
      </c>
      <c r="R115">
        <v>114.544281</v>
      </c>
      <c r="S115">
        <v>116.35328699999999</v>
      </c>
      <c r="T115">
        <v>118.229797</v>
      </c>
      <c r="U115">
        <v>120.168694</v>
      </c>
      <c r="V115">
        <v>122.172668</v>
      </c>
      <c r="W115">
        <v>124.24456000000001</v>
      </c>
      <c r="X115">
        <v>126.386116</v>
      </c>
      <c r="Y115">
        <v>128.59845000000001</v>
      </c>
      <c r="Z115">
        <v>130.879807</v>
      </c>
      <c r="AA115">
        <v>133.228455</v>
      </c>
      <c r="AB115">
        <v>135.643463</v>
      </c>
      <c r="AC115">
        <v>138.12370300000001</v>
      </c>
      <c r="AD115">
        <v>140.67285200000001</v>
      </c>
      <c r="AE115">
        <v>143.29125999999999</v>
      </c>
      <c r="AF115">
        <v>145.97590600000001</v>
      </c>
      <c r="AG115">
        <v>148.724075</v>
      </c>
      <c r="AH115">
        <v>151.53164699999999</v>
      </c>
      <c r="AI115">
        <v>3.4000000000000002E-2</v>
      </c>
      <c r="AK115" s="31"/>
    </row>
    <row r="116" spans="1:37">
      <c r="A116" t="s">
        <v>443</v>
      </c>
      <c r="B116" t="s">
        <v>2234</v>
      </c>
      <c r="C116" t="s">
        <v>2235</v>
      </c>
      <c r="D116" t="s">
        <v>352</v>
      </c>
      <c r="F116">
        <v>305.78060900000003</v>
      </c>
      <c r="G116">
        <v>307.78796399999999</v>
      </c>
      <c r="H116">
        <v>315.50512700000002</v>
      </c>
      <c r="I116">
        <v>318.10296599999998</v>
      </c>
      <c r="J116">
        <v>322.306488</v>
      </c>
      <c r="K116">
        <v>325.57556199999999</v>
      </c>
      <c r="L116">
        <v>328.69000199999999</v>
      </c>
      <c r="M116">
        <v>331.57318099999998</v>
      </c>
      <c r="N116">
        <v>334.67126500000001</v>
      </c>
      <c r="O116">
        <v>338.07791099999997</v>
      </c>
      <c r="P116">
        <v>341.71914700000002</v>
      </c>
      <c r="Q116">
        <v>345.534851</v>
      </c>
      <c r="R116">
        <v>349.53066999999999</v>
      </c>
      <c r="S116">
        <v>353.712311</v>
      </c>
      <c r="T116">
        <v>358.06701700000002</v>
      </c>
      <c r="U116">
        <v>362.57815599999998</v>
      </c>
      <c r="V116">
        <v>367.24917599999998</v>
      </c>
      <c r="W116">
        <v>372.084045</v>
      </c>
      <c r="X116">
        <v>377.07144199999999</v>
      </c>
      <c r="Y116">
        <v>382.21816999999999</v>
      </c>
      <c r="Z116">
        <v>387.51800500000002</v>
      </c>
      <c r="AA116">
        <v>392.96374500000002</v>
      </c>
      <c r="AB116">
        <v>398.55230699999998</v>
      </c>
      <c r="AC116">
        <v>404.27825899999999</v>
      </c>
      <c r="AD116">
        <v>410.14874300000002</v>
      </c>
      <c r="AE116">
        <v>416.16244499999999</v>
      </c>
      <c r="AF116">
        <v>422.31063799999998</v>
      </c>
      <c r="AG116">
        <v>428.58563199999998</v>
      </c>
      <c r="AH116">
        <v>434.97601300000002</v>
      </c>
      <c r="AI116">
        <v>1.2999999999999999E-2</v>
      </c>
      <c r="AK116" s="31"/>
    </row>
    <row r="117" spans="1:37">
      <c r="A117" t="s">
        <v>444</v>
      </c>
      <c r="B117" t="s">
        <v>2236</v>
      </c>
      <c r="C117" t="s">
        <v>2237</v>
      </c>
      <c r="D117" t="s">
        <v>352</v>
      </c>
      <c r="F117">
        <v>314.53637700000002</v>
      </c>
      <c r="G117">
        <v>394.1026</v>
      </c>
      <c r="H117">
        <v>467.75646999999998</v>
      </c>
      <c r="I117">
        <v>520.62451199999998</v>
      </c>
      <c r="J117">
        <v>566.20062299999995</v>
      </c>
      <c r="K117">
        <v>588.67785600000002</v>
      </c>
      <c r="L117">
        <v>605.47363299999995</v>
      </c>
      <c r="M117">
        <v>619.38287400000002</v>
      </c>
      <c r="N117">
        <v>633.93218999999999</v>
      </c>
      <c r="O117">
        <v>649.49371299999996</v>
      </c>
      <c r="P117">
        <v>665.791382</v>
      </c>
      <c r="Q117">
        <v>682.71673599999997</v>
      </c>
      <c r="R117">
        <v>700.27368200000001</v>
      </c>
      <c r="S117">
        <v>718.48980700000004</v>
      </c>
      <c r="T117">
        <v>736.95752000000005</v>
      </c>
      <c r="U117">
        <v>756.03161599999999</v>
      </c>
      <c r="V117">
        <v>775.72705099999996</v>
      </c>
      <c r="W117">
        <v>796.03906199999994</v>
      </c>
      <c r="X117">
        <v>816.979919</v>
      </c>
      <c r="Y117">
        <v>838.11328100000003</v>
      </c>
      <c r="Z117">
        <v>859.86120600000004</v>
      </c>
      <c r="AA117">
        <v>882.22949200000005</v>
      </c>
      <c r="AB117">
        <v>905.20574999999997</v>
      </c>
      <c r="AC117">
        <v>928.78918499999997</v>
      </c>
      <c r="AD117">
        <v>952.48767099999998</v>
      </c>
      <c r="AE117">
        <v>976.77502400000003</v>
      </c>
      <c r="AF117">
        <v>1001.680176</v>
      </c>
      <c r="AG117">
        <v>1027.2204589999999</v>
      </c>
      <c r="AH117">
        <v>1053.4113769999999</v>
      </c>
      <c r="AI117">
        <v>4.3999999999999997E-2</v>
      </c>
      <c r="AK117" s="31"/>
    </row>
    <row r="118" spans="1:37">
      <c r="A118" t="s">
        <v>439</v>
      </c>
      <c r="B118" t="s">
        <v>2238</v>
      </c>
      <c r="C118" t="s">
        <v>2239</v>
      </c>
      <c r="D118" t="s">
        <v>352</v>
      </c>
      <c r="F118">
        <v>202.89167800000001</v>
      </c>
      <c r="G118">
        <v>254.697464</v>
      </c>
      <c r="H118">
        <v>302.365906</v>
      </c>
      <c r="I118">
        <v>335.63293499999997</v>
      </c>
      <c r="J118">
        <v>364.99401899999998</v>
      </c>
      <c r="K118">
        <v>379.97073399999999</v>
      </c>
      <c r="L118">
        <v>391.00714099999999</v>
      </c>
      <c r="M118">
        <v>400.02792399999998</v>
      </c>
      <c r="N118">
        <v>409.46252399999997</v>
      </c>
      <c r="O118">
        <v>419.54672199999999</v>
      </c>
      <c r="P118">
        <v>430.10552999999999</v>
      </c>
      <c r="Q118">
        <v>441.07055700000001</v>
      </c>
      <c r="R118">
        <v>452.44396999999998</v>
      </c>
      <c r="S118">
        <v>464.24325599999997</v>
      </c>
      <c r="T118">
        <v>476.21426400000001</v>
      </c>
      <c r="U118">
        <v>488.57827800000001</v>
      </c>
      <c r="V118">
        <v>501.345215</v>
      </c>
      <c r="W118">
        <v>514.51226799999995</v>
      </c>
      <c r="X118">
        <v>528.08843999999999</v>
      </c>
      <c r="Y118">
        <v>541.79797399999995</v>
      </c>
      <c r="Z118">
        <v>555.90728799999999</v>
      </c>
      <c r="AA118">
        <v>570.419983</v>
      </c>
      <c r="AB118">
        <v>585.32781999999997</v>
      </c>
      <c r="AC118">
        <v>600.63018799999998</v>
      </c>
      <c r="AD118">
        <v>616.01379399999996</v>
      </c>
      <c r="AE118">
        <v>631.78082300000005</v>
      </c>
      <c r="AF118">
        <v>647.94995100000006</v>
      </c>
      <c r="AG118">
        <v>664.53271500000005</v>
      </c>
      <c r="AH118">
        <v>681.53942900000004</v>
      </c>
      <c r="AI118">
        <v>4.3999999999999997E-2</v>
      </c>
      <c r="AK118" s="31"/>
    </row>
    <row r="119" spans="1:37">
      <c r="A119" t="s">
        <v>442</v>
      </c>
      <c r="B119" t="s">
        <v>2240</v>
      </c>
      <c r="C119" t="s">
        <v>2241</v>
      </c>
      <c r="D119" t="s">
        <v>352</v>
      </c>
      <c r="F119">
        <v>22.515547000000002</v>
      </c>
      <c r="G119">
        <v>28.40925</v>
      </c>
      <c r="H119">
        <v>32.935862999999998</v>
      </c>
      <c r="I119">
        <v>36.409678999999997</v>
      </c>
      <c r="J119">
        <v>39.591385000000002</v>
      </c>
      <c r="K119">
        <v>41.296543</v>
      </c>
      <c r="L119">
        <v>42.528320000000001</v>
      </c>
      <c r="M119">
        <v>43.515816000000001</v>
      </c>
      <c r="N119">
        <v>44.548400999999998</v>
      </c>
      <c r="O119">
        <v>45.650959</v>
      </c>
      <c r="P119">
        <v>46.805027000000003</v>
      </c>
      <c r="Q119">
        <v>48.003391000000001</v>
      </c>
      <c r="R119">
        <v>49.246284000000003</v>
      </c>
      <c r="S119">
        <v>50.535525999999997</v>
      </c>
      <c r="T119">
        <v>51.844963</v>
      </c>
      <c r="U119">
        <v>53.197395</v>
      </c>
      <c r="V119">
        <v>54.593895000000003</v>
      </c>
      <c r="W119">
        <v>56.034260000000003</v>
      </c>
      <c r="X119">
        <v>57.519618999999999</v>
      </c>
      <c r="Y119">
        <v>59.020961999999997</v>
      </c>
      <c r="Z119">
        <v>60.566315000000003</v>
      </c>
      <c r="AA119">
        <v>62.15596</v>
      </c>
      <c r="AB119">
        <v>63.788994000000002</v>
      </c>
      <c r="AC119">
        <v>65.465355000000002</v>
      </c>
      <c r="AD119">
        <v>67.151718000000002</v>
      </c>
      <c r="AE119">
        <v>68.880249000000006</v>
      </c>
      <c r="AF119">
        <v>70.653046000000003</v>
      </c>
      <c r="AG119">
        <v>72.471412999999998</v>
      </c>
      <c r="AH119">
        <v>74.336562999999998</v>
      </c>
      <c r="AI119">
        <v>4.3999999999999997E-2</v>
      </c>
      <c r="AK119" s="31"/>
    </row>
    <row r="120" spans="1:37">
      <c r="A120" t="s">
        <v>443</v>
      </c>
      <c r="B120" t="s">
        <v>2242</v>
      </c>
      <c r="C120" t="s">
        <v>2243</v>
      </c>
      <c r="D120" t="s">
        <v>352</v>
      </c>
      <c r="F120">
        <v>89.129135000000005</v>
      </c>
      <c r="G120">
        <v>110.99586499999999</v>
      </c>
      <c r="H120">
        <v>132.454712</v>
      </c>
      <c r="I120">
        <v>148.58192399999999</v>
      </c>
      <c r="J120">
        <v>161.615219</v>
      </c>
      <c r="K120">
        <v>167.41061400000001</v>
      </c>
      <c r="L120">
        <v>171.938187</v>
      </c>
      <c r="M120">
        <v>175.839157</v>
      </c>
      <c r="N120">
        <v>179.92124899999999</v>
      </c>
      <c r="O120">
        <v>184.29603599999999</v>
      </c>
      <c r="P120">
        <v>188.88085899999999</v>
      </c>
      <c r="Q120">
        <v>193.64279199999999</v>
      </c>
      <c r="R120">
        <v>198.583405</v>
      </c>
      <c r="S120">
        <v>203.71099899999999</v>
      </c>
      <c r="T120">
        <v>208.89833100000001</v>
      </c>
      <c r="U120">
        <v>214.25590500000001</v>
      </c>
      <c r="V120">
        <v>219.78796399999999</v>
      </c>
      <c r="W120">
        <v>225.49255400000001</v>
      </c>
      <c r="X120">
        <v>231.371872</v>
      </c>
      <c r="Y120">
        <v>237.29440299999999</v>
      </c>
      <c r="Z120">
        <v>243.38758899999999</v>
      </c>
      <c r="AA120">
        <v>249.653549</v>
      </c>
      <c r="AB120">
        <v>256.08892800000001</v>
      </c>
      <c r="AC120">
        <v>262.69369499999999</v>
      </c>
      <c r="AD120">
        <v>269.32214399999998</v>
      </c>
      <c r="AE120">
        <v>276.113922</v>
      </c>
      <c r="AF120">
        <v>283.077179</v>
      </c>
      <c r="AG120">
        <v>290.21630900000002</v>
      </c>
      <c r="AH120">
        <v>297.53533900000002</v>
      </c>
      <c r="AI120">
        <v>4.3999999999999997E-2</v>
      </c>
      <c r="AK120" s="31"/>
    </row>
    <row r="121" spans="1:37">
      <c r="A121" t="s">
        <v>444</v>
      </c>
      <c r="B121" t="s">
        <v>2244</v>
      </c>
      <c r="C121" t="s">
        <v>2245</v>
      </c>
      <c r="D121" t="s">
        <v>352</v>
      </c>
      <c r="F121">
        <v>3945.8840329999998</v>
      </c>
      <c r="G121">
        <v>3382.1921390000002</v>
      </c>
      <c r="H121">
        <v>3733.9492190000001</v>
      </c>
      <c r="I121">
        <v>3973.000732</v>
      </c>
      <c r="J121">
        <v>4240.2626950000003</v>
      </c>
      <c r="K121">
        <v>4485.0659180000002</v>
      </c>
      <c r="L121">
        <v>4717.4321289999998</v>
      </c>
      <c r="M121">
        <v>4952.296875</v>
      </c>
      <c r="N121">
        <v>5188.1401370000003</v>
      </c>
      <c r="O121">
        <v>5427.2763670000004</v>
      </c>
      <c r="P121">
        <v>5669.6572269999997</v>
      </c>
      <c r="Q121">
        <v>5914.5170900000003</v>
      </c>
      <c r="R121">
        <v>6162.5102539999998</v>
      </c>
      <c r="S121">
        <v>6415.0566410000001</v>
      </c>
      <c r="T121">
        <v>6671.5986329999996</v>
      </c>
      <c r="U121">
        <v>6930.2631840000004</v>
      </c>
      <c r="V121">
        <v>7191.2446289999998</v>
      </c>
      <c r="W121">
        <v>7456.1103519999997</v>
      </c>
      <c r="X121">
        <v>7727.2612300000001</v>
      </c>
      <c r="Y121">
        <v>8007.4731449999999</v>
      </c>
      <c r="Z121">
        <v>8296.5400389999995</v>
      </c>
      <c r="AA121">
        <v>8592.0576170000004</v>
      </c>
      <c r="AB121">
        <v>8891.0761719999991</v>
      </c>
      <c r="AC121">
        <v>9190.3759769999997</v>
      </c>
      <c r="AD121">
        <v>9489.3398440000001</v>
      </c>
      <c r="AE121">
        <v>9789.4775389999995</v>
      </c>
      <c r="AF121">
        <v>10089.662109000001</v>
      </c>
      <c r="AG121">
        <v>10386.889648</v>
      </c>
      <c r="AH121">
        <v>10677.976562</v>
      </c>
      <c r="AI121">
        <v>3.5999999999999997E-2</v>
      </c>
      <c r="AK121" s="31"/>
    </row>
    <row r="122" spans="1:37">
      <c r="A122" t="s">
        <v>118</v>
      </c>
      <c r="B122" t="s">
        <v>2246</v>
      </c>
      <c r="C122" t="s">
        <v>2247</v>
      </c>
      <c r="D122" t="s">
        <v>352</v>
      </c>
      <c r="F122">
        <v>3379.1289059999999</v>
      </c>
      <c r="G122">
        <v>2797.7788089999999</v>
      </c>
      <c r="H122">
        <v>3027.8352049999999</v>
      </c>
      <c r="I122">
        <v>3199.298828</v>
      </c>
      <c r="J122">
        <v>3397.3640140000002</v>
      </c>
      <c r="K122">
        <v>3587.9492190000001</v>
      </c>
      <c r="L122">
        <v>3775.0275879999999</v>
      </c>
      <c r="M122">
        <v>3963.7905270000001</v>
      </c>
      <c r="N122">
        <v>4152.9375</v>
      </c>
      <c r="O122">
        <v>4344.4008789999998</v>
      </c>
      <c r="P122">
        <v>4538.1298829999996</v>
      </c>
      <c r="Q122">
        <v>4733.4633789999998</v>
      </c>
      <c r="R122">
        <v>4930.9331050000001</v>
      </c>
      <c r="S122">
        <v>5131.7163090000004</v>
      </c>
      <c r="T122">
        <v>5335.3325199999999</v>
      </c>
      <c r="U122">
        <v>5540.1958009999998</v>
      </c>
      <c r="V122">
        <v>5746.4501950000003</v>
      </c>
      <c r="W122">
        <v>5955.3940430000002</v>
      </c>
      <c r="X122">
        <v>6169.0092770000001</v>
      </c>
      <c r="Y122">
        <v>6389.6191410000001</v>
      </c>
      <c r="Z122">
        <v>6617.033203</v>
      </c>
      <c r="AA122">
        <v>6849.2163090000004</v>
      </c>
      <c r="AB122">
        <v>7083.6713870000003</v>
      </c>
      <c r="AC122">
        <v>7317.685547</v>
      </c>
      <c r="AD122">
        <v>7550.732422</v>
      </c>
      <c r="AE122">
        <v>7784.0683589999999</v>
      </c>
      <c r="AF122">
        <v>8016.7314450000003</v>
      </c>
      <c r="AG122">
        <v>8246.1855469999991</v>
      </c>
      <c r="AH122">
        <v>8469.7558590000008</v>
      </c>
      <c r="AI122">
        <v>3.3000000000000002E-2</v>
      </c>
      <c r="AK122" s="31"/>
    </row>
    <row r="123" spans="1:37">
      <c r="A123" t="s">
        <v>125</v>
      </c>
    </row>
    <row r="124" spans="1:37">
      <c r="A124" t="s">
        <v>427</v>
      </c>
      <c r="B124" t="s">
        <v>2248</v>
      </c>
      <c r="C124" t="s">
        <v>2249</v>
      </c>
      <c r="D124" t="s">
        <v>352</v>
      </c>
      <c r="F124">
        <v>310.149384</v>
      </c>
      <c r="G124">
        <v>398.622162</v>
      </c>
      <c r="H124">
        <v>485.20877100000001</v>
      </c>
      <c r="I124">
        <v>541.66021699999999</v>
      </c>
      <c r="J124">
        <v>597.55108600000005</v>
      </c>
      <c r="K124">
        <v>638.35058600000002</v>
      </c>
      <c r="L124">
        <v>670.07220500000005</v>
      </c>
      <c r="M124">
        <v>702.50537099999997</v>
      </c>
      <c r="N124">
        <v>735.53063999999995</v>
      </c>
      <c r="O124">
        <v>769.38507100000004</v>
      </c>
      <c r="P124">
        <v>804.07574499999998</v>
      </c>
      <c r="Q124">
        <v>839.54858400000001</v>
      </c>
      <c r="R124">
        <v>875.88732900000002</v>
      </c>
      <c r="S124">
        <v>913.24780299999998</v>
      </c>
      <c r="T124">
        <v>951.58868399999994</v>
      </c>
      <c r="U124">
        <v>990.74334699999997</v>
      </c>
      <c r="V124">
        <v>1030.751953</v>
      </c>
      <c r="W124">
        <v>1071.787476</v>
      </c>
      <c r="X124">
        <v>1114.121948</v>
      </c>
      <c r="Y124">
        <v>1158.0347899999999</v>
      </c>
      <c r="Z124">
        <v>1203.5242920000001</v>
      </c>
      <c r="AA124">
        <v>1250.376831</v>
      </c>
      <c r="AB124">
        <v>1298.326904</v>
      </c>
      <c r="AC124">
        <v>1347.072754</v>
      </c>
      <c r="AD124">
        <v>1396.5614009999999</v>
      </c>
      <c r="AE124">
        <v>1446.956177</v>
      </c>
      <c r="AF124">
        <v>1498.163086</v>
      </c>
      <c r="AG124">
        <v>1549.9052730000001</v>
      </c>
      <c r="AH124">
        <v>1601.875732</v>
      </c>
      <c r="AI124">
        <v>0.06</v>
      </c>
      <c r="AK124" s="31"/>
    </row>
    <row r="125" spans="1:37">
      <c r="A125" t="s">
        <v>442</v>
      </c>
      <c r="B125" t="s">
        <v>2250</v>
      </c>
      <c r="C125" t="s">
        <v>2251</v>
      </c>
      <c r="D125" t="s">
        <v>352</v>
      </c>
      <c r="F125">
        <v>256.60571299999998</v>
      </c>
      <c r="G125">
        <v>185.79125999999999</v>
      </c>
      <c r="H125">
        <v>220.90531899999999</v>
      </c>
      <c r="I125">
        <v>232.04167200000001</v>
      </c>
      <c r="J125">
        <v>245.347534</v>
      </c>
      <c r="K125">
        <v>258.76617399999998</v>
      </c>
      <c r="L125">
        <v>272.33248900000001</v>
      </c>
      <c r="M125">
        <v>286.00076300000001</v>
      </c>
      <c r="N125">
        <v>299.67193600000002</v>
      </c>
      <c r="O125">
        <v>313.490387</v>
      </c>
      <c r="P125">
        <v>327.45172100000002</v>
      </c>
      <c r="Q125">
        <v>341.50521900000001</v>
      </c>
      <c r="R125">
        <v>355.689728</v>
      </c>
      <c r="S125">
        <v>370.092804</v>
      </c>
      <c r="T125">
        <v>384.67748999999998</v>
      </c>
      <c r="U125">
        <v>399.32421900000003</v>
      </c>
      <c r="V125">
        <v>414.04235799999998</v>
      </c>
      <c r="W125">
        <v>428.92865</v>
      </c>
      <c r="X125">
        <v>444.12970000000001</v>
      </c>
      <c r="Y125">
        <v>459.81918300000001</v>
      </c>
      <c r="Z125">
        <v>475.98217799999998</v>
      </c>
      <c r="AA125">
        <v>492.464539</v>
      </c>
      <c r="AB125">
        <v>509.07818600000002</v>
      </c>
      <c r="AC125">
        <v>525.61840800000004</v>
      </c>
      <c r="AD125">
        <v>542.04565400000001</v>
      </c>
      <c r="AE125">
        <v>558.45324700000003</v>
      </c>
      <c r="AF125">
        <v>574.76806599999998</v>
      </c>
      <c r="AG125">
        <v>590.79882799999996</v>
      </c>
      <c r="AH125">
        <v>606.34515399999998</v>
      </c>
      <c r="AI125">
        <v>3.1E-2</v>
      </c>
    </row>
    <row r="126" spans="1:37">
      <c r="A126" t="s">
        <v>443</v>
      </c>
      <c r="B126" t="s">
        <v>2252</v>
      </c>
      <c r="C126" t="s">
        <v>2253</v>
      </c>
      <c r="D126" t="s">
        <v>352</v>
      </c>
      <c r="F126">
        <v>455.75054899999998</v>
      </c>
      <c r="G126">
        <v>534.29620399999999</v>
      </c>
      <c r="H126">
        <v>578.19390899999996</v>
      </c>
      <c r="I126">
        <v>609.760132</v>
      </c>
      <c r="J126">
        <v>674.04125999999997</v>
      </c>
      <c r="K126">
        <v>733.22094700000002</v>
      </c>
      <c r="L126">
        <v>793.02966300000003</v>
      </c>
      <c r="M126">
        <v>856.43170199999997</v>
      </c>
      <c r="N126">
        <v>921.31976299999997</v>
      </c>
      <c r="O126">
        <v>987.199341</v>
      </c>
      <c r="P126">
        <v>1053.7298579999999</v>
      </c>
      <c r="Q126">
        <v>1120.4666749999999</v>
      </c>
      <c r="R126">
        <v>1186.9095460000001</v>
      </c>
      <c r="S126">
        <v>1253.315552</v>
      </c>
      <c r="T126">
        <v>1320.297607</v>
      </c>
      <c r="U126">
        <v>1389.080688</v>
      </c>
      <c r="V126">
        <v>1459.669922</v>
      </c>
      <c r="W126">
        <v>1531.943726</v>
      </c>
      <c r="X126">
        <v>1605.6926269999999</v>
      </c>
      <c r="Y126">
        <v>1680.837158</v>
      </c>
      <c r="Z126">
        <v>1757.2497559999999</v>
      </c>
      <c r="AA126">
        <v>1834.8496090000001</v>
      </c>
      <c r="AB126">
        <v>1913.4085689999999</v>
      </c>
      <c r="AC126">
        <v>1992.743164</v>
      </c>
      <c r="AD126">
        <v>2072.6545409999999</v>
      </c>
      <c r="AE126">
        <v>2152.9377439999998</v>
      </c>
      <c r="AF126">
        <v>2233.3498540000001</v>
      </c>
      <c r="AG126">
        <v>2313.64624</v>
      </c>
      <c r="AH126">
        <v>2393.6032709999999</v>
      </c>
      <c r="AI126">
        <v>6.0999999999999999E-2</v>
      </c>
    </row>
    <row r="127" spans="1:37">
      <c r="A127" t="s">
        <v>444</v>
      </c>
      <c r="B127" t="s">
        <v>2254</v>
      </c>
      <c r="C127" t="s">
        <v>2255</v>
      </c>
      <c r="D127" t="s">
        <v>352</v>
      </c>
      <c r="F127">
        <v>354.39788800000002</v>
      </c>
      <c r="G127">
        <v>414.147064</v>
      </c>
      <c r="H127">
        <v>446.636505</v>
      </c>
      <c r="I127">
        <v>470.125</v>
      </c>
      <c r="J127">
        <v>519.40393100000006</v>
      </c>
      <c r="K127">
        <v>565.11468500000001</v>
      </c>
      <c r="L127">
        <v>611.39465299999995</v>
      </c>
      <c r="M127">
        <v>660.38085899999999</v>
      </c>
      <c r="N127">
        <v>710.51879899999994</v>
      </c>
      <c r="O127">
        <v>761.42523200000005</v>
      </c>
      <c r="P127">
        <v>812.83624299999997</v>
      </c>
      <c r="Q127">
        <v>864.40722700000003</v>
      </c>
      <c r="R127">
        <v>915.75067100000001</v>
      </c>
      <c r="S127">
        <v>967.06518600000004</v>
      </c>
      <c r="T127">
        <v>1018.8249510000001</v>
      </c>
      <c r="U127">
        <v>1071.9782709999999</v>
      </c>
      <c r="V127">
        <v>1126.528687</v>
      </c>
      <c r="W127">
        <v>1182.382202</v>
      </c>
      <c r="X127">
        <v>1239.376221</v>
      </c>
      <c r="Y127">
        <v>1297.4492190000001</v>
      </c>
      <c r="Z127">
        <v>1356.5023189999999</v>
      </c>
      <c r="AA127">
        <v>1416.4730219999999</v>
      </c>
      <c r="AB127">
        <v>1477.1842039999999</v>
      </c>
      <c r="AC127">
        <v>1538.49353</v>
      </c>
      <c r="AD127">
        <v>1600.2470699999999</v>
      </c>
      <c r="AE127">
        <v>1662.2860109999999</v>
      </c>
      <c r="AF127">
        <v>1724.4217530000001</v>
      </c>
      <c r="AG127">
        <v>1786.4648440000001</v>
      </c>
      <c r="AH127">
        <v>1848.241943</v>
      </c>
      <c r="AI127">
        <v>6.0999999999999999E-2</v>
      </c>
      <c r="AK127" s="31"/>
    </row>
    <row r="128" spans="1:37">
      <c r="A128" t="s">
        <v>428</v>
      </c>
      <c r="B128" t="s">
        <v>2256</v>
      </c>
      <c r="C128" t="s">
        <v>2257</v>
      </c>
      <c r="D128" t="s">
        <v>352</v>
      </c>
      <c r="F128">
        <v>18.835457000000002</v>
      </c>
      <c r="G128">
        <v>28.090188999999999</v>
      </c>
      <c r="H128">
        <v>36.404029999999999</v>
      </c>
      <c r="I128">
        <v>42.575572999999999</v>
      </c>
      <c r="J128">
        <v>48.380809999999997</v>
      </c>
      <c r="K128">
        <v>52.124156999999997</v>
      </c>
      <c r="L128">
        <v>55.517676999999999</v>
      </c>
      <c r="M128">
        <v>59.461978999999999</v>
      </c>
      <c r="N128">
        <v>63.482384000000003</v>
      </c>
      <c r="O128">
        <v>67.552834000000004</v>
      </c>
      <c r="P128">
        <v>71.656456000000006</v>
      </c>
      <c r="Q128">
        <v>75.769997000000004</v>
      </c>
      <c r="R128">
        <v>79.867378000000002</v>
      </c>
      <c r="S128">
        <v>83.964354999999998</v>
      </c>
      <c r="T128">
        <v>88.096275000000006</v>
      </c>
      <c r="U128">
        <v>92.331467000000004</v>
      </c>
      <c r="V128">
        <v>96.670569999999998</v>
      </c>
      <c r="W128">
        <v>101.107094</v>
      </c>
      <c r="X128">
        <v>105.632385</v>
      </c>
      <c r="Y128">
        <v>110.241028</v>
      </c>
      <c r="Z128">
        <v>114.92641399999999</v>
      </c>
      <c r="AA128">
        <v>119.68514999999999</v>
      </c>
      <c r="AB128">
        <v>124.505928</v>
      </c>
      <c r="AC128">
        <v>129.37995900000001</v>
      </c>
      <c r="AD128">
        <v>134.296875</v>
      </c>
      <c r="AE128">
        <v>139.24603300000001</v>
      </c>
      <c r="AF128">
        <v>144.21534700000001</v>
      </c>
      <c r="AG128">
        <v>149.19276400000001</v>
      </c>
      <c r="AH128">
        <v>154.167282</v>
      </c>
      <c r="AI128">
        <v>7.8E-2</v>
      </c>
      <c r="AK128" s="31"/>
    </row>
    <row r="129" spans="1:37">
      <c r="A129" t="s">
        <v>442</v>
      </c>
      <c r="B129" t="s">
        <v>2258</v>
      </c>
      <c r="C129" t="s">
        <v>2259</v>
      </c>
      <c r="D129" t="s">
        <v>352</v>
      </c>
      <c r="F129">
        <v>82.517204000000007</v>
      </c>
      <c r="G129">
        <v>92.058952000000005</v>
      </c>
      <c r="H129">
        <v>95.153373999999999</v>
      </c>
      <c r="I129">
        <v>97.059569999999994</v>
      </c>
      <c r="J129">
        <v>106.256546</v>
      </c>
      <c r="K129">
        <v>115.982147</v>
      </c>
      <c r="L129">
        <v>126.11734</v>
      </c>
      <c r="M129">
        <v>136.58886699999999</v>
      </c>
      <c r="N129">
        <v>147.31860399999999</v>
      </c>
      <c r="O129">
        <v>158.22126800000001</v>
      </c>
      <c r="P129">
        <v>169.23722799999999</v>
      </c>
      <c r="Q129">
        <v>180.28945899999999</v>
      </c>
      <c r="R129">
        <v>191.29155</v>
      </c>
      <c r="S129">
        <v>202.286057</v>
      </c>
      <c r="T129">
        <v>213.37635800000001</v>
      </c>
      <c r="U129">
        <v>224.77104199999999</v>
      </c>
      <c r="V129">
        <v>236.47074900000001</v>
      </c>
      <c r="W129">
        <v>248.454453</v>
      </c>
      <c r="X129">
        <v>260.68405200000001</v>
      </c>
      <c r="Y129">
        <v>273.14700299999998</v>
      </c>
      <c r="Z129">
        <v>285.82101399999999</v>
      </c>
      <c r="AA129">
        <v>298.69137599999999</v>
      </c>
      <c r="AB129">
        <v>311.71838400000001</v>
      </c>
      <c r="AC129">
        <v>324.86968999999999</v>
      </c>
      <c r="AD129">
        <v>338.11062600000002</v>
      </c>
      <c r="AE129">
        <v>351.40579200000002</v>
      </c>
      <c r="AF129">
        <v>364.71285999999998</v>
      </c>
      <c r="AG129">
        <v>377.98867799999999</v>
      </c>
      <c r="AH129">
        <v>391.194031</v>
      </c>
      <c r="AI129">
        <v>5.7000000000000002E-2</v>
      </c>
    </row>
    <row r="130" spans="1:37">
      <c r="A130" t="s">
        <v>443</v>
      </c>
      <c r="B130" t="s">
        <v>2260</v>
      </c>
      <c r="C130" t="s">
        <v>2261</v>
      </c>
      <c r="D130" t="s">
        <v>352</v>
      </c>
      <c r="F130">
        <v>1427.1838379999999</v>
      </c>
      <c r="G130">
        <v>1704.9785159999999</v>
      </c>
      <c r="H130">
        <v>1907.693481</v>
      </c>
      <c r="I130">
        <v>2009.751953</v>
      </c>
      <c r="J130">
        <v>2199.0893550000001</v>
      </c>
      <c r="K130">
        <v>2329.8635250000002</v>
      </c>
      <c r="L130">
        <v>2455.9309079999998</v>
      </c>
      <c r="M130">
        <v>2563.2861330000001</v>
      </c>
      <c r="N130">
        <v>2671.985107</v>
      </c>
      <c r="O130">
        <v>2783.6831050000001</v>
      </c>
      <c r="P130">
        <v>2899.0471189999998</v>
      </c>
      <c r="Q130">
        <v>3018.070068</v>
      </c>
      <c r="R130">
        <v>3141.0654300000001</v>
      </c>
      <c r="S130">
        <v>3268.3127439999998</v>
      </c>
      <c r="T130">
        <v>3398.2539059999999</v>
      </c>
      <c r="U130">
        <v>3532.2036130000001</v>
      </c>
      <c r="V130">
        <v>3670.5039059999999</v>
      </c>
      <c r="W130">
        <v>3813.0546880000002</v>
      </c>
      <c r="X130">
        <v>3960.2338869999999</v>
      </c>
      <c r="Y130">
        <v>4109.8203119999998</v>
      </c>
      <c r="Z130">
        <v>4263.1464839999999</v>
      </c>
      <c r="AA130">
        <v>4420.4296880000002</v>
      </c>
      <c r="AB130">
        <v>4581.8081050000001</v>
      </c>
      <c r="AC130">
        <v>4747.1005859999996</v>
      </c>
      <c r="AD130">
        <v>4912.1601559999999</v>
      </c>
      <c r="AE130">
        <v>5080.0791019999997</v>
      </c>
      <c r="AF130">
        <v>5251.970703</v>
      </c>
      <c r="AG130">
        <v>5428.2148440000001</v>
      </c>
      <c r="AH130">
        <v>5609.2822269999997</v>
      </c>
      <c r="AI130">
        <v>0.05</v>
      </c>
    </row>
    <row r="131" spans="1:37">
      <c r="A131" t="s">
        <v>444</v>
      </c>
      <c r="B131" t="s">
        <v>2262</v>
      </c>
      <c r="C131" t="s">
        <v>2263</v>
      </c>
      <c r="D131" t="s">
        <v>352</v>
      </c>
      <c r="F131">
        <v>834.23529099999996</v>
      </c>
      <c r="G131">
        <v>980.91699200000005</v>
      </c>
      <c r="H131">
        <v>1071.5996090000001</v>
      </c>
      <c r="I131">
        <v>1118.6145019999999</v>
      </c>
      <c r="J131">
        <v>1218.319092</v>
      </c>
      <c r="K131">
        <v>1288.4822999999999</v>
      </c>
      <c r="L131">
        <v>1356.904297</v>
      </c>
      <c r="M131">
        <v>1417.352783</v>
      </c>
      <c r="N131">
        <v>1478.5063479999999</v>
      </c>
      <c r="O131">
        <v>1541.3668210000001</v>
      </c>
      <c r="P131">
        <v>1606.287476</v>
      </c>
      <c r="Q131">
        <v>1673.264038</v>
      </c>
      <c r="R131">
        <v>1742.4808350000001</v>
      </c>
      <c r="S131">
        <v>1814.100952</v>
      </c>
      <c r="T131">
        <v>1887.247437</v>
      </c>
      <c r="U131">
        <v>1962.653442</v>
      </c>
      <c r="V131">
        <v>2040.519043</v>
      </c>
      <c r="W131">
        <v>2120.7854000000002</v>
      </c>
      <c r="X131">
        <v>2203.6716310000002</v>
      </c>
      <c r="Y131">
        <v>2287.913818</v>
      </c>
      <c r="Z131">
        <v>2374.2563479999999</v>
      </c>
      <c r="AA131">
        <v>2462.8229980000001</v>
      </c>
      <c r="AB131">
        <v>2553.6933589999999</v>
      </c>
      <c r="AC131">
        <v>2646.758789</v>
      </c>
      <c r="AD131">
        <v>2739.6430660000001</v>
      </c>
      <c r="AE131">
        <v>2834.1040039999998</v>
      </c>
      <c r="AF131">
        <v>2930.7910160000001</v>
      </c>
      <c r="AG131">
        <v>3029.9250489999999</v>
      </c>
      <c r="AH131">
        <v>3131.7814939999998</v>
      </c>
      <c r="AI131">
        <v>4.8000000000000001E-2</v>
      </c>
      <c r="AK131" s="31"/>
    </row>
    <row r="132" spans="1:37">
      <c r="A132" t="s">
        <v>429</v>
      </c>
      <c r="B132" t="s">
        <v>2264</v>
      </c>
      <c r="C132" t="s">
        <v>2265</v>
      </c>
      <c r="D132" t="s">
        <v>352</v>
      </c>
      <c r="F132">
        <v>228.94476299999999</v>
      </c>
      <c r="G132">
        <v>312.73513800000001</v>
      </c>
      <c r="H132">
        <v>392.357147</v>
      </c>
      <c r="I132">
        <v>442.70693999999997</v>
      </c>
      <c r="J132">
        <v>500.58056599999998</v>
      </c>
      <c r="K132">
        <v>536.85888699999998</v>
      </c>
      <c r="L132">
        <v>569.59973100000002</v>
      </c>
      <c r="M132">
        <v>591.26879899999994</v>
      </c>
      <c r="N132">
        <v>613.35607900000002</v>
      </c>
      <c r="O132">
        <v>635.99652100000003</v>
      </c>
      <c r="P132">
        <v>659.38769500000001</v>
      </c>
      <c r="Q132">
        <v>683.53045699999996</v>
      </c>
      <c r="R132">
        <v>708.46472200000005</v>
      </c>
      <c r="S132">
        <v>734.23168899999996</v>
      </c>
      <c r="T132">
        <v>760.51452600000005</v>
      </c>
      <c r="U132">
        <v>787.60058600000002</v>
      </c>
      <c r="V132">
        <v>815.535034</v>
      </c>
      <c r="W132">
        <v>844.30755599999998</v>
      </c>
      <c r="X132">
        <v>873.97503700000004</v>
      </c>
      <c r="Y132">
        <v>904.12573199999997</v>
      </c>
      <c r="Z132">
        <v>935.04840100000001</v>
      </c>
      <c r="AA132">
        <v>966.77954099999999</v>
      </c>
      <c r="AB132">
        <v>999.34417699999995</v>
      </c>
      <c r="AC132">
        <v>1032.7235109999999</v>
      </c>
      <c r="AD132">
        <v>1066.19812</v>
      </c>
      <c r="AE132">
        <v>1100.3466800000001</v>
      </c>
      <c r="AF132">
        <v>1135.3264160000001</v>
      </c>
      <c r="AG132">
        <v>1171.195557</v>
      </c>
      <c r="AH132">
        <v>1208.019409</v>
      </c>
      <c r="AI132">
        <v>6.0999999999999999E-2</v>
      </c>
      <c r="AK132" s="31"/>
    </row>
    <row r="133" spans="1:37">
      <c r="A133" t="s">
        <v>442</v>
      </c>
      <c r="B133" t="s">
        <v>2266</v>
      </c>
      <c r="C133" t="s">
        <v>2267</v>
      </c>
      <c r="D133" t="s">
        <v>352</v>
      </c>
      <c r="F133">
        <v>364.00384500000001</v>
      </c>
      <c r="G133">
        <v>411.32644699999997</v>
      </c>
      <c r="H133">
        <v>443.73666400000002</v>
      </c>
      <c r="I133">
        <v>448.43057299999998</v>
      </c>
      <c r="J133">
        <v>480.189728</v>
      </c>
      <c r="K133">
        <v>504.52227800000003</v>
      </c>
      <c r="L133">
        <v>529.42687999999998</v>
      </c>
      <c r="M133">
        <v>554.66467299999999</v>
      </c>
      <c r="N133">
        <v>580.12286400000005</v>
      </c>
      <c r="O133">
        <v>606.31994599999996</v>
      </c>
      <c r="P133">
        <v>633.37182600000006</v>
      </c>
      <c r="Q133">
        <v>661.27563499999997</v>
      </c>
      <c r="R133">
        <v>690.11987299999998</v>
      </c>
      <c r="S133">
        <v>719.98028599999998</v>
      </c>
      <c r="T133">
        <v>750.49188200000003</v>
      </c>
      <c r="U133">
        <v>781.94976799999995</v>
      </c>
      <c r="V133">
        <v>814.44976799999995</v>
      </c>
      <c r="W133">
        <v>847.96173099999999</v>
      </c>
      <c r="X133">
        <v>882.58727999999996</v>
      </c>
      <c r="Y133">
        <v>917.78063999999995</v>
      </c>
      <c r="Z133">
        <v>953.84173599999997</v>
      </c>
      <c r="AA133">
        <v>990.82708700000001</v>
      </c>
      <c r="AB133">
        <v>1028.7703859999999</v>
      </c>
      <c r="AC133">
        <v>1067.618408</v>
      </c>
      <c r="AD133">
        <v>1106.3186040000001</v>
      </c>
      <c r="AE133">
        <v>1145.6285399999999</v>
      </c>
      <c r="AF133">
        <v>1185.8532709999999</v>
      </c>
      <c r="AG133">
        <v>1227.094482</v>
      </c>
      <c r="AH133">
        <v>1269.481567</v>
      </c>
      <c r="AI133">
        <v>4.5999999999999999E-2</v>
      </c>
    </row>
    <row r="134" spans="1:37">
      <c r="A134" t="s">
        <v>443</v>
      </c>
      <c r="B134" t="s">
        <v>2268</v>
      </c>
      <c r="C134" t="s">
        <v>2269</v>
      </c>
      <c r="D134" t="s">
        <v>352</v>
      </c>
      <c r="F134">
        <v>643.23150599999997</v>
      </c>
      <c r="G134">
        <v>809.86389199999996</v>
      </c>
      <c r="H134">
        <v>1033.708862</v>
      </c>
      <c r="I134">
        <v>1203.5804439999999</v>
      </c>
      <c r="J134">
        <v>1315.1982419999999</v>
      </c>
      <c r="K134">
        <v>1389.2957759999999</v>
      </c>
      <c r="L134">
        <v>1461.070068</v>
      </c>
      <c r="M134">
        <v>1519.7026370000001</v>
      </c>
      <c r="N134">
        <v>1580.674072</v>
      </c>
      <c r="O134">
        <v>1642.2303469999999</v>
      </c>
      <c r="P134">
        <v>1706.307495</v>
      </c>
      <c r="Q134">
        <v>1773.189087</v>
      </c>
      <c r="R134">
        <v>1842.996948</v>
      </c>
      <c r="S134">
        <v>1915.880615</v>
      </c>
      <c r="T134">
        <v>1991.118408</v>
      </c>
      <c r="U134">
        <v>2069.4658199999999</v>
      </c>
      <c r="V134">
        <v>2150.9975589999999</v>
      </c>
      <c r="W134">
        <v>2235.7150879999999</v>
      </c>
      <c r="X134">
        <v>2323.7055660000001</v>
      </c>
      <c r="Y134">
        <v>2414.3759770000001</v>
      </c>
      <c r="Z134">
        <v>2508.4509280000002</v>
      </c>
      <c r="AA134">
        <v>2606.0415039999998</v>
      </c>
      <c r="AB134">
        <v>2707.2348630000001</v>
      </c>
      <c r="AC134">
        <v>2812.163086</v>
      </c>
      <c r="AD134">
        <v>2919.8820799999999</v>
      </c>
      <c r="AE134">
        <v>3031.4201659999999</v>
      </c>
      <c r="AF134">
        <v>3146.9296880000002</v>
      </c>
      <c r="AG134">
        <v>3266.5102539999998</v>
      </c>
      <c r="AH134">
        <v>3390.2861330000001</v>
      </c>
      <c r="AI134">
        <v>6.0999999999999999E-2</v>
      </c>
    </row>
    <row r="135" spans="1:37">
      <c r="A135" t="s">
        <v>444</v>
      </c>
      <c r="B135" t="s">
        <v>2270</v>
      </c>
      <c r="C135" t="s">
        <v>2271</v>
      </c>
      <c r="D135" t="s">
        <v>352</v>
      </c>
      <c r="F135">
        <v>249.37359599999999</v>
      </c>
      <c r="G135">
        <v>335.93658399999998</v>
      </c>
      <c r="H135">
        <v>430.22531099999998</v>
      </c>
      <c r="I135">
        <v>497.79663099999999</v>
      </c>
      <c r="J135">
        <v>537.84979199999998</v>
      </c>
      <c r="K135">
        <v>565.29992700000003</v>
      </c>
      <c r="L135">
        <v>592.20623799999998</v>
      </c>
      <c r="M135">
        <v>615.00518799999998</v>
      </c>
      <c r="N135">
        <v>638.70904499999995</v>
      </c>
      <c r="O135">
        <v>662.67681900000002</v>
      </c>
      <c r="P135">
        <v>687.55053699999996</v>
      </c>
      <c r="Q135">
        <v>713.471497</v>
      </c>
      <c r="R135">
        <v>740.49151600000005</v>
      </c>
      <c r="S135">
        <v>768.67852800000003</v>
      </c>
      <c r="T135">
        <v>797.763733</v>
      </c>
      <c r="U135">
        <v>828.01007100000004</v>
      </c>
      <c r="V135">
        <v>859.44238299999995</v>
      </c>
      <c r="W135">
        <v>892.046021</v>
      </c>
      <c r="X135">
        <v>925.84979199999998</v>
      </c>
      <c r="Y135">
        <v>960.64581299999998</v>
      </c>
      <c r="Z135">
        <v>996.68786599999999</v>
      </c>
      <c r="AA135">
        <v>1034.0195309999999</v>
      </c>
      <c r="AB135">
        <v>1072.6705320000001</v>
      </c>
      <c r="AC135">
        <v>1112.6879879999999</v>
      </c>
      <c r="AD135">
        <v>1153.728638</v>
      </c>
      <c r="AE135">
        <v>1196.1561280000001</v>
      </c>
      <c r="AF135">
        <v>1240.03125</v>
      </c>
      <c r="AG135">
        <v>1285.3885499999999</v>
      </c>
      <c r="AH135">
        <v>1332.272827</v>
      </c>
      <c r="AI135">
        <v>6.2E-2</v>
      </c>
      <c r="AK135" s="31"/>
    </row>
    <row r="136" spans="1:37">
      <c r="A136" t="s">
        <v>430</v>
      </c>
      <c r="B136" t="s">
        <v>2272</v>
      </c>
      <c r="C136" t="s">
        <v>2273</v>
      </c>
      <c r="D136" t="s">
        <v>352</v>
      </c>
      <c r="F136">
        <v>309.15365600000001</v>
      </c>
      <c r="G136">
        <v>360.79992700000003</v>
      </c>
      <c r="H136">
        <v>459.47216800000001</v>
      </c>
      <c r="I136">
        <v>542.31811500000003</v>
      </c>
      <c r="J136">
        <v>606.94940199999996</v>
      </c>
      <c r="K136">
        <v>647.83563200000003</v>
      </c>
      <c r="L136">
        <v>686.69622800000002</v>
      </c>
      <c r="M136">
        <v>716.520264</v>
      </c>
      <c r="N136">
        <v>747.54431199999999</v>
      </c>
      <c r="O136">
        <v>778.78051800000003</v>
      </c>
      <c r="P136">
        <v>811.47302200000001</v>
      </c>
      <c r="Q136">
        <v>845.69354199999998</v>
      </c>
      <c r="R136">
        <v>881.49322500000005</v>
      </c>
      <c r="S136">
        <v>918.92584199999999</v>
      </c>
      <c r="T136">
        <v>957.59625200000005</v>
      </c>
      <c r="U136">
        <v>997.96124299999997</v>
      </c>
      <c r="V136">
        <v>1040.068115</v>
      </c>
      <c r="W136">
        <v>1083.953857</v>
      </c>
      <c r="X136">
        <v>1129.674561</v>
      </c>
      <c r="Y136">
        <v>1176.875732</v>
      </c>
      <c r="Z136">
        <v>1225.990356</v>
      </c>
      <c r="AA136">
        <v>1277.075317</v>
      </c>
      <c r="AB136">
        <v>1330.1845699999999</v>
      </c>
      <c r="AC136">
        <v>1385.394409</v>
      </c>
      <c r="AD136">
        <v>1442.169312</v>
      </c>
      <c r="AE136">
        <v>1501.1175539999999</v>
      </c>
      <c r="AF136">
        <v>1562.3118899999999</v>
      </c>
      <c r="AG136">
        <v>1625.8142089999999</v>
      </c>
      <c r="AH136">
        <v>1691.6949460000001</v>
      </c>
      <c r="AI136">
        <v>6.3E-2</v>
      </c>
      <c r="AK136" s="31"/>
    </row>
    <row r="137" spans="1:37">
      <c r="A137" t="s">
        <v>442</v>
      </c>
      <c r="B137" t="s">
        <v>2274</v>
      </c>
      <c r="C137" t="s">
        <v>2275</v>
      </c>
      <c r="D137" t="s">
        <v>352</v>
      </c>
      <c r="F137">
        <v>84.704268999999996</v>
      </c>
      <c r="G137">
        <v>113.127365</v>
      </c>
      <c r="H137">
        <v>144.011337</v>
      </c>
      <c r="I137">
        <v>163.465744</v>
      </c>
      <c r="J137">
        <v>170.39906300000001</v>
      </c>
      <c r="K137">
        <v>176.16027800000001</v>
      </c>
      <c r="L137">
        <v>182.16755699999999</v>
      </c>
      <c r="M137">
        <v>188.17723100000001</v>
      </c>
      <c r="N137">
        <v>194.420715</v>
      </c>
      <c r="O137">
        <v>200.77302599999999</v>
      </c>
      <c r="P137">
        <v>207.283951</v>
      </c>
      <c r="Q137">
        <v>214.024078</v>
      </c>
      <c r="R137">
        <v>221.012192</v>
      </c>
      <c r="S137">
        <v>228.276184</v>
      </c>
      <c r="T137">
        <v>235.75843800000001</v>
      </c>
      <c r="U137">
        <v>243.49452199999999</v>
      </c>
      <c r="V137">
        <v>251.48704499999999</v>
      </c>
      <c r="W137">
        <v>259.715149</v>
      </c>
      <c r="X137">
        <v>268.18118299999998</v>
      </c>
      <c r="Y137">
        <v>276.85458399999999</v>
      </c>
      <c r="Z137">
        <v>285.77264400000001</v>
      </c>
      <c r="AA137">
        <v>294.94665500000002</v>
      </c>
      <c r="AB137">
        <v>304.379974</v>
      </c>
      <c r="AC137">
        <v>314.08056599999998</v>
      </c>
      <c r="AD137">
        <v>323.984039</v>
      </c>
      <c r="AE137">
        <v>334.14657599999998</v>
      </c>
      <c r="AF137">
        <v>344.586365</v>
      </c>
      <c r="AG137">
        <v>355.307526</v>
      </c>
      <c r="AH137">
        <v>366.31826799999999</v>
      </c>
      <c r="AI137">
        <v>5.3999999999999999E-2</v>
      </c>
    </row>
    <row r="138" spans="1:37">
      <c r="A138" t="s">
        <v>443</v>
      </c>
      <c r="B138" t="s">
        <v>2276</v>
      </c>
      <c r="C138" t="s">
        <v>2277</v>
      </c>
      <c r="D138" t="s">
        <v>352</v>
      </c>
      <c r="F138">
        <v>625.06341599999996</v>
      </c>
      <c r="G138">
        <v>916.94250499999998</v>
      </c>
      <c r="H138">
        <v>1092.5119629999999</v>
      </c>
      <c r="I138">
        <v>1172.0686040000001</v>
      </c>
      <c r="J138">
        <v>1249.1049800000001</v>
      </c>
      <c r="K138">
        <v>1304.7954099999999</v>
      </c>
      <c r="L138">
        <v>1356.907471</v>
      </c>
      <c r="M138">
        <v>1412.223389</v>
      </c>
      <c r="N138">
        <v>1470.6604</v>
      </c>
      <c r="O138">
        <v>1532.1757809999999</v>
      </c>
      <c r="P138">
        <v>1596.3366699999999</v>
      </c>
      <c r="Q138">
        <v>1662.991211</v>
      </c>
      <c r="R138">
        <v>1732.1273189999999</v>
      </c>
      <c r="S138">
        <v>1803.7451169999999</v>
      </c>
      <c r="T138">
        <v>1878.6374510000001</v>
      </c>
      <c r="U138">
        <v>1956.2303469999999</v>
      </c>
      <c r="V138">
        <v>2036.4339600000001</v>
      </c>
      <c r="W138">
        <v>2119.2426759999998</v>
      </c>
      <c r="X138">
        <v>2204.6821289999998</v>
      </c>
      <c r="Y138">
        <v>2293.5405270000001</v>
      </c>
      <c r="Z138">
        <v>2385.1982419999999</v>
      </c>
      <c r="AA138">
        <v>2479.6088869999999</v>
      </c>
      <c r="AB138">
        <v>2576.8115229999999</v>
      </c>
      <c r="AC138">
        <v>2676.9106449999999</v>
      </c>
      <c r="AD138">
        <v>2780.5493160000001</v>
      </c>
      <c r="AE138">
        <v>2887.180664</v>
      </c>
      <c r="AF138">
        <v>2996.7885740000002</v>
      </c>
      <c r="AG138">
        <v>3109.4091800000001</v>
      </c>
      <c r="AH138">
        <v>3225.1445309999999</v>
      </c>
      <c r="AI138">
        <v>0.06</v>
      </c>
    </row>
    <row r="139" spans="1:37">
      <c r="A139" t="s">
        <v>444</v>
      </c>
      <c r="B139" t="s">
        <v>2278</v>
      </c>
      <c r="C139" t="s">
        <v>2279</v>
      </c>
      <c r="D139" t="s">
        <v>352</v>
      </c>
      <c r="F139">
        <v>310.34631300000001</v>
      </c>
      <c r="G139">
        <v>376.11483800000002</v>
      </c>
      <c r="H139">
        <v>448.42544600000002</v>
      </c>
      <c r="I139">
        <v>482.52474999999998</v>
      </c>
      <c r="J139">
        <v>516.06787099999997</v>
      </c>
      <c r="K139">
        <v>539.51196300000004</v>
      </c>
      <c r="L139">
        <v>560.85168499999997</v>
      </c>
      <c r="M139">
        <v>583.56854199999998</v>
      </c>
      <c r="N139">
        <v>607.56390399999998</v>
      </c>
      <c r="O139">
        <v>632.80822799999999</v>
      </c>
      <c r="P139">
        <v>659.127747</v>
      </c>
      <c r="Q139">
        <v>686.45709199999999</v>
      </c>
      <c r="R139">
        <v>714.78991699999995</v>
      </c>
      <c r="S139">
        <v>744.12506099999996</v>
      </c>
      <c r="T139">
        <v>774.78466800000001</v>
      </c>
      <c r="U139">
        <v>806.53509499999996</v>
      </c>
      <c r="V139">
        <v>839.33746299999996</v>
      </c>
      <c r="W139">
        <v>873.18762200000003</v>
      </c>
      <c r="X139">
        <v>908.09869400000002</v>
      </c>
      <c r="Y139">
        <v>944.39007600000002</v>
      </c>
      <c r="Z139">
        <v>981.80755599999998</v>
      </c>
      <c r="AA139">
        <v>1020.330322</v>
      </c>
      <c r="AB139">
        <v>1059.9732670000001</v>
      </c>
      <c r="AC139">
        <v>1100.778442</v>
      </c>
      <c r="AD139">
        <v>1143.0073239999999</v>
      </c>
      <c r="AE139">
        <v>1186.4350589999999</v>
      </c>
      <c r="AF139">
        <v>1231.05249</v>
      </c>
      <c r="AG139">
        <v>1276.8735349999999</v>
      </c>
      <c r="AH139">
        <v>1323.9385990000001</v>
      </c>
      <c r="AI139">
        <v>5.2999999999999999E-2</v>
      </c>
      <c r="AK139" s="31"/>
    </row>
    <row r="140" spans="1:37">
      <c r="A140" t="s">
        <v>431</v>
      </c>
      <c r="B140" t="s">
        <v>2280</v>
      </c>
      <c r="C140" t="s">
        <v>2281</v>
      </c>
      <c r="D140" t="s">
        <v>352</v>
      </c>
      <c r="F140">
        <v>101.82463799999999</v>
      </c>
      <c r="G140">
        <v>127.08978999999999</v>
      </c>
      <c r="H140">
        <v>149.50636299999999</v>
      </c>
      <c r="I140">
        <v>163.274384</v>
      </c>
      <c r="J140">
        <v>177.650925</v>
      </c>
      <c r="K140">
        <v>186.43978899999999</v>
      </c>
      <c r="L140">
        <v>193.47171</v>
      </c>
      <c r="M140">
        <v>201.065887</v>
      </c>
      <c r="N140">
        <v>209.08230599999999</v>
      </c>
      <c r="O140">
        <v>217.49070699999999</v>
      </c>
      <c r="P140">
        <v>226.23971599999999</v>
      </c>
      <c r="Q140">
        <v>235.30278000000001</v>
      </c>
      <c r="R140">
        <v>244.67558299999999</v>
      </c>
      <c r="S140">
        <v>254.35517899999999</v>
      </c>
      <c r="T140">
        <v>264.44409200000001</v>
      </c>
      <c r="U140">
        <v>274.86758400000002</v>
      </c>
      <c r="V140">
        <v>285.60858200000001</v>
      </c>
      <c r="W140">
        <v>296.66345200000001</v>
      </c>
      <c r="X140">
        <v>308.04113799999999</v>
      </c>
      <c r="Y140">
        <v>319.84039300000001</v>
      </c>
      <c r="Z140">
        <v>331.97729500000003</v>
      </c>
      <c r="AA140">
        <v>344.441711</v>
      </c>
      <c r="AB140">
        <v>357.23644999999999</v>
      </c>
      <c r="AC140">
        <v>370.37435900000003</v>
      </c>
      <c r="AD140">
        <v>383.93911700000001</v>
      </c>
      <c r="AE140">
        <v>397.854309</v>
      </c>
      <c r="AF140">
        <v>412.113495</v>
      </c>
      <c r="AG140">
        <v>426.71850599999999</v>
      </c>
      <c r="AH140">
        <v>441.68109099999998</v>
      </c>
      <c r="AI140">
        <v>5.3999999999999999E-2</v>
      </c>
    </row>
    <row r="141" spans="1:37">
      <c r="A141" t="s">
        <v>442</v>
      </c>
      <c r="B141" t="s">
        <v>2282</v>
      </c>
      <c r="C141" t="s">
        <v>2283</v>
      </c>
      <c r="D141" t="s">
        <v>352</v>
      </c>
      <c r="F141">
        <v>212.892471</v>
      </c>
      <c r="G141">
        <v>413.73791499999999</v>
      </c>
      <c r="H141">
        <v>494.58007800000001</v>
      </c>
      <c r="I141">
        <v>526.269409</v>
      </c>
      <c r="J141">
        <v>555.38622999999995</v>
      </c>
      <c r="K141">
        <v>578.84362799999997</v>
      </c>
      <c r="L141">
        <v>602.58410600000002</v>
      </c>
      <c r="M141">
        <v>627.58905000000004</v>
      </c>
      <c r="N141">
        <v>654.01409899999999</v>
      </c>
      <c r="O141">
        <v>681.87683100000004</v>
      </c>
      <c r="P141">
        <v>710.96917699999995</v>
      </c>
      <c r="Q141">
        <v>741.23126200000002</v>
      </c>
      <c r="R141">
        <v>772.66180399999996</v>
      </c>
      <c r="S141">
        <v>805.26489300000003</v>
      </c>
      <c r="T141">
        <v>839.40863000000002</v>
      </c>
      <c r="U141">
        <v>874.82763699999998</v>
      </c>
      <c r="V141">
        <v>911.48791500000004</v>
      </c>
      <c r="W141">
        <v>949.39172399999995</v>
      </c>
      <c r="X141">
        <v>988.54217500000004</v>
      </c>
      <c r="Y141">
        <v>1029.3100589999999</v>
      </c>
      <c r="Z141">
        <v>1071.4133300000001</v>
      </c>
      <c r="AA141">
        <v>1114.8367920000001</v>
      </c>
      <c r="AB141">
        <v>1159.6019289999999</v>
      </c>
      <c r="AC141">
        <v>1205.7579350000001</v>
      </c>
      <c r="AD141">
        <v>1253.602783</v>
      </c>
      <c r="AE141">
        <v>1302.891357</v>
      </c>
      <c r="AF141">
        <v>1353.622437</v>
      </c>
      <c r="AG141">
        <v>1405.8170170000001</v>
      </c>
      <c r="AH141">
        <v>1459.5249020000001</v>
      </c>
      <c r="AI141">
        <v>7.0999999999999994E-2</v>
      </c>
    </row>
    <row r="142" spans="1:37">
      <c r="A142" t="s">
        <v>443</v>
      </c>
      <c r="B142" t="s">
        <v>2284</v>
      </c>
      <c r="C142" t="s">
        <v>2285</v>
      </c>
      <c r="D142" t="s">
        <v>352</v>
      </c>
      <c r="F142">
        <v>419.19976800000001</v>
      </c>
      <c r="G142">
        <v>445.30187999999998</v>
      </c>
      <c r="H142">
        <v>456.92532299999999</v>
      </c>
      <c r="I142">
        <v>470.77404799999999</v>
      </c>
      <c r="J142">
        <v>483.30731200000002</v>
      </c>
      <c r="K142">
        <v>493.20959499999998</v>
      </c>
      <c r="L142">
        <v>502.39447000000001</v>
      </c>
      <c r="M142">
        <v>510.63806199999999</v>
      </c>
      <c r="N142">
        <v>518.389771</v>
      </c>
      <c r="O142">
        <v>525.415344</v>
      </c>
      <c r="P142">
        <v>532.19909700000005</v>
      </c>
      <c r="Q142">
        <v>538.70593299999996</v>
      </c>
      <c r="R142">
        <v>544.89483600000005</v>
      </c>
      <c r="S142">
        <v>550.73065199999996</v>
      </c>
      <c r="T142">
        <v>556.20306400000004</v>
      </c>
      <c r="U142">
        <v>561.36901899999998</v>
      </c>
      <c r="V142">
        <v>566.26489300000003</v>
      </c>
      <c r="W142">
        <v>570.92700200000002</v>
      </c>
      <c r="X142">
        <v>575.36730999999997</v>
      </c>
      <c r="Y142">
        <v>579.62261999999998</v>
      </c>
      <c r="Z142">
        <v>583.70642099999998</v>
      </c>
      <c r="AA142">
        <v>587.63073699999995</v>
      </c>
      <c r="AB142">
        <v>591.40252699999996</v>
      </c>
      <c r="AC142">
        <v>595.02941899999996</v>
      </c>
      <c r="AD142">
        <v>598.53155500000003</v>
      </c>
      <c r="AE142">
        <v>601.90405299999998</v>
      </c>
      <c r="AF142">
        <v>605.147156</v>
      </c>
      <c r="AG142">
        <v>608.247253</v>
      </c>
      <c r="AH142">
        <v>611.21417199999996</v>
      </c>
      <c r="AI142">
        <v>1.4E-2</v>
      </c>
    </row>
    <row r="143" spans="1:37">
      <c r="A143" t="s">
        <v>444</v>
      </c>
      <c r="B143" t="s">
        <v>2286</v>
      </c>
      <c r="C143" t="s">
        <v>2287</v>
      </c>
      <c r="D143" t="s">
        <v>352</v>
      </c>
      <c r="F143">
        <v>252.65448000000001</v>
      </c>
      <c r="G143">
        <v>267.78195199999999</v>
      </c>
      <c r="H143">
        <v>273.65145899999999</v>
      </c>
      <c r="I143">
        <v>281.47308299999997</v>
      </c>
      <c r="J143">
        <v>288.48440599999998</v>
      </c>
      <c r="K143">
        <v>294.155914</v>
      </c>
      <c r="L143">
        <v>299.49108899999999</v>
      </c>
      <c r="M143">
        <v>304.36554000000001</v>
      </c>
      <c r="N143">
        <v>308.95251500000001</v>
      </c>
      <c r="O143">
        <v>313.11425800000001</v>
      </c>
      <c r="P143">
        <v>317.13528400000001</v>
      </c>
      <c r="Q143">
        <v>320.99478099999999</v>
      </c>
      <c r="R143">
        <v>324.66857900000002</v>
      </c>
      <c r="S143">
        <v>328.13595600000002</v>
      </c>
      <c r="T143">
        <v>331.39044200000001</v>
      </c>
      <c r="U143">
        <v>334.46563700000002</v>
      </c>
      <c r="V143">
        <v>337.38269000000003</v>
      </c>
      <c r="W143">
        <v>340.16287199999999</v>
      </c>
      <c r="X143">
        <v>342.812592</v>
      </c>
      <c r="Y143">
        <v>345.35357699999997</v>
      </c>
      <c r="Z143">
        <v>347.79367100000002</v>
      </c>
      <c r="AA143">
        <v>350.14004499999999</v>
      </c>
      <c r="AB143">
        <v>352.39660600000002</v>
      </c>
      <c r="AC143">
        <v>354.56787100000003</v>
      </c>
      <c r="AD143">
        <v>356.66525300000001</v>
      </c>
      <c r="AE143">
        <v>358.68579099999999</v>
      </c>
      <c r="AF143">
        <v>360.63028000000003</v>
      </c>
      <c r="AG143">
        <v>362.49115</v>
      </c>
      <c r="AH143">
        <v>364.27465799999999</v>
      </c>
      <c r="AI143">
        <v>1.2999999999999999E-2</v>
      </c>
    </row>
    <row r="144" spans="1:37">
      <c r="A144" t="s">
        <v>432</v>
      </c>
      <c r="B144" t="s">
        <v>2288</v>
      </c>
      <c r="C144" t="s">
        <v>2289</v>
      </c>
      <c r="D144" t="s">
        <v>352</v>
      </c>
      <c r="F144">
        <v>20.602450999999999</v>
      </c>
      <c r="G144">
        <v>25.507446000000002</v>
      </c>
      <c r="H144">
        <v>29.657032000000001</v>
      </c>
      <c r="I144">
        <v>32.492038999999998</v>
      </c>
      <c r="J144">
        <v>35.333495999999997</v>
      </c>
      <c r="K144">
        <v>37.037590000000002</v>
      </c>
      <c r="L144">
        <v>38.312652999999997</v>
      </c>
      <c r="M144">
        <v>39.104317000000002</v>
      </c>
      <c r="N144">
        <v>39.834969000000001</v>
      </c>
      <c r="O144">
        <v>40.478951000000002</v>
      </c>
      <c r="P144">
        <v>41.090431000000002</v>
      </c>
      <c r="Q144">
        <v>41.666069</v>
      </c>
      <c r="R144">
        <v>42.201903999999999</v>
      </c>
      <c r="S144">
        <v>42.694378</v>
      </c>
      <c r="T144">
        <v>43.143196000000003</v>
      </c>
      <c r="U144">
        <v>43.555241000000002</v>
      </c>
      <c r="V144">
        <v>43.934868000000002</v>
      </c>
      <c r="W144">
        <v>44.286434</v>
      </c>
      <c r="X144">
        <v>44.613953000000002</v>
      </c>
      <c r="Y144">
        <v>44.920799000000002</v>
      </c>
      <c r="Z144">
        <v>45.209000000000003</v>
      </c>
      <c r="AA144">
        <v>45.479927000000004</v>
      </c>
      <c r="AB144">
        <v>45.734260999999996</v>
      </c>
      <c r="AC144">
        <v>45.973236</v>
      </c>
      <c r="AD144">
        <v>46.200775</v>
      </c>
      <c r="AE144">
        <v>46.416392999999999</v>
      </c>
      <c r="AF144">
        <v>46.618023000000001</v>
      </c>
      <c r="AG144">
        <v>46.801772999999997</v>
      </c>
      <c r="AH144">
        <v>46.967086999999999</v>
      </c>
      <c r="AI144">
        <v>0.03</v>
      </c>
      <c r="AK144" s="31"/>
    </row>
    <row r="145" spans="1:37">
      <c r="A145" t="s">
        <v>442</v>
      </c>
      <c r="B145" t="s">
        <v>2290</v>
      </c>
      <c r="C145" t="s">
        <v>2291</v>
      </c>
      <c r="D145" t="s">
        <v>352</v>
      </c>
      <c r="F145">
        <v>145.94285600000001</v>
      </c>
      <c r="G145">
        <v>152.01246599999999</v>
      </c>
      <c r="H145">
        <v>153.61682099999999</v>
      </c>
      <c r="I145">
        <v>156.80892900000001</v>
      </c>
      <c r="J145">
        <v>159.48942600000001</v>
      </c>
      <c r="K145">
        <v>162.01606799999999</v>
      </c>
      <c r="L145">
        <v>164.59072900000001</v>
      </c>
      <c r="M145">
        <v>167.16821300000001</v>
      </c>
      <c r="N145">
        <v>169.60228000000001</v>
      </c>
      <c r="O145">
        <v>171.82214400000001</v>
      </c>
      <c r="P145">
        <v>173.97340399999999</v>
      </c>
      <c r="Q145">
        <v>176.045074</v>
      </c>
      <c r="R145">
        <v>178.02436800000001</v>
      </c>
      <c r="S145">
        <v>179.90033</v>
      </c>
      <c r="T145">
        <v>181.66941800000001</v>
      </c>
      <c r="U145">
        <v>183.34814499999999</v>
      </c>
      <c r="V145">
        <v>184.94731100000001</v>
      </c>
      <c r="W145">
        <v>186.477722</v>
      </c>
      <c r="X145">
        <v>187.94078099999999</v>
      </c>
      <c r="Y145">
        <v>189.34823600000001</v>
      </c>
      <c r="Z145">
        <v>190.70370500000001</v>
      </c>
      <c r="AA145">
        <v>192.01080300000001</v>
      </c>
      <c r="AB145">
        <v>193.27166700000001</v>
      </c>
      <c r="AC145">
        <v>194.488281</v>
      </c>
      <c r="AD145">
        <v>195.66551200000001</v>
      </c>
      <c r="AE145">
        <v>196.80186499999999</v>
      </c>
      <c r="AF145">
        <v>197.89887999999999</v>
      </c>
      <c r="AG145">
        <v>198.95433</v>
      </c>
      <c r="AH145">
        <v>199.972397</v>
      </c>
      <c r="AI145">
        <v>1.0999999999999999E-2</v>
      </c>
    </row>
    <row r="146" spans="1:37">
      <c r="A146" t="s">
        <v>443</v>
      </c>
      <c r="B146" t="s">
        <v>2292</v>
      </c>
      <c r="C146" t="s">
        <v>2293</v>
      </c>
      <c r="D146" t="s">
        <v>352</v>
      </c>
      <c r="F146">
        <v>370.58520499999997</v>
      </c>
      <c r="G146">
        <v>461.29376200000002</v>
      </c>
      <c r="H146">
        <v>535.82275400000003</v>
      </c>
      <c r="I146">
        <v>572.78991699999995</v>
      </c>
      <c r="J146">
        <v>604.81353799999999</v>
      </c>
      <c r="K146">
        <v>627.30285600000002</v>
      </c>
      <c r="L146">
        <v>646.14160200000003</v>
      </c>
      <c r="M146">
        <v>663.66400099999998</v>
      </c>
      <c r="N146">
        <v>681.33746299999996</v>
      </c>
      <c r="O146">
        <v>698.955017</v>
      </c>
      <c r="P146">
        <v>717.10186799999997</v>
      </c>
      <c r="Q146">
        <v>735.84265100000005</v>
      </c>
      <c r="R146">
        <v>755.19689900000003</v>
      </c>
      <c r="S146">
        <v>775.182007</v>
      </c>
      <c r="T146">
        <v>795.71368399999994</v>
      </c>
      <c r="U146">
        <v>816.89855999999997</v>
      </c>
      <c r="V146">
        <v>838.73413100000005</v>
      </c>
      <c r="W146">
        <v>861.21209699999997</v>
      </c>
      <c r="X146">
        <v>884.31475799999998</v>
      </c>
      <c r="Y146">
        <v>908.02526899999998</v>
      </c>
      <c r="Z146">
        <v>932.37731900000006</v>
      </c>
      <c r="AA146">
        <v>957.36828600000001</v>
      </c>
      <c r="AB146">
        <v>982.99694799999997</v>
      </c>
      <c r="AC146">
        <v>1009.257874</v>
      </c>
      <c r="AD146">
        <v>1035.9171140000001</v>
      </c>
      <c r="AE146">
        <v>1063.2104489999999</v>
      </c>
      <c r="AF146">
        <v>1091.1518550000001</v>
      </c>
      <c r="AG146">
        <v>1119.7543949999999</v>
      </c>
      <c r="AH146">
        <v>1149.0229489999999</v>
      </c>
      <c r="AI146">
        <v>4.1000000000000002E-2</v>
      </c>
    </row>
    <row r="147" spans="1:37">
      <c r="A147" t="s">
        <v>444</v>
      </c>
      <c r="B147" t="s">
        <v>2294</v>
      </c>
      <c r="C147" t="s">
        <v>2295</v>
      </c>
      <c r="D147" t="s">
        <v>352</v>
      </c>
      <c r="F147">
        <v>214.20620700000001</v>
      </c>
      <c r="G147">
        <v>269.47332799999998</v>
      </c>
      <c r="H147">
        <v>314.92019699999997</v>
      </c>
      <c r="I147">
        <v>340.05426</v>
      </c>
      <c r="J147">
        <v>361.313873</v>
      </c>
      <c r="K147">
        <v>375.64196800000002</v>
      </c>
      <c r="L147">
        <v>387.32519500000001</v>
      </c>
      <c r="M147">
        <v>398.066711</v>
      </c>
      <c r="N147">
        <v>408.933899</v>
      </c>
      <c r="O147">
        <v>419.80868500000003</v>
      </c>
      <c r="P147">
        <v>431.01675399999999</v>
      </c>
      <c r="Q147">
        <v>442.59545900000001</v>
      </c>
      <c r="R147">
        <v>454.55740400000002</v>
      </c>
      <c r="S147">
        <v>466.91409299999998</v>
      </c>
      <c r="T147">
        <v>479.61593599999998</v>
      </c>
      <c r="U147">
        <v>492.72644000000003</v>
      </c>
      <c r="V147">
        <v>506.24490400000002</v>
      </c>
      <c r="W147">
        <v>520.16735800000004</v>
      </c>
      <c r="X147">
        <v>534.48431400000004</v>
      </c>
      <c r="Y147">
        <v>549.182861</v>
      </c>
      <c r="Z147">
        <v>564.28716999999995</v>
      </c>
      <c r="AA147">
        <v>579.79675299999997</v>
      </c>
      <c r="AB147">
        <v>595.71179199999995</v>
      </c>
      <c r="AC147">
        <v>612.03027299999997</v>
      </c>
      <c r="AD147">
        <v>628.61663799999997</v>
      </c>
      <c r="AE147">
        <v>645.60864300000003</v>
      </c>
      <c r="AF147">
        <v>663.01568599999996</v>
      </c>
      <c r="AG147">
        <v>680.84698500000002</v>
      </c>
      <c r="AH147">
        <v>699.106628</v>
      </c>
      <c r="AI147">
        <v>4.2999999999999997E-2</v>
      </c>
      <c r="AK147" s="31"/>
    </row>
    <row r="148" spans="1:37">
      <c r="A148" t="s">
        <v>433</v>
      </c>
      <c r="B148" t="s">
        <v>2296</v>
      </c>
      <c r="C148" t="s">
        <v>2297</v>
      </c>
      <c r="D148" t="s">
        <v>352</v>
      </c>
      <c r="F148">
        <v>17.582750000000001</v>
      </c>
      <c r="G148">
        <v>22.767551000000001</v>
      </c>
      <c r="H148">
        <v>27.497502999999998</v>
      </c>
      <c r="I148">
        <v>30.980896000000001</v>
      </c>
      <c r="J148">
        <v>33.759487</v>
      </c>
      <c r="K148">
        <v>35.430557</v>
      </c>
      <c r="L148">
        <v>36.681849999999997</v>
      </c>
      <c r="M148">
        <v>37.787337999999998</v>
      </c>
      <c r="N148">
        <v>38.917746999999999</v>
      </c>
      <c r="O148">
        <v>40.064109999999999</v>
      </c>
      <c r="P148">
        <v>41.248004999999999</v>
      </c>
      <c r="Q148">
        <v>42.472389</v>
      </c>
      <c r="R148">
        <v>43.738827000000001</v>
      </c>
      <c r="S148">
        <v>45.048794000000001</v>
      </c>
      <c r="T148">
        <v>46.397945</v>
      </c>
      <c r="U148">
        <v>47.792149000000002</v>
      </c>
      <c r="V148">
        <v>49.231659000000001</v>
      </c>
      <c r="W148">
        <v>50.7164</v>
      </c>
      <c r="X148">
        <v>52.245941000000002</v>
      </c>
      <c r="Y148">
        <v>53.817996999999998</v>
      </c>
      <c r="Z148">
        <v>55.436340000000001</v>
      </c>
      <c r="AA148">
        <v>57.101303000000001</v>
      </c>
      <c r="AB148">
        <v>58.813335000000002</v>
      </c>
      <c r="AC148">
        <v>60.572605000000003</v>
      </c>
      <c r="AD148">
        <v>62.368079999999999</v>
      </c>
      <c r="AE148">
        <v>64.211394999999996</v>
      </c>
      <c r="AF148">
        <v>66.103904999999997</v>
      </c>
      <c r="AG148">
        <v>68.046859999999995</v>
      </c>
      <c r="AH148">
        <v>70.041290000000004</v>
      </c>
      <c r="AI148">
        <v>5.0999999999999997E-2</v>
      </c>
      <c r="AK148" s="31"/>
    </row>
    <row r="149" spans="1:37">
      <c r="A149" t="s">
        <v>442</v>
      </c>
      <c r="B149" t="s">
        <v>2298</v>
      </c>
      <c r="C149" t="s">
        <v>2299</v>
      </c>
      <c r="D149" t="s">
        <v>352</v>
      </c>
      <c r="F149">
        <v>138.79626500000001</v>
      </c>
      <c r="G149">
        <v>169.052887</v>
      </c>
      <c r="H149">
        <v>193.40507500000001</v>
      </c>
      <c r="I149">
        <v>201.75477599999999</v>
      </c>
      <c r="J149">
        <v>209.74018899999999</v>
      </c>
      <c r="K149">
        <v>216.23034699999999</v>
      </c>
      <c r="L149">
        <v>222.134567</v>
      </c>
      <c r="M149">
        <v>227.80995200000001</v>
      </c>
      <c r="N149">
        <v>233.48580899999999</v>
      </c>
      <c r="O149">
        <v>239.08221399999999</v>
      </c>
      <c r="P149">
        <v>244.837097</v>
      </c>
      <c r="Q149">
        <v>250.77477999999999</v>
      </c>
      <c r="R149">
        <v>256.90063500000002</v>
      </c>
      <c r="S149">
        <v>263.21911599999999</v>
      </c>
      <c r="T149">
        <v>269.69982900000002</v>
      </c>
      <c r="U149">
        <v>276.37994400000002</v>
      </c>
      <c r="V149">
        <v>283.25753800000001</v>
      </c>
      <c r="W149">
        <v>290.32830799999999</v>
      </c>
      <c r="X149">
        <v>297.58453400000002</v>
      </c>
      <c r="Y149">
        <v>305.024384</v>
      </c>
      <c r="Z149">
        <v>312.653839</v>
      </c>
      <c r="AA149">
        <v>320.470215</v>
      </c>
      <c r="AB149">
        <v>328.47180200000003</v>
      </c>
      <c r="AC149">
        <v>336.654968</v>
      </c>
      <c r="AD149">
        <v>344.932343</v>
      </c>
      <c r="AE149">
        <v>353.39035000000001</v>
      </c>
      <c r="AF149">
        <v>362.03228799999999</v>
      </c>
      <c r="AG149">
        <v>370.86056500000001</v>
      </c>
      <c r="AH149">
        <v>379.875</v>
      </c>
      <c r="AI149">
        <v>3.6999999999999998E-2</v>
      </c>
      <c r="AK149" s="31"/>
    </row>
    <row r="150" spans="1:37">
      <c r="A150" t="s">
        <v>443</v>
      </c>
      <c r="B150" t="s">
        <v>2300</v>
      </c>
      <c r="C150" t="s">
        <v>2301</v>
      </c>
      <c r="D150" t="s">
        <v>352</v>
      </c>
      <c r="F150">
        <v>21238.162109000001</v>
      </c>
      <c r="G150">
        <v>23666.042968999998</v>
      </c>
      <c r="H150">
        <v>25831.871093999998</v>
      </c>
      <c r="I150">
        <v>26914.007812</v>
      </c>
      <c r="J150">
        <v>28249.023438</v>
      </c>
      <c r="K150">
        <v>29194.080077999999</v>
      </c>
      <c r="L150">
        <v>30071.404297000001</v>
      </c>
      <c r="M150">
        <v>30869.183593999998</v>
      </c>
      <c r="N150">
        <v>31666.357422000001</v>
      </c>
      <c r="O150">
        <v>32486.433593999998</v>
      </c>
      <c r="P150">
        <v>33359.636719000002</v>
      </c>
      <c r="Q150">
        <v>34273.320312000003</v>
      </c>
      <c r="R150">
        <v>35207.089844000002</v>
      </c>
      <c r="S150">
        <v>36165.203125</v>
      </c>
      <c r="T150">
        <v>37159.589844000002</v>
      </c>
      <c r="U150">
        <v>38191.09375</v>
      </c>
      <c r="V150">
        <v>39252.152344000002</v>
      </c>
      <c r="W150">
        <v>40339.707030999998</v>
      </c>
      <c r="X150">
        <v>41478.644530999998</v>
      </c>
      <c r="Y150">
        <v>42644.035155999998</v>
      </c>
      <c r="Z150">
        <v>43842.691405999998</v>
      </c>
      <c r="AA150">
        <v>45074.214844000002</v>
      </c>
      <c r="AB150">
        <v>46323.71875</v>
      </c>
      <c r="AC150">
        <v>47587.613280999998</v>
      </c>
      <c r="AD150">
        <v>48868.171875</v>
      </c>
      <c r="AE150">
        <v>50182.953125</v>
      </c>
      <c r="AF150">
        <v>51520.554687999997</v>
      </c>
      <c r="AG150">
        <v>52876.652344000002</v>
      </c>
      <c r="AH150">
        <v>54266.789062000003</v>
      </c>
      <c r="AI150">
        <v>3.4000000000000002E-2</v>
      </c>
    </row>
    <row r="151" spans="1:37">
      <c r="A151" t="s">
        <v>444</v>
      </c>
      <c r="B151" t="s">
        <v>2302</v>
      </c>
      <c r="C151" t="s">
        <v>2303</v>
      </c>
      <c r="D151" t="s">
        <v>352</v>
      </c>
      <c r="F151">
        <v>13343.844727</v>
      </c>
      <c r="G151">
        <v>14305.920898</v>
      </c>
      <c r="H151">
        <v>15431.977539</v>
      </c>
      <c r="I151">
        <v>16017.230469</v>
      </c>
      <c r="J151">
        <v>16760.019531000002</v>
      </c>
      <c r="K151">
        <v>17323.84375</v>
      </c>
      <c r="L151">
        <v>17857.046875</v>
      </c>
      <c r="M151">
        <v>18359.677734000001</v>
      </c>
      <c r="N151">
        <v>18861.011718999998</v>
      </c>
      <c r="O151">
        <v>19375.871093999998</v>
      </c>
      <c r="P151">
        <v>19921.466797000001</v>
      </c>
      <c r="Q151">
        <v>20489.789062</v>
      </c>
      <c r="R151">
        <v>21068.882812</v>
      </c>
      <c r="S151">
        <v>21661.738281000002</v>
      </c>
      <c r="T151">
        <v>22275.255859000001</v>
      </c>
      <c r="U151">
        <v>22909.527343999998</v>
      </c>
      <c r="V151">
        <v>23560.183593999998</v>
      </c>
      <c r="W151">
        <v>24225.830077999999</v>
      </c>
      <c r="X151">
        <v>24921.501952999999</v>
      </c>
      <c r="Y151">
        <v>25633.21875</v>
      </c>
      <c r="Z151">
        <v>26364.8125</v>
      </c>
      <c r="AA151">
        <v>27115.423827999999</v>
      </c>
      <c r="AB151">
        <v>27875.492188</v>
      </c>
      <c r="AC151">
        <v>28642</v>
      </c>
      <c r="AD151">
        <v>29416.205077999999</v>
      </c>
      <c r="AE151">
        <v>30208.529297000001</v>
      </c>
      <c r="AF151">
        <v>31011.921875</v>
      </c>
      <c r="AG151">
        <v>31822.957031000002</v>
      </c>
      <c r="AH151">
        <v>32649.814452999999</v>
      </c>
      <c r="AI151">
        <v>3.2000000000000001E-2</v>
      </c>
      <c r="AK151" s="31"/>
    </row>
    <row r="152" spans="1:37">
      <c r="A152" t="s">
        <v>434</v>
      </c>
      <c r="B152" t="s">
        <v>2304</v>
      </c>
      <c r="C152" t="s">
        <v>2305</v>
      </c>
      <c r="D152" t="s">
        <v>352</v>
      </c>
      <c r="F152">
        <v>2398.732422</v>
      </c>
      <c r="G152">
        <v>3077.7006839999999</v>
      </c>
      <c r="H152">
        <v>3639.8544919999999</v>
      </c>
      <c r="I152">
        <v>3971.2834469999998</v>
      </c>
      <c r="J152">
        <v>4340.0146480000003</v>
      </c>
      <c r="K152">
        <v>4546.4736329999996</v>
      </c>
      <c r="L152">
        <v>4725.3154299999997</v>
      </c>
      <c r="M152">
        <v>4859.2758789999998</v>
      </c>
      <c r="N152">
        <v>4995.3920900000003</v>
      </c>
      <c r="O152">
        <v>5133.6142579999996</v>
      </c>
      <c r="P152">
        <v>5276.9663090000004</v>
      </c>
      <c r="Q152">
        <v>5426.1166990000002</v>
      </c>
      <c r="R152">
        <v>5580.0073240000002</v>
      </c>
      <c r="S152">
        <v>5739.0024409999996</v>
      </c>
      <c r="T152">
        <v>5903.5</v>
      </c>
      <c r="U152">
        <v>6073.7661129999997</v>
      </c>
      <c r="V152">
        <v>6249.3559569999998</v>
      </c>
      <c r="W152">
        <v>6430.4125979999999</v>
      </c>
      <c r="X152">
        <v>6619.1108400000003</v>
      </c>
      <c r="Y152">
        <v>6813.3720700000003</v>
      </c>
      <c r="Z152">
        <v>7014.1523440000001</v>
      </c>
      <c r="AA152">
        <v>7221.2583009999998</v>
      </c>
      <c r="AB152">
        <v>7433.5864259999998</v>
      </c>
      <c r="AC152">
        <v>7650.8134769999997</v>
      </c>
      <c r="AD152">
        <v>7872.1772460000002</v>
      </c>
      <c r="AE152">
        <v>8099.8642579999996</v>
      </c>
      <c r="AF152">
        <v>8333.3085940000001</v>
      </c>
      <c r="AG152">
        <v>8572.3603519999997</v>
      </c>
      <c r="AH152">
        <v>8818.2949219999991</v>
      </c>
      <c r="AI152">
        <v>4.8000000000000001E-2</v>
      </c>
      <c r="AK152" s="31"/>
    </row>
    <row r="153" spans="1:37">
      <c r="A153" t="s">
        <v>442</v>
      </c>
      <c r="B153" t="s">
        <v>2306</v>
      </c>
      <c r="C153" t="s">
        <v>2307</v>
      </c>
      <c r="D153" t="s">
        <v>352</v>
      </c>
      <c r="F153">
        <v>5495.5805659999996</v>
      </c>
      <c r="G153">
        <v>6282.4228519999997</v>
      </c>
      <c r="H153">
        <v>6760.0371089999999</v>
      </c>
      <c r="I153">
        <v>6925.5004879999997</v>
      </c>
      <c r="J153">
        <v>7148.9873049999997</v>
      </c>
      <c r="K153">
        <v>7323.7597660000001</v>
      </c>
      <c r="L153">
        <v>7489.0439450000003</v>
      </c>
      <c r="M153">
        <v>7650.2299800000001</v>
      </c>
      <c r="N153">
        <v>7809.9565430000002</v>
      </c>
      <c r="O153">
        <v>7976.9462890000004</v>
      </c>
      <c r="P153">
        <v>8161.2094729999999</v>
      </c>
      <c r="Q153">
        <v>8357.4169920000004</v>
      </c>
      <c r="R153">
        <v>8558.1992190000001</v>
      </c>
      <c r="S153">
        <v>8764.4638670000004</v>
      </c>
      <c r="T153">
        <v>8980.8398440000001</v>
      </c>
      <c r="U153">
        <v>9207.7958980000003</v>
      </c>
      <c r="V153">
        <v>9442.5976559999999</v>
      </c>
      <c r="W153">
        <v>9683.4628909999992</v>
      </c>
      <c r="X153">
        <v>9938.0361329999996</v>
      </c>
      <c r="Y153">
        <v>10197.447265999999</v>
      </c>
      <c r="Z153">
        <v>10463.729492</v>
      </c>
      <c r="AA153">
        <v>10737.53125</v>
      </c>
      <c r="AB153">
        <v>11014.638671999999</v>
      </c>
      <c r="AC153">
        <v>11294.793944999999</v>
      </c>
      <c r="AD153">
        <v>11579.785156</v>
      </c>
      <c r="AE153">
        <v>11874.550781</v>
      </c>
      <c r="AF153">
        <v>12175.328125</v>
      </c>
      <c r="AG153">
        <v>12481.344727</v>
      </c>
      <c r="AH153">
        <v>12798.683594</v>
      </c>
      <c r="AI153">
        <v>3.1E-2</v>
      </c>
      <c r="AK153" s="31"/>
    </row>
    <row r="154" spans="1:37">
      <c r="A154" t="s">
        <v>443</v>
      </c>
      <c r="B154" t="s">
        <v>2308</v>
      </c>
      <c r="C154" t="s">
        <v>2309</v>
      </c>
      <c r="D154" t="s">
        <v>352</v>
      </c>
      <c r="F154">
        <v>1006.3139650000001</v>
      </c>
      <c r="G154">
        <v>929.97729500000003</v>
      </c>
      <c r="H154">
        <v>915.74401899999998</v>
      </c>
      <c r="I154">
        <v>885.57531700000004</v>
      </c>
      <c r="J154">
        <v>882.00024399999995</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-5.0000000000000001E-3</v>
      </c>
    </row>
    <row r="155" spans="1:37">
      <c r="A155" t="s">
        <v>444</v>
      </c>
      <c r="B155" t="s">
        <v>2310</v>
      </c>
      <c r="C155" t="s">
        <v>2311</v>
      </c>
      <c r="D155" t="s">
        <v>352</v>
      </c>
      <c r="F155">
        <v>424.23919699999999</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0</v>
      </c>
      <c r="AK155" s="31"/>
    </row>
    <row r="156" spans="1:37">
      <c r="A156" t="s">
        <v>435</v>
      </c>
      <c r="B156" t="s">
        <v>2312</v>
      </c>
      <c r="C156" t="s">
        <v>2313</v>
      </c>
      <c r="D156" t="s">
        <v>352</v>
      </c>
      <c r="F156">
        <v>203.14300499999999</v>
      </c>
      <c r="G156">
        <v>126.806358</v>
      </c>
      <c r="H156">
        <v>112.57311199999999</v>
      </c>
      <c r="I156">
        <v>82.404433999999995</v>
      </c>
      <c r="J156">
        <v>78.829361000000006</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-3.3000000000000002E-2</v>
      </c>
      <c r="AK156" s="31"/>
    </row>
    <row r="157" spans="1:37">
      <c r="A157" t="s">
        <v>442</v>
      </c>
      <c r="B157" t="s">
        <v>2314</v>
      </c>
      <c r="C157" t="s">
        <v>2315</v>
      </c>
      <c r="D157" t="s">
        <v>352</v>
      </c>
      <c r="F157">
        <v>378.93173200000001</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0</v>
      </c>
    </row>
    <row r="158" spans="1:37">
      <c r="A158" t="s">
        <v>443</v>
      </c>
      <c r="B158" t="s">
        <v>2316</v>
      </c>
      <c r="C158" t="s">
        <v>2317</v>
      </c>
      <c r="D158" t="s">
        <v>352</v>
      </c>
      <c r="F158">
        <v>266.04797400000001</v>
      </c>
      <c r="G158">
        <v>170.712738</v>
      </c>
      <c r="H158">
        <v>138.30586199999999</v>
      </c>
      <c r="I158">
        <v>123.095428</v>
      </c>
      <c r="J158">
        <v>112.566078</v>
      </c>
      <c r="K158">
        <v>107.374397</v>
      </c>
      <c r="L158">
        <v>101.71856699999999</v>
      </c>
      <c r="M158">
        <v>96.288086000000007</v>
      </c>
      <c r="N158">
        <v>92.786163000000002</v>
      </c>
      <c r="O158">
        <v>89.187873999999994</v>
      </c>
      <c r="P158">
        <v>85.512755999999996</v>
      </c>
      <c r="Q158">
        <v>81.777305999999996</v>
      </c>
      <c r="R158">
        <v>77.996605000000002</v>
      </c>
      <c r="S158">
        <v>74.182136999999997</v>
      </c>
      <c r="T158">
        <v>72.422461999999996</v>
      </c>
      <c r="U158">
        <v>70.731658999999993</v>
      </c>
      <c r="V158">
        <v>69.995720000000006</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-4.7E-2</v>
      </c>
    </row>
    <row r="159" spans="1:37">
      <c r="A159" t="s">
        <v>444</v>
      </c>
      <c r="B159" t="s">
        <v>2318</v>
      </c>
      <c r="C159" t="s">
        <v>2319</v>
      </c>
      <c r="D159" t="s">
        <v>352</v>
      </c>
      <c r="F159">
        <v>86.114563000000004</v>
      </c>
      <c r="G159">
        <v>44.512787000000003</v>
      </c>
      <c r="H159">
        <v>32.374214000000002</v>
      </c>
      <c r="I159">
        <v>27.756937000000001</v>
      </c>
      <c r="J159">
        <v>26.085000999999998</v>
      </c>
      <c r="K159">
        <v>24.298714</v>
      </c>
      <c r="L159">
        <v>22.418512</v>
      </c>
      <c r="M159">
        <v>20.465724999999999</v>
      </c>
      <c r="N159">
        <v>18.460314</v>
      </c>
      <c r="O159">
        <v>16.411975999999999</v>
      </c>
      <c r="P159">
        <v>14.329198999999999</v>
      </c>
      <c r="Q159">
        <v>12.218484999999999</v>
      </c>
      <c r="R159">
        <v>10.086786999999999</v>
      </c>
      <c r="S159">
        <v>7.9393599999999998</v>
      </c>
      <c r="T159">
        <v>7.8604390000000004</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-8.2000000000000003E-2</v>
      </c>
      <c r="AK159" s="31"/>
    </row>
    <row r="160" spans="1:37">
      <c r="A160" t="s">
        <v>436</v>
      </c>
      <c r="B160" t="s">
        <v>2320</v>
      </c>
      <c r="C160" t="s">
        <v>2321</v>
      </c>
      <c r="D160" t="s">
        <v>352</v>
      </c>
      <c r="F160">
        <v>69.528046000000003</v>
      </c>
      <c r="G160">
        <v>49.498992999999999</v>
      </c>
      <c r="H160">
        <v>35.909084</v>
      </c>
      <c r="I160">
        <v>32.318176000000001</v>
      </c>
      <c r="J160">
        <v>29.086359000000002</v>
      </c>
      <c r="K160">
        <v>25.680965</v>
      </c>
      <c r="L160">
        <v>21.905342000000001</v>
      </c>
      <c r="M160">
        <v>18.427647</v>
      </c>
      <c r="N160">
        <v>16.931128999999999</v>
      </c>
      <c r="O160">
        <v>15.381178</v>
      </c>
      <c r="P160">
        <v>13.788842000000001</v>
      </c>
      <c r="Q160">
        <v>12.164104</v>
      </c>
      <c r="R160">
        <v>10.5151</v>
      </c>
      <c r="S160">
        <v>8.8480600000000003</v>
      </c>
      <c r="T160">
        <v>7.1673080000000002</v>
      </c>
      <c r="U160">
        <v>5.4765050000000004</v>
      </c>
      <c r="V160">
        <v>4.7405619999999997</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-9.0999999999999998E-2</v>
      </c>
      <c r="AK160" s="31"/>
    </row>
    <row r="161" spans="1:37">
      <c r="A161" t="s">
        <v>442</v>
      </c>
      <c r="B161" t="s">
        <v>2322</v>
      </c>
      <c r="C161" t="s">
        <v>2323</v>
      </c>
      <c r="D161" t="s">
        <v>352</v>
      </c>
      <c r="F161">
        <v>110.405357</v>
      </c>
      <c r="G161">
        <v>76.700965999999994</v>
      </c>
      <c r="H161">
        <v>70.022568000000007</v>
      </c>
      <c r="I161">
        <v>63.020316999999999</v>
      </c>
      <c r="J161">
        <v>57.394717999999997</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-2.3E-2</v>
      </c>
      <c r="AK161" s="31"/>
    </row>
    <row r="162" spans="1:37">
      <c r="A162" t="s">
        <v>443</v>
      </c>
      <c r="B162" t="s">
        <v>2324</v>
      </c>
      <c r="C162" t="s">
        <v>2325</v>
      </c>
      <c r="D162" t="s">
        <v>352</v>
      </c>
      <c r="F162">
        <v>255.18034399999999</v>
      </c>
      <c r="G162">
        <v>165.69035299999999</v>
      </c>
      <c r="H162">
        <v>138.63046299999999</v>
      </c>
      <c r="I162">
        <v>118.96978799999999</v>
      </c>
      <c r="J162">
        <v>112.390823</v>
      </c>
      <c r="K162">
        <v>110.509995</v>
      </c>
      <c r="L162">
        <v>108.817245</v>
      </c>
      <c r="M162">
        <v>107.29376999999999</v>
      </c>
      <c r="N162">
        <v>104.258888</v>
      </c>
      <c r="O162">
        <v>101.39572099999999</v>
      </c>
      <c r="P162">
        <v>98.633217000000002</v>
      </c>
      <c r="Q162">
        <v>97.149422000000001</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97.149428999999998</v>
      </c>
      <c r="AD162">
        <v>97.149428999999998</v>
      </c>
      <c r="AE162">
        <v>97.149428999999998</v>
      </c>
      <c r="AF162">
        <v>97.149428999999998</v>
      </c>
      <c r="AG162">
        <v>97.149428999999998</v>
      </c>
      <c r="AH162">
        <v>97.149428999999998</v>
      </c>
      <c r="AI162">
        <v>-3.4000000000000002E-2</v>
      </c>
    </row>
    <row r="163" spans="1:37">
      <c r="A163" t="s">
        <v>444</v>
      </c>
      <c r="B163" t="s">
        <v>2326</v>
      </c>
      <c r="C163" t="s">
        <v>2327</v>
      </c>
      <c r="D163" t="s">
        <v>352</v>
      </c>
      <c r="F163">
        <v>176.74487300000001</v>
      </c>
      <c r="G163">
        <v>109.585869</v>
      </c>
      <c r="H163">
        <v>93.047302000000002</v>
      </c>
      <c r="I163">
        <v>77.944939000000005</v>
      </c>
      <c r="J163">
        <v>73.497223000000005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73.497230999999999</v>
      </c>
      <c r="AD163">
        <v>73.497230999999999</v>
      </c>
      <c r="AE163">
        <v>73.497230999999999</v>
      </c>
      <c r="AF163">
        <v>73.497230999999999</v>
      </c>
      <c r="AG163">
        <v>73.497230999999999</v>
      </c>
      <c r="AH163">
        <v>73.497230999999999</v>
      </c>
      <c r="AI163">
        <v>-3.1E-2</v>
      </c>
    </row>
    <row r="164" spans="1:37">
      <c r="A164" t="s">
        <v>437</v>
      </c>
      <c r="B164" t="s">
        <v>2328</v>
      </c>
      <c r="C164" t="s">
        <v>2329</v>
      </c>
      <c r="D164" t="s">
        <v>352</v>
      </c>
      <c r="F164">
        <v>42.452908000000001</v>
      </c>
      <c r="G164">
        <v>31.769736999999999</v>
      </c>
      <c r="H164">
        <v>23.220168999999999</v>
      </c>
      <c r="I164">
        <v>20.898153000000001</v>
      </c>
      <c r="J164">
        <v>18.808337999999999</v>
      </c>
      <c r="K164">
        <v>16.927503999999999</v>
      </c>
      <c r="L164">
        <v>15.234753</v>
      </c>
      <c r="M164">
        <v>13.711278999999999</v>
      </c>
      <c r="N164">
        <v>10.676397</v>
      </c>
      <c r="O164">
        <v>7.8132299999999999</v>
      </c>
      <c r="P164">
        <v>5.0507299999999997</v>
      </c>
      <c r="Q164">
        <v>3.566935</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-8.5000000000000006E-2</v>
      </c>
      <c r="AK164" s="31"/>
    </row>
    <row r="165" spans="1:37">
      <c r="A165" t="s">
        <v>442</v>
      </c>
      <c r="B165" t="s">
        <v>2330</v>
      </c>
      <c r="C165" t="s">
        <v>2331</v>
      </c>
      <c r="D165" t="s">
        <v>352</v>
      </c>
      <c r="F165">
        <v>35.982559000000002</v>
      </c>
      <c r="G165">
        <v>24.334745000000002</v>
      </c>
      <c r="H165">
        <v>22.362997</v>
      </c>
      <c r="I165">
        <v>20.126698000000001</v>
      </c>
      <c r="J165">
        <v>20.085263999999999</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-2.1000000000000001E-2</v>
      </c>
    </row>
    <row r="166" spans="1:37">
      <c r="A166" t="s">
        <v>443</v>
      </c>
      <c r="B166" t="s">
        <v>2332</v>
      </c>
      <c r="C166" t="s">
        <v>2333</v>
      </c>
      <c r="D166" t="s">
        <v>352</v>
      </c>
      <c r="F166">
        <v>2059.9228520000001</v>
      </c>
      <c r="G166">
        <v>1218.6407469999999</v>
      </c>
      <c r="H166">
        <v>963.82665999999995</v>
      </c>
      <c r="I166">
        <v>870.02697799999999</v>
      </c>
      <c r="J166">
        <v>784.92907700000001</v>
      </c>
      <c r="K166">
        <v>707.61938499999997</v>
      </c>
      <c r="L166">
        <v>628.46069299999999</v>
      </c>
      <c r="M166">
        <v>550.20471199999997</v>
      </c>
      <c r="N166">
        <v>498.102936</v>
      </c>
      <c r="O166">
        <v>451.17572000000001</v>
      </c>
      <c r="P166">
        <v>408.19845600000002</v>
      </c>
      <c r="Q166">
        <v>408.19842499999999</v>
      </c>
      <c r="R166">
        <v>408.19842499999999</v>
      </c>
      <c r="S166">
        <v>408.19842499999999</v>
      </c>
      <c r="T166">
        <v>408.19842499999999</v>
      </c>
      <c r="U166">
        <v>408.19845600000002</v>
      </c>
      <c r="V166">
        <v>408.19845600000002</v>
      </c>
      <c r="W166">
        <v>408.19845600000002</v>
      </c>
      <c r="X166">
        <v>408.19845600000002</v>
      </c>
      <c r="Y166">
        <v>408.19842499999999</v>
      </c>
      <c r="Z166">
        <v>408.19845600000002</v>
      </c>
      <c r="AA166">
        <v>408.19845600000002</v>
      </c>
      <c r="AB166">
        <v>408.19845600000002</v>
      </c>
      <c r="AC166">
        <v>408.19845600000002</v>
      </c>
      <c r="AD166">
        <v>408.19845600000002</v>
      </c>
      <c r="AE166">
        <v>408.19845600000002</v>
      </c>
      <c r="AF166">
        <v>408.19845600000002</v>
      </c>
      <c r="AG166">
        <v>408.19845600000002</v>
      </c>
      <c r="AH166">
        <v>408.19845600000002</v>
      </c>
      <c r="AI166">
        <v>-5.6000000000000001E-2</v>
      </c>
    </row>
    <row r="167" spans="1:37">
      <c r="A167" t="s">
        <v>444</v>
      </c>
      <c r="B167" t="s">
        <v>2334</v>
      </c>
      <c r="C167" t="s">
        <v>2335</v>
      </c>
      <c r="D167" t="s">
        <v>352</v>
      </c>
      <c r="F167">
        <v>1324.1632079999999</v>
      </c>
      <c r="G167">
        <v>714.668274</v>
      </c>
      <c r="H167">
        <v>542.02996800000005</v>
      </c>
      <c r="I167">
        <v>487.82711799999998</v>
      </c>
      <c r="J167">
        <v>439.04440299999999</v>
      </c>
      <c r="K167">
        <v>395.13995399999999</v>
      </c>
      <c r="L167">
        <v>346.599335</v>
      </c>
      <c r="M167">
        <v>290.41449</v>
      </c>
      <c r="N167">
        <v>238.97058100000001</v>
      </c>
      <c r="O167">
        <v>192.04336499999999</v>
      </c>
      <c r="P167">
        <v>149.066101</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-7.4999999999999997E-2</v>
      </c>
      <c r="AK167" s="31"/>
    </row>
    <row r="168" spans="1:37">
      <c r="A168" t="s">
        <v>438</v>
      </c>
      <c r="B168" t="s">
        <v>2336</v>
      </c>
      <c r="C168" t="s">
        <v>2337</v>
      </c>
      <c r="D168" t="s">
        <v>352</v>
      </c>
      <c r="F168">
        <v>484.799713</v>
      </c>
      <c r="G168">
        <v>314.60144000000003</v>
      </c>
      <c r="H168">
        <v>237.81433100000001</v>
      </c>
      <c r="I168">
        <v>198.21752900000001</v>
      </c>
      <c r="J168">
        <v>161.902298</v>
      </c>
      <c r="K168">
        <v>128.497131</v>
      </c>
      <c r="L168">
        <v>97.878983000000005</v>
      </c>
      <c r="M168">
        <v>75.807929999999999</v>
      </c>
      <c r="N168">
        <v>75.150024000000002</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-6.4000000000000001E-2</v>
      </c>
      <c r="AK168" s="31"/>
    </row>
    <row r="169" spans="1:37">
      <c r="A169" t="s">
        <v>442</v>
      </c>
      <c r="B169" t="s">
        <v>2338</v>
      </c>
      <c r="C169" t="s">
        <v>2339</v>
      </c>
      <c r="D169" t="s">
        <v>352</v>
      </c>
      <c r="F169">
        <v>250.96000699999999</v>
      </c>
      <c r="G169">
        <v>189.37101699999999</v>
      </c>
      <c r="H169">
        <v>183.98232999999999</v>
      </c>
      <c r="I169">
        <v>183.98232999999999</v>
      </c>
      <c r="J169">
        <v>183.98232999999999</v>
      </c>
      <c r="K169">
        <v>183.98232999999999</v>
      </c>
      <c r="L169">
        <v>183.98232999999999</v>
      </c>
      <c r="M169">
        <v>183.98232999999999</v>
      </c>
      <c r="N169">
        <v>183.98232999999999</v>
      </c>
      <c r="O169">
        <v>183.98232999999999</v>
      </c>
      <c r="P169">
        <v>183.98232999999999</v>
      </c>
      <c r="Q169">
        <v>183.982315</v>
      </c>
      <c r="R169">
        <v>183.982315</v>
      </c>
      <c r="S169">
        <v>183.982315</v>
      </c>
      <c r="T169">
        <v>183.982315</v>
      </c>
      <c r="U169">
        <v>183.98232999999999</v>
      </c>
      <c r="V169">
        <v>183.98232999999999</v>
      </c>
      <c r="W169">
        <v>183.98232999999999</v>
      </c>
      <c r="X169">
        <v>183.98232999999999</v>
      </c>
      <c r="Y169">
        <v>183.982315</v>
      </c>
      <c r="Z169">
        <v>183.98232999999999</v>
      </c>
      <c r="AA169">
        <v>183.98232999999999</v>
      </c>
      <c r="AB169">
        <v>183.98232999999999</v>
      </c>
      <c r="AC169">
        <v>183.98232999999999</v>
      </c>
      <c r="AD169">
        <v>183.98232999999999</v>
      </c>
      <c r="AE169">
        <v>183.98232999999999</v>
      </c>
      <c r="AF169">
        <v>183.98232999999999</v>
      </c>
      <c r="AG169">
        <v>183.98232999999999</v>
      </c>
      <c r="AH169">
        <v>183.98232999999999</v>
      </c>
      <c r="AI169">
        <v>-1.0999999999999999E-2</v>
      </c>
    </row>
    <row r="170" spans="1:37">
      <c r="A170" t="s">
        <v>443</v>
      </c>
      <c r="B170" t="s">
        <v>2340</v>
      </c>
      <c r="C170" t="s">
        <v>2341</v>
      </c>
      <c r="D170" t="s">
        <v>352</v>
      </c>
      <c r="F170">
        <v>335.07922400000001</v>
      </c>
      <c r="G170">
        <v>194.82225</v>
      </c>
      <c r="H170">
        <v>139.01885999999999</v>
      </c>
      <c r="I170">
        <v>124.229919</v>
      </c>
      <c r="J170">
        <v>110.905174</v>
      </c>
      <c r="K170">
        <v>98.454811000000007</v>
      </c>
      <c r="L170">
        <v>87.107299999999995</v>
      </c>
      <c r="M170">
        <v>76.839293999999995</v>
      </c>
      <c r="N170">
        <v>67.519974000000005</v>
      </c>
      <c r="O170">
        <v>59.045577999999999</v>
      </c>
      <c r="P170">
        <v>51.161724</v>
      </c>
      <c r="Q170">
        <v>44.510548</v>
      </c>
      <c r="R170">
        <v>38.474544999999999</v>
      </c>
      <c r="S170">
        <v>32.924168000000002</v>
      </c>
      <c r="T170">
        <v>27.800888</v>
      </c>
      <c r="U170">
        <v>24.379507</v>
      </c>
      <c r="V170">
        <v>21.264323999999998</v>
      </c>
      <c r="W170">
        <v>18.670748</v>
      </c>
      <c r="X170">
        <v>15.928122999999999</v>
      </c>
      <c r="Y170">
        <v>13.044271999999999</v>
      </c>
      <c r="Z170">
        <v>12.178706999999999</v>
      </c>
      <c r="AA170">
        <v>11.989924999999999</v>
      </c>
      <c r="AB170">
        <v>11.795987999999999</v>
      </c>
      <c r="AC170">
        <v>11.597486</v>
      </c>
      <c r="AD170">
        <v>11.394876</v>
      </c>
      <c r="AE170">
        <v>11.187994</v>
      </c>
      <c r="AF170">
        <v>10.976607</v>
      </c>
      <c r="AG170">
        <v>10.760661000000001</v>
      </c>
      <c r="AH170">
        <v>10.540265</v>
      </c>
      <c r="AI170">
        <v>-0.11600000000000001</v>
      </c>
    </row>
    <row r="171" spans="1:37">
      <c r="A171" t="s">
        <v>444</v>
      </c>
      <c r="B171" t="s">
        <v>2342</v>
      </c>
      <c r="C171" t="s">
        <v>2343</v>
      </c>
      <c r="D171" t="s">
        <v>352</v>
      </c>
      <c r="F171">
        <v>113.07814</v>
      </c>
      <c r="G171">
        <v>48.445374000000001</v>
      </c>
      <c r="H171">
        <v>35.540539000000003</v>
      </c>
      <c r="I171">
        <v>31.986484999999998</v>
      </c>
      <c r="J171">
        <v>28.787834</v>
      </c>
      <c r="K171">
        <v>25.487801000000001</v>
      </c>
      <c r="L171">
        <v>22.428457000000002</v>
      </c>
      <c r="M171">
        <v>19.687173999999999</v>
      </c>
      <c r="N171">
        <v>17.222815000000001</v>
      </c>
      <c r="O171">
        <v>15.008677</v>
      </c>
      <c r="P171">
        <v>13.03668</v>
      </c>
      <c r="Q171">
        <v>11.284215</v>
      </c>
      <c r="R171">
        <v>9.7246670000000002</v>
      </c>
      <c r="S171">
        <v>8.3324320000000007</v>
      </c>
      <c r="T171">
        <v>7.0856149999999998</v>
      </c>
      <c r="U171">
        <v>5.9657539999999996</v>
      </c>
      <c r="V171">
        <v>5.2916679999999996</v>
      </c>
      <c r="W171">
        <v>5.2821619999999996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-0.104</v>
      </c>
      <c r="AK171" s="31"/>
    </row>
    <row r="172" spans="1:37">
      <c r="A172" t="s">
        <v>439</v>
      </c>
      <c r="B172" t="s">
        <v>2344</v>
      </c>
      <c r="C172" t="s">
        <v>2345</v>
      </c>
      <c r="D172" t="s">
        <v>352</v>
      </c>
      <c r="F172">
        <v>175.613663</v>
      </c>
      <c r="G172">
        <v>126.44901299999999</v>
      </c>
      <c r="H172">
        <v>88.821647999999996</v>
      </c>
      <c r="I172">
        <v>79.052422000000007</v>
      </c>
      <c r="J172">
        <v>70.245429999999999</v>
      </c>
      <c r="K172">
        <v>62.282294999999998</v>
      </c>
      <c r="L172">
        <v>55.062592000000002</v>
      </c>
      <c r="M172">
        <v>48.497498</v>
      </c>
      <c r="N172">
        <v>42.507995999999999</v>
      </c>
      <c r="O172">
        <v>37.026657</v>
      </c>
      <c r="P172">
        <v>31.994305000000001</v>
      </c>
      <c r="Q172">
        <v>27.354799</v>
      </c>
      <c r="R172">
        <v>23.063984000000001</v>
      </c>
      <c r="S172">
        <v>19.085433999999999</v>
      </c>
      <c r="T172">
        <v>15.383335000000001</v>
      </c>
      <c r="U172">
        <v>13.251818</v>
      </c>
      <c r="V172">
        <v>10.976982</v>
      </c>
      <c r="W172">
        <v>8.5559709999999995</v>
      </c>
      <c r="X172">
        <v>5.9901410000000004</v>
      </c>
      <c r="Y172">
        <v>3.2862130000000001</v>
      </c>
      <c r="Z172">
        <v>2.6045750000000001</v>
      </c>
      <c r="AA172">
        <v>2.6045750000000001</v>
      </c>
      <c r="AB172">
        <v>2.6045750000000001</v>
      </c>
      <c r="AC172">
        <v>2.6045750000000001</v>
      </c>
      <c r="AD172">
        <v>2.6045750000000001</v>
      </c>
      <c r="AE172">
        <v>2.6045750000000001</v>
      </c>
      <c r="AF172">
        <v>2.6045750000000001</v>
      </c>
      <c r="AG172">
        <v>2.6045750000000001</v>
      </c>
      <c r="AH172">
        <v>2.6045750000000001</v>
      </c>
      <c r="AI172">
        <v>-0.14000000000000001</v>
      </c>
      <c r="AK172" s="31"/>
    </row>
    <row r="173" spans="1:37">
      <c r="A173" t="s">
        <v>442</v>
      </c>
      <c r="B173" t="s">
        <v>2346</v>
      </c>
      <c r="C173" t="s">
        <v>2347</v>
      </c>
      <c r="D173" t="s">
        <v>352</v>
      </c>
      <c r="F173">
        <v>46.387431999999997</v>
      </c>
      <c r="G173">
        <v>19.927868</v>
      </c>
      <c r="H173">
        <v>14.656675</v>
      </c>
      <c r="I173">
        <v>13.191008999999999</v>
      </c>
      <c r="J173">
        <v>11.871907</v>
      </c>
      <c r="K173">
        <v>10.684716999999999</v>
      </c>
      <c r="L173">
        <v>9.6162449999999993</v>
      </c>
      <c r="M173">
        <v>8.6546210000000006</v>
      </c>
      <c r="N173">
        <v>7.7891589999999997</v>
      </c>
      <c r="O173">
        <v>7.0102419999999999</v>
      </c>
      <c r="P173">
        <v>6.1307429999999998</v>
      </c>
      <c r="Q173">
        <v>5.8715310000000001</v>
      </c>
      <c r="R173">
        <v>5.6858940000000002</v>
      </c>
      <c r="S173">
        <v>5.5063019999999998</v>
      </c>
      <c r="T173">
        <v>5.3319380000000001</v>
      </c>
      <c r="U173">
        <v>5.1619359999999999</v>
      </c>
      <c r="V173">
        <v>4.9956740000000002</v>
      </c>
      <c r="W173">
        <v>4.8326140000000004</v>
      </c>
      <c r="X173">
        <v>4.6558190000000002</v>
      </c>
      <c r="Y173">
        <v>4.4758969999999998</v>
      </c>
      <c r="Z173">
        <v>4.2919710000000002</v>
      </c>
      <c r="AA173">
        <v>4.1031880000000003</v>
      </c>
      <c r="AB173">
        <v>3.9092519999999999</v>
      </c>
      <c r="AC173">
        <v>3.7107489999999999</v>
      </c>
      <c r="AD173">
        <v>3.50814</v>
      </c>
      <c r="AE173">
        <v>3.3012570000000001</v>
      </c>
      <c r="AF173">
        <v>3.0898699999999999</v>
      </c>
      <c r="AG173">
        <v>2.8739240000000001</v>
      </c>
      <c r="AH173">
        <v>2.6535280000000001</v>
      </c>
      <c r="AI173">
        <v>-9.7000000000000003E-2</v>
      </c>
    </row>
    <row r="174" spans="1:37">
      <c r="A174" t="s">
        <v>443</v>
      </c>
      <c r="B174" t="s">
        <v>2348</v>
      </c>
      <c r="C174" t="s">
        <v>2349</v>
      </c>
      <c r="D174" t="s">
        <v>352</v>
      </c>
      <c r="F174">
        <v>353.40905800000002</v>
      </c>
      <c r="G174">
        <v>213.52795399999999</v>
      </c>
      <c r="H174">
        <v>157.54873699999999</v>
      </c>
      <c r="I174">
        <v>145.111908</v>
      </c>
      <c r="J174">
        <v>135.32351700000001</v>
      </c>
      <c r="K174">
        <v>125.88288900000001</v>
      </c>
      <c r="L174">
        <v>111.969368</v>
      </c>
      <c r="M174">
        <v>99.629081999999997</v>
      </c>
      <c r="N174">
        <v>88.645072999999996</v>
      </c>
      <c r="O174">
        <v>78.824592999999993</v>
      </c>
      <c r="P174">
        <v>70.017928999999995</v>
      </c>
      <c r="Q174">
        <v>65.383362000000005</v>
      </c>
      <c r="R174">
        <v>63.863357999999998</v>
      </c>
      <c r="S174">
        <v>62.495353999999999</v>
      </c>
      <c r="T174">
        <v>61.264149000000003</v>
      </c>
      <c r="U174">
        <v>60.156067</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-6.0999999999999999E-2</v>
      </c>
      <c r="AK174" s="31"/>
    </row>
    <row r="175" spans="1:37">
      <c r="A175" t="s">
        <v>444</v>
      </c>
      <c r="B175" t="s">
        <v>2350</v>
      </c>
      <c r="C175" t="s">
        <v>2351</v>
      </c>
      <c r="D175" t="s">
        <v>352</v>
      </c>
      <c r="F175">
        <v>154.03796399999999</v>
      </c>
      <c r="G175">
        <v>98.004524000000004</v>
      </c>
      <c r="H175">
        <v>69.525931999999997</v>
      </c>
      <c r="I175">
        <v>62.573345000000003</v>
      </c>
      <c r="J175">
        <v>56.316009999999999</v>
      </c>
      <c r="K175">
        <v>50.053317999999997</v>
      </c>
      <c r="L175">
        <v>38.999957999999999</v>
      </c>
      <c r="M175">
        <v>29.233812</v>
      </c>
      <c r="N175">
        <v>20.56653</v>
      </c>
      <c r="O175">
        <v>12.831099999999999</v>
      </c>
      <c r="P175">
        <v>5.9009900000000002</v>
      </c>
      <c r="Q175">
        <v>2.9553090000000002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-0.13200000000000001</v>
      </c>
    </row>
    <row r="176" spans="1:37">
      <c r="A176" t="s">
        <v>118</v>
      </c>
      <c r="B176" t="s">
        <v>2352</v>
      </c>
      <c r="C176" t="s">
        <v>2353</v>
      </c>
      <c r="D176" t="s">
        <v>352</v>
      </c>
      <c r="F176">
        <v>73.082779000000002</v>
      </c>
      <c r="G176">
        <v>53.752270000000003</v>
      </c>
      <c r="H176">
        <v>39.233955000000002</v>
      </c>
      <c r="I176">
        <v>35.310558</v>
      </c>
      <c r="J176">
        <v>31.779502999999998</v>
      </c>
      <c r="K176">
        <v>28.601555000000001</v>
      </c>
      <c r="L176">
        <v>25.741398</v>
      </c>
      <c r="M176">
        <v>23.167259000000001</v>
      </c>
      <c r="N176">
        <v>20.850532999999999</v>
      </c>
      <c r="O176">
        <v>18.76548</v>
      </c>
      <c r="P176">
        <v>16.888930999999999</v>
      </c>
      <c r="Q176">
        <v>15.200037</v>
      </c>
      <c r="R176">
        <v>13.680033999999999</v>
      </c>
      <c r="S176">
        <v>12.312030999999999</v>
      </c>
      <c r="T176">
        <v>11.080828</v>
      </c>
      <c r="U176">
        <v>9.9727440000000005</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-6.9000000000000006E-2</v>
      </c>
      <c r="AK176" s="31"/>
    </row>
    <row r="177" spans="1:37">
      <c r="A177" t="s">
        <v>124</v>
      </c>
    </row>
    <row r="178" spans="1:37" s="14" customFormat="1">
      <c r="A178" s="14" t="s">
        <v>427</v>
      </c>
      <c r="B178" s="14" t="s">
        <v>2354</v>
      </c>
      <c r="C178" s="14" t="s">
        <v>2355</v>
      </c>
      <c r="D178" s="14" t="s">
        <v>352</v>
      </c>
      <c r="F178" s="14">
        <v>126.288307</v>
      </c>
      <c r="G178" s="14">
        <v>61.771155999999998</v>
      </c>
      <c r="H178" s="14">
        <v>48.788840999999998</v>
      </c>
      <c r="I178" s="14">
        <v>47.228012</v>
      </c>
      <c r="J178" s="14">
        <v>47.228012</v>
      </c>
      <c r="K178" s="14">
        <v>47.228012</v>
      </c>
      <c r="L178" s="14">
        <v>47.228012</v>
      </c>
      <c r="M178" s="14">
        <v>47.228012</v>
      </c>
      <c r="N178" s="14">
        <v>47.228012</v>
      </c>
      <c r="O178" s="14">
        <v>47.228012</v>
      </c>
      <c r="P178" s="14">
        <v>47.228012</v>
      </c>
      <c r="Q178" s="14">
        <v>47.228012</v>
      </c>
      <c r="R178" s="14">
        <v>47.228012</v>
      </c>
      <c r="S178" s="14">
        <v>47.228012</v>
      </c>
      <c r="T178" s="14">
        <v>47.228012</v>
      </c>
      <c r="U178" s="14">
        <v>47.228012</v>
      </c>
      <c r="V178" s="14">
        <v>47.228012</v>
      </c>
      <c r="W178" s="14">
        <v>47.228012</v>
      </c>
      <c r="X178" s="14">
        <v>47.228012</v>
      </c>
      <c r="Y178" s="14">
        <v>47.228012</v>
      </c>
      <c r="Z178" s="14">
        <v>47.228012</v>
      </c>
      <c r="AA178" s="14">
        <v>47.228012</v>
      </c>
      <c r="AB178" s="14">
        <v>47.228012</v>
      </c>
      <c r="AC178" s="14">
        <v>47.228012</v>
      </c>
      <c r="AD178" s="14">
        <v>47.228012</v>
      </c>
      <c r="AE178" s="14">
        <v>47.228012</v>
      </c>
      <c r="AF178" s="14">
        <v>47.228012</v>
      </c>
      <c r="AG178" s="14">
        <v>47.228012</v>
      </c>
      <c r="AH178" s="14">
        <v>47.228012</v>
      </c>
      <c r="AI178" s="14">
        <v>-3.5000000000000003E-2</v>
      </c>
      <c r="AK178" s="161"/>
    </row>
    <row r="179" spans="1:37">
      <c r="A179" t="s">
        <v>428</v>
      </c>
      <c r="B179" t="s">
        <v>2356</v>
      </c>
      <c r="C179" t="s">
        <v>2357</v>
      </c>
      <c r="D179" t="s">
        <v>352</v>
      </c>
      <c r="F179">
        <v>210.24963399999999</v>
      </c>
      <c r="G179">
        <v>152.784164</v>
      </c>
      <c r="H179">
        <v>111.567795</v>
      </c>
      <c r="I179">
        <v>98.639037999999999</v>
      </c>
      <c r="J179">
        <v>86.856323000000003</v>
      </c>
      <c r="K179">
        <v>75.999251999999998</v>
      </c>
      <c r="L179">
        <v>65.975616000000002</v>
      </c>
      <c r="M179">
        <v>56.722923000000002</v>
      </c>
      <c r="N179">
        <v>48.161895999999999</v>
      </c>
      <c r="O179">
        <v>40.345588999999997</v>
      </c>
      <c r="P179">
        <v>33.245693000000003</v>
      </c>
      <c r="Q179">
        <v>29.267551000000001</v>
      </c>
      <c r="R179">
        <v>26.414705000000001</v>
      </c>
      <c r="S179">
        <v>23.853442999999999</v>
      </c>
      <c r="T179">
        <v>23.720967999999999</v>
      </c>
      <c r="U179">
        <v>23.587569999999999</v>
      </c>
      <c r="V179">
        <v>23.453227999999999</v>
      </c>
      <c r="W179">
        <v>23.317212999999999</v>
      </c>
      <c r="X179">
        <v>23.179047000000001</v>
      </c>
      <c r="Y179">
        <v>23.038218000000001</v>
      </c>
      <c r="Z179">
        <v>22.894984999999998</v>
      </c>
      <c r="AA179">
        <v>22.749956000000001</v>
      </c>
      <c r="AB179">
        <v>22.603401000000002</v>
      </c>
      <c r="AC179">
        <v>22.455750999999999</v>
      </c>
      <c r="AD179">
        <v>22.30752</v>
      </c>
      <c r="AE179">
        <v>22.158833999999999</v>
      </c>
      <c r="AF179">
        <v>22.009346000000001</v>
      </c>
      <c r="AG179">
        <v>21.858713000000002</v>
      </c>
      <c r="AH179">
        <v>21.706671</v>
      </c>
      <c r="AI179">
        <v>-7.8E-2</v>
      </c>
      <c r="AK179" s="31"/>
    </row>
    <row r="180" spans="1:37">
      <c r="A180" t="s">
        <v>429</v>
      </c>
      <c r="B180" t="s">
        <v>2358</v>
      </c>
      <c r="C180" t="s">
        <v>2359</v>
      </c>
      <c r="D180" t="s">
        <v>352</v>
      </c>
      <c r="F180">
        <v>126.640762</v>
      </c>
      <c r="G180">
        <v>95.785438999999997</v>
      </c>
      <c r="H180">
        <v>72.129401999999999</v>
      </c>
      <c r="I180">
        <v>64.840652000000006</v>
      </c>
      <c r="J180">
        <v>58.27422</v>
      </c>
      <c r="K180">
        <v>52.348117999999999</v>
      </c>
      <c r="L180">
        <v>47.006259999999997</v>
      </c>
      <c r="M180">
        <v>42.193066000000002</v>
      </c>
      <c r="N180">
        <v>37.856502999999996</v>
      </c>
      <c r="O180">
        <v>33.952309</v>
      </c>
      <c r="P180">
        <v>30.440014000000001</v>
      </c>
      <c r="Q180">
        <v>27.279824999999999</v>
      </c>
      <c r="R180">
        <v>24.435047000000001</v>
      </c>
      <c r="S180">
        <v>21.873785000000002</v>
      </c>
      <c r="T180">
        <v>21.741309999999999</v>
      </c>
      <c r="U180">
        <v>21.607911999999999</v>
      </c>
      <c r="V180">
        <v>21.473569999999999</v>
      </c>
      <c r="W180">
        <v>21.337554999999998</v>
      </c>
      <c r="X180">
        <v>21.199389</v>
      </c>
      <c r="Y180">
        <v>21.058558999999999</v>
      </c>
      <c r="Z180">
        <v>20.915327000000001</v>
      </c>
      <c r="AA180">
        <v>20.770298</v>
      </c>
      <c r="AB180">
        <v>20.623743000000001</v>
      </c>
      <c r="AC180">
        <v>20.476092999999999</v>
      </c>
      <c r="AD180">
        <v>20.327862</v>
      </c>
      <c r="AE180">
        <v>20.179175999999998</v>
      </c>
      <c r="AF180">
        <v>20.029688</v>
      </c>
      <c r="AG180">
        <v>19.879055000000001</v>
      </c>
      <c r="AH180">
        <v>19.727012999999999</v>
      </c>
      <c r="AI180">
        <v>-6.4000000000000001E-2</v>
      </c>
      <c r="AK180" s="31"/>
    </row>
    <row r="181" spans="1:37">
      <c r="A181" t="s">
        <v>430</v>
      </c>
      <c r="B181" t="s">
        <v>2360</v>
      </c>
      <c r="C181" t="s">
        <v>2361</v>
      </c>
      <c r="D181" t="s">
        <v>352</v>
      </c>
      <c r="F181">
        <v>83.226737999999997</v>
      </c>
      <c r="G181">
        <v>56.659157</v>
      </c>
      <c r="H181">
        <v>39.104075999999999</v>
      </c>
      <c r="I181">
        <v>33.464066000000003</v>
      </c>
      <c r="J181">
        <v>28.247779999999999</v>
      </c>
      <c r="K181">
        <v>23.316818000000001</v>
      </c>
      <c r="L181">
        <v>18.635035999999999</v>
      </c>
      <c r="M181">
        <v>14.195537</v>
      </c>
      <c r="N181">
        <v>9.9710710000000002</v>
      </c>
      <c r="O181">
        <v>6.058961</v>
      </c>
      <c r="P181">
        <v>2.4713579999999999</v>
      </c>
      <c r="Q181">
        <v>1.6534059999999999</v>
      </c>
      <c r="R181">
        <v>1.645338</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-0.13100000000000001</v>
      </c>
      <c r="AK181" s="31"/>
    </row>
    <row r="182" spans="1:37">
      <c r="A182" t="s">
        <v>431</v>
      </c>
      <c r="B182" t="s">
        <v>2362</v>
      </c>
      <c r="C182" t="s">
        <v>2363</v>
      </c>
      <c r="D182" t="s">
        <v>352</v>
      </c>
      <c r="F182">
        <v>0.38214100000000001</v>
      </c>
      <c r="G182">
        <v>0.33956199999999997</v>
      </c>
      <c r="H182">
        <v>0.33431899999999998</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-5.0000000000000001E-3</v>
      </c>
      <c r="AK182" s="31"/>
    </row>
    <row r="183" spans="1:37">
      <c r="A183" t="s">
        <v>432</v>
      </c>
      <c r="B183" t="s">
        <v>2364</v>
      </c>
      <c r="C183" t="s">
        <v>2365</v>
      </c>
      <c r="D183" t="s">
        <v>352</v>
      </c>
      <c r="F183">
        <v>256.09021000000001</v>
      </c>
      <c r="G183">
        <v>242.99357599999999</v>
      </c>
      <c r="H183">
        <v>237.404663</v>
      </c>
      <c r="I183">
        <v>233.12211600000001</v>
      </c>
      <c r="J183">
        <v>229.26783800000001</v>
      </c>
      <c r="K183">
        <v>227.34875500000001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-4.0000000000000001E-3</v>
      </c>
      <c r="AK183" s="31"/>
    </row>
    <row r="184" spans="1:37">
      <c r="A184" t="s">
        <v>433</v>
      </c>
      <c r="B184" t="s">
        <v>2366</v>
      </c>
      <c r="C184" t="s">
        <v>2367</v>
      </c>
      <c r="D184" t="s">
        <v>352</v>
      </c>
      <c r="F184">
        <v>140</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0</v>
      </c>
      <c r="AK184" s="31"/>
    </row>
    <row r="185" spans="1:37">
      <c r="A185" t="s">
        <v>434</v>
      </c>
      <c r="B185" t="s">
        <v>2368</v>
      </c>
      <c r="C185" t="s">
        <v>2369</v>
      </c>
      <c r="D185" t="s">
        <v>352</v>
      </c>
      <c r="F185">
        <v>61.510883</v>
      </c>
      <c r="G185">
        <v>48.414265</v>
      </c>
      <c r="H185">
        <v>42.825339999999997</v>
      </c>
      <c r="I185">
        <v>38.542805000000001</v>
      </c>
      <c r="J185">
        <v>34.688521999999999</v>
      </c>
      <c r="K185">
        <v>32.769440000000003</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32.769444</v>
      </c>
      <c r="AA185">
        <v>32.769444</v>
      </c>
      <c r="AB185">
        <v>32.769444</v>
      </c>
      <c r="AC185">
        <v>32.769444</v>
      </c>
      <c r="AD185">
        <v>32.769444</v>
      </c>
      <c r="AE185">
        <v>32.769444</v>
      </c>
      <c r="AF185">
        <v>32.769444</v>
      </c>
      <c r="AG185">
        <v>32.769444</v>
      </c>
      <c r="AH185">
        <v>32.769444</v>
      </c>
      <c r="AI185">
        <v>-2.1999999999999999E-2</v>
      </c>
      <c r="AK185" s="31"/>
    </row>
    <row r="186" spans="1:37">
      <c r="A186" t="s">
        <v>435</v>
      </c>
      <c r="B186" t="s">
        <v>2370</v>
      </c>
      <c r="C186" t="s">
        <v>2371</v>
      </c>
      <c r="D186" t="s">
        <v>352</v>
      </c>
      <c r="F186">
        <v>54.579318999999998</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0</v>
      </c>
      <c r="AK186" s="31"/>
    </row>
    <row r="187" spans="1:37">
      <c r="A187" t="s">
        <v>436</v>
      </c>
      <c r="B187" t="s">
        <v>2372</v>
      </c>
      <c r="C187" t="s">
        <v>2373</v>
      </c>
      <c r="D187" t="s">
        <v>352</v>
      </c>
      <c r="F187">
        <v>499.02520800000002</v>
      </c>
      <c r="G187">
        <v>414.76980600000002</v>
      </c>
      <c r="H187">
        <v>345.484375</v>
      </c>
      <c r="I187">
        <v>310.93591300000003</v>
      </c>
      <c r="J187">
        <v>279.84234600000002</v>
      </c>
      <c r="K187">
        <v>251.858093</v>
      </c>
      <c r="L187">
        <v>226.67228700000001</v>
      </c>
      <c r="M187">
        <v>207.70919799999999</v>
      </c>
      <c r="N187">
        <v>190.85171500000001</v>
      </c>
      <c r="O187">
        <v>180.485443</v>
      </c>
      <c r="P187">
        <v>178.81414799999999</v>
      </c>
      <c r="Q187">
        <v>177.78530900000001</v>
      </c>
      <c r="R187">
        <v>176.741241</v>
      </c>
      <c r="S187">
        <v>175.68330399999999</v>
      </c>
      <c r="T187">
        <v>174.61637899999999</v>
      </c>
      <c r="U187">
        <v>173.53788800000001</v>
      </c>
      <c r="V187">
        <v>172.447845</v>
      </c>
      <c r="W187">
        <v>171.34622200000001</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-3.6999999999999998E-2</v>
      </c>
      <c r="AK187" s="31"/>
    </row>
    <row r="188" spans="1:37">
      <c r="A188" t="s">
        <v>437</v>
      </c>
      <c r="B188" t="s">
        <v>2374</v>
      </c>
      <c r="C188" t="s">
        <v>2375</v>
      </c>
      <c r="D188" t="s">
        <v>352</v>
      </c>
      <c r="F188">
        <v>367.93841600000002</v>
      </c>
      <c r="G188">
        <v>313.36914100000001</v>
      </c>
      <c r="H188">
        <v>261.54748499999999</v>
      </c>
      <c r="I188">
        <v>235.39271500000001</v>
      </c>
      <c r="J188">
        <v>211.85346999999999</v>
      </c>
      <c r="K188">
        <v>190.66810599999999</v>
      </c>
      <c r="L188">
        <v>171.601303</v>
      </c>
      <c r="M188">
        <v>154.441147</v>
      </c>
      <c r="N188">
        <v>138.99705499999999</v>
      </c>
      <c r="O188">
        <v>129.90284700000001</v>
      </c>
      <c r="P188">
        <v>129.37640400000001</v>
      </c>
      <c r="Q188">
        <v>128.34754899999999</v>
      </c>
      <c r="R188">
        <v>127.303505</v>
      </c>
      <c r="S188">
        <v>126.245544</v>
      </c>
      <c r="T188">
        <v>125.178619</v>
      </c>
      <c r="U188">
        <v>124.100128</v>
      </c>
      <c r="V188">
        <v>123.010086</v>
      </c>
      <c r="W188">
        <v>121.908463</v>
      </c>
      <c r="X188">
        <v>121.908463</v>
      </c>
      <c r="Y188">
        <v>121.908463</v>
      </c>
      <c r="Z188">
        <v>121.908463</v>
      </c>
      <c r="AA188">
        <v>121.908463</v>
      </c>
      <c r="AB188">
        <v>121.908463</v>
      </c>
      <c r="AC188">
        <v>121.908463</v>
      </c>
      <c r="AD188">
        <v>121.908463</v>
      </c>
      <c r="AE188">
        <v>121.908463</v>
      </c>
      <c r="AF188">
        <v>121.908463</v>
      </c>
      <c r="AG188">
        <v>121.908463</v>
      </c>
      <c r="AH188">
        <v>121.908463</v>
      </c>
      <c r="AI188">
        <v>-3.9E-2</v>
      </c>
      <c r="AK188" s="31"/>
    </row>
    <row r="189" spans="1:37">
      <c r="A189" t="s">
        <v>438</v>
      </c>
      <c r="B189" t="s">
        <v>2376</v>
      </c>
      <c r="C189" t="s">
        <v>2377</v>
      </c>
      <c r="D189" t="s">
        <v>352</v>
      </c>
      <c r="F189">
        <v>35.046379000000002</v>
      </c>
      <c r="G189">
        <v>28.876242000000001</v>
      </c>
      <c r="H189">
        <v>23.935998999999999</v>
      </c>
      <c r="I189">
        <v>21.542397999999999</v>
      </c>
      <c r="J189">
        <v>19.388159000000002</v>
      </c>
      <c r="K189">
        <v>17.449342999999999</v>
      </c>
      <c r="L189">
        <v>15.704409999999999</v>
      </c>
      <c r="M189">
        <v>14.133967</v>
      </c>
      <c r="N189">
        <v>12.720571</v>
      </c>
      <c r="O189">
        <v>11.448513999999999</v>
      </c>
      <c r="P189">
        <v>10.303661999999999</v>
      </c>
      <c r="Q189">
        <v>10.303661999999999</v>
      </c>
      <c r="R189">
        <v>10.303663</v>
      </c>
      <c r="S189">
        <v>10.303663</v>
      </c>
      <c r="T189">
        <v>10.303663</v>
      </c>
      <c r="U189">
        <v>10.303663</v>
      </c>
      <c r="V189">
        <v>10.303661999999999</v>
      </c>
      <c r="W189">
        <v>10.303661999999999</v>
      </c>
      <c r="X189">
        <v>10.303663</v>
      </c>
      <c r="Y189">
        <v>10.303663</v>
      </c>
      <c r="Z189">
        <v>10.303663</v>
      </c>
      <c r="AA189">
        <v>10.303663</v>
      </c>
      <c r="AB189">
        <v>10.303663</v>
      </c>
      <c r="AC189">
        <v>10.303663</v>
      </c>
      <c r="AD189">
        <v>10.303663</v>
      </c>
      <c r="AE189">
        <v>10.303663</v>
      </c>
      <c r="AF189">
        <v>10.303663</v>
      </c>
      <c r="AG189">
        <v>10.303663</v>
      </c>
      <c r="AH189">
        <v>10.303663</v>
      </c>
      <c r="AI189">
        <v>-4.2999999999999997E-2</v>
      </c>
      <c r="AK189" s="31"/>
    </row>
    <row r="190" spans="1:37">
      <c r="A190" t="s">
        <v>439</v>
      </c>
      <c r="B190" t="s">
        <v>2378</v>
      </c>
      <c r="C190" t="s">
        <v>2379</v>
      </c>
      <c r="D190" t="s">
        <v>352</v>
      </c>
      <c r="F190">
        <v>96.040413000000001</v>
      </c>
      <c r="G190">
        <v>72.524405999999999</v>
      </c>
      <c r="H190">
        <v>60.000881</v>
      </c>
      <c r="I190">
        <v>54.000793000000002</v>
      </c>
      <c r="J190">
        <v>48.600715999999998</v>
      </c>
      <c r="K190">
        <v>43.740642999999999</v>
      </c>
      <c r="L190">
        <v>39.366580999999996</v>
      </c>
      <c r="M190">
        <v>39.134087000000001</v>
      </c>
      <c r="N190">
        <v>39.134087000000001</v>
      </c>
      <c r="O190">
        <v>39.134087000000001</v>
      </c>
      <c r="P190">
        <v>39.134087000000001</v>
      </c>
      <c r="Q190">
        <v>39.134087000000001</v>
      </c>
      <c r="R190">
        <v>39.134087000000001</v>
      </c>
      <c r="S190">
        <v>39.13409</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-3.2000000000000001E-2</v>
      </c>
      <c r="AK190" s="31"/>
    </row>
    <row r="191" spans="1:37">
      <c r="A191" t="s">
        <v>118</v>
      </c>
      <c r="B191" t="s">
        <v>2380</v>
      </c>
      <c r="C191" t="s">
        <v>2381</v>
      </c>
      <c r="D191" t="s">
        <v>352</v>
      </c>
      <c r="F191">
        <v>417.99490400000002</v>
      </c>
      <c r="G191">
        <v>908.06933600000002</v>
      </c>
      <c r="H191">
        <v>656.40655500000003</v>
      </c>
      <c r="I191">
        <v>574.95446800000002</v>
      </c>
      <c r="J191">
        <v>502.13580300000001</v>
      </c>
      <c r="K191">
        <v>433.315247</v>
      </c>
      <c r="L191">
        <v>375.76855499999999</v>
      </c>
      <c r="M191">
        <v>324.72442599999999</v>
      </c>
      <c r="N191">
        <v>277.74047899999999</v>
      </c>
      <c r="O191">
        <v>234.77188100000001</v>
      </c>
      <c r="P191">
        <v>195.24939000000001</v>
      </c>
      <c r="Q191">
        <v>162.08386200000001</v>
      </c>
      <c r="R191">
        <v>139.11180100000001</v>
      </c>
      <c r="S191">
        <v>128.104095</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-4.1000000000000002E-2</v>
      </c>
      <c r="AK191" s="31"/>
    </row>
  </sheetData>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1:AL262"/>
  <sheetViews>
    <sheetView workbookViewId="0"/>
  </sheetViews>
  <sheetFormatPr defaultRowHeight="15" customHeight="1"/>
  <cols>
    <col min="1" max="1" width="18.7109375" style="23" bestFit="1" customWidth="1"/>
    <col min="2" max="2" width="26.5703125" customWidth="1"/>
    <col min="3" max="3" width="82" bestFit="1" customWidth="1"/>
  </cols>
  <sheetData>
    <row r="11" spans="2:36">
      <c r="B11" t="s">
        <v>388</v>
      </c>
    </row>
    <row r="12" spans="2:36">
      <c r="B12" t="s">
        <v>2382</v>
      </c>
    </row>
    <row r="13" spans="2:36">
      <c r="B13" t="s">
        <v>2383</v>
      </c>
    </row>
    <row r="14" spans="2:36">
      <c r="B14" t="s">
        <v>302</v>
      </c>
    </row>
    <row r="15" spans="2:36">
      <c r="C15" t="s">
        <v>303</v>
      </c>
      <c r="D15" t="s">
        <v>351</v>
      </c>
      <c r="E15" t="s">
        <v>352</v>
      </c>
      <c r="F15">
        <v>2021</v>
      </c>
      <c r="G15">
        <v>2022</v>
      </c>
      <c r="H15">
        <v>2023</v>
      </c>
      <c r="I15">
        <v>2024</v>
      </c>
      <c r="J15">
        <v>2025</v>
      </c>
      <c r="K15">
        <v>2026</v>
      </c>
      <c r="L15">
        <v>2027</v>
      </c>
      <c r="M15">
        <v>2028</v>
      </c>
      <c r="N15">
        <v>2029</v>
      </c>
      <c r="O15">
        <v>2030</v>
      </c>
      <c r="P15">
        <v>2031</v>
      </c>
      <c r="Q15">
        <v>2032</v>
      </c>
      <c r="R15">
        <v>2033</v>
      </c>
      <c r="S15">
        <v>2034</v>
      </c>
      <c r="T15">
        <v>2035</v>
      </c>
      <c r="U15">
        <v>2036</v>
      </c>
      <c r="V15">
        <v>2037</v>
      </c>
      <c r="W15">
        <v>2038</v>
      </c>
      <c r="X15">
        <v>2039</v>
      </c>
      <c r="Y15">
        <v>2040</v>
      </c>
      <c r="Z15">
        <v>2041</v>
      </c>
      <c r="AA15">
        <v>2042</v>
      </c>
      <c r="AB15">
        <v>2043</v>
      </c>
      <c r="AC15">
        <v>2044</v>
      </c>
      <c r="AD15">
        <v>2045</v>
      </c>
      <c r="AE15">
        <v>2046</v>
      </c>
      <c r="AF15">
        <v>2047</v>
      </c>
      <c r="AG15">
        <v>2048</v>
      </c>
      <c r="AH15">
        <v>2049</v>
      </c>
      <c r="AI15">
        <v>2050</v>
      </c>
      <c r="AJ15" t="s">
        <v>1079</v>
      </c>
    </row>
    <row r="16" spans="2:36">
      <c r="B16" t="s">
        <v>216</v>
      </c>
    </row>
    <row r="17" spans="1:38">
      <c r="B17" t="s">
        <v>389</v>
      </c>
    </row>
    <row r="18" spans="1:38">
      <c r="B18" t="s">
        <v>341</v>
      </c>
    </row>
    <row r="19" spans="1:38">
      <c r="A19" s="163" t="s">
        <v>114</v>
      </c>
      <c r="B19" t="s">
        <v>327</v>
      </c>
      <c r="C19" t="s">
        <v>2384</v>
      </c>
      <c r="D19" t="s">
        <v>2385</v>
      </c>
      <c r="E19" t="s">
        <v>387</v>
      </c>
      <c r="G19">
        <v>54.392623999999998</v>
      </c>
      <c r="H19">
        <v>53.187412000000002</v>
      </c>
      <c r="I19">
        <v>52.529724000000002</v>
      </c>
      <c r="J19">
        <v>52.479733000000003</v>
      </c>
      <c r="K19">
        <v>52.720959000000001</v>
      </c>
      <c r="L19">
        <v>52.851050999999998</v>
      </c>
      <c r="M19">
        <v>52.993167999999997</v>
      </c>
      <c r="N19">
        <v>53.175175000000003</v>
      </c>
      <c r="O19">
        <v>53.566817999999998</v>
      </c>
      <c r="P19">
        <v>54.220244999999998</v>
      </c>
      <c r="Q19">
        <v>55.079853</v>
      </c>
      <c r="R19">
        <v>55.840674999999997</v>
      </c>
      <c r="S19">
        <v>56.638934999999996</v>
      </c>
      <c r="T19">
        <v>57.504395000000002</v>
      </c>
      <c r="U19">
        <v>58.304447000000003</v>
      </c>
      <c r="V19">
        <v>59.176174000000003</v>
      </c>
      <c r="W19">
        <v>60.063701999999999</v>
      </c>
      <c r="X19">
        <v>61.000945999999999</v>
      </c>
      <c r="Y19">
        <v>62.044392000000002</v>
      </c>
      <c r="Z19">
        <v>63.120776999999997</v>
      </c>
      <c r="AA19">
        <v>64.186768000000001</v>
      </c>
      <c r="AB19">
        <v>65.249404999999996</v>
      </c>
      <c r="AC19">
        <v>66.318534999999997</v>
      </c>
      <c r="AD19">
        <v>67.468947999999997</v>
      </c>
      <c r="AE19">
        <v>68.816581999999997</v>
      </c>
      <c r="AF19">
        <v>70.243613999999994</v>
      </c>
      <c r="AG19">
        <v>71.603301999999999</v>
      </c>
      <c r="AH19">
        <v>73.056640999999999</v>
      </c>
      <c r="AI19">
        <v>74.779610000000005</v>
      </c>
      <c r="AJ19" s="31">
        <v>1.0999999999999999E-2</v>
      </c>
      <c r="AL19" s="31"/>
    </row>
    <row r="20" spans="1:38">
      <c r="A20" s="163" t="s">
        <v>113</v>
      </c>
      <c r="B20" t="s">
        <v>313</v>
      </c>
      <c r="C20" t="s">
        <v>2386</v>
      </c>
      <c r="D20" t="s">
        <v>2387</v>
      </c>
      <c r="E20" t="s">
        <v>387</v>
      </c>
      <c r="G20">
        <v>16.846205000000001</v>
      </c>
      <c r="H20">
        <v>17.761892</v>
      </c>
      <c r="I20">
        <v>18.763459999999998</v>
      </c>
      <c r="J20">
        <v>19.899121999999998</v>
      </c>
      <c r="K20">
        <v>21.083855</v>
      </c>
      <c r="L20">
        <v>22.151053999999998</v>
      </c>
      <c r="M20">
        <v>23.138805000000001</v>
      </c>
      <c r="N20">
        <v>24.075592</v>
      </c>
      <c r="O20">
        <v>25.031351000000001</v>
      </c>
      <c r="P20">
        <v>26.026824999999999</v>
      </c>
      <c r="Q20">
        <v>27.096857</v>
      </c>
      <c r="R20">
        <v>28.109197999999999</v>
      </c>
      <c r="S20">
        <v>29.092110000000002</v>
      </c>
      <c r="T20">
        <v>30.063576000000001</v>
      </c>
      <c r="U20">
        <v>30.988947</v>
      </c>
      <c r="V20">
        <v>31.943773</v>
      </c>
      <c r="W20">
        <v>32.878410000000002</v>
      </c>
      <c r="X20">
        <v>33.782879000000001</v>
      </c>
      <c r="Y20">
        <v>34.707160999999999</v>
      </c>
      <c r="Z20">
        <v>35.655670000000001</v>
      </c>
      <c r="AA20">
        <v>36.558773000000002</v>
      </c>
      <c r="AB20">
        <v>37.368586999999998</v>
      </c>
      <c r="AC20">
        <v>38.121651</v>
      </c>
      <c r="AD20">
        <v>38.871417999999998</v>
      </c>
      <c r="AE20">
        <v>39.695540999999999</v>
      </c>
      <c r="AF20">
        <v>40.532322000000001</v>
      </c>
      <c r="AG20">
        <v>41.299179000000002</v>
      </c>
      <c r="AH20">
        <v>42.100203999999998</v>
      </c>
      <c r="AI20">
        <v>43.049956999999999</v>
      </c>
      <c r="AJ20" s="31">
        <v>3.4000000000000002E-2</v>
      </c>
      <c r="AL20" s="31"/>
    </row>
    <row r="21" spans="1:38">
      <c r="A21" s="163" t="s">
        <v>257</v>
      </c>
      <c r="B21" t="s">
        <v>308</v>
      </c>
      <c r="C21" t="s">
        <v>2388</v>
      </c>
      <c r="D21" t="s">
        <v>2389</v>
      </c>
      <c r="E21" t="s">
        <v>387</v>
      </c>
      <c r="G21">
        <v>5.8500000000000002E-4</v>
      </c>
      <c r="H21">
        <v>7.6309999999999998E-3</v>
      </c>
      <c r="I21">
        <v>1.4685E-2</v>
      </c>
      <c r="J21">
        <v>2.1224E-2</v>
      </c>
      <c r="K21">
        <v>2.7498000000000002E-2</v>
      </c>
      <c r="L21">
        <v>3.3387E-2</v>
      </c>
      <c r="M21">
        <v>3.8968000000000003E-2</v>
      </c>
      <c r="N21">
        <v>4.4345000000000002E-2</v>
      </c>
      <c r="O21">
        <v>4.9703999999999998E-2</v>
      </c>
      <c r="P21">
        <v>5.5247999999999998E-2</v>
      </c>
      <c r="Q21">
        <v>6.1055999999999999E-2</v>
      </c>
      <c r="R21">
        <v>6.6844000000000001E-2</v>
      </c>
      <c r="S21">
        <v>7.2696999999999998E-2</v>
      </c>
      <c r="T21">
        <v>7.8773999999999997E-2</v>
      </c>
      <c r="U21">
        <v>8.5073999999999997E-2</v>
      </c>
      <c r="V21">
        <v>9.1911000000000007E-2</v>
      </c>
      <c r="W21">
        <v>9.9267999999999995E-2</v>
      </c>
      <c r="X21">
        <v>0.10728699999999999</v>
      </c>
      <c r="Y21">
        <v>0.116186</v>
      </c>
      <c r="Z21">
        <v>0.125999</v>
      </c>
      <c r="AA21">
        <v>0.13661799999999999</v>
      </c>
      <c r="AB21">
        <v>0.14805499999999999</v>
      </c>
      <c r="AC21">
        <v>0.160189</v>
      </c>
      <c r="AD21">
        <v>0.173373</v>
      </c>
      <c r="AE21">
        <v>0.18800800000000001</v>
      </c>
      <c r="AF21">
        <v>0.203789</v>
      </c>
      <c r="AG21">
        <v>0.22024199999999999</v>
      </c>
      <c r="AH21">
        <v>0.237737</v>
      </c>
      <c r="AI21">
        <v>0.256857</v>
      </c>
      <c r="AJ21" s="31">
        <v>0.24299999999999999</v>
      </c>
      <c r="AL21" s="31"/>
    </row>
    <row r="22" spans="1:38">
      <c r="A22" s="163" t="s">
        <v>112</v>
      </c>
      <c r="B22" t="s">
        <v>307</v>
      </c>
      <c r="C22" t="s">
        <v>2390</v>
      </c>
      <c r="D22" t="s">
        <v>2391</v>
      </c>
      <c r="E22" t="s">
        <v>387</v>
      </c>
      <c r="G22">
        <v>1.5417999999999999E-2</v>
      </c>
      <c r="H22">
        <v>1.3986E-2</v>
      </c>
      <c r="I22">
        <v>1.2747E-2</v>
      </c>
      <c r="J22">
        <v>1.1705E-2</v>
      </c>
      <c r="K22">
        <v>1.0794E-2</v>
      </c>
      <c r="L22">
        <v>9.9299999999999996E-3</v>
      </c>
      <c r="M22">
        <v>9.1299999999999992E-3</v>
      </c>
      <c r="N22">
        <v>8.3929999999999994E-3</v>
      </c>
      <c r="O22">
        <v>7.7320000000000002E-3</v>
      </c>
      <c r="P22">
        <v>7.1459999999999996E-3</v>
      </c>
      <c r="Q22">
        <v>6.6239999999999997E-3</v>
      </c>
      <c r="R22">
        <v>6.0930000000000003E-3</v>
      </c>
      <c r="S22">
        <v>5.5430000000000002E-3</v>
      </c>
      <c r="T22">
        <v>4.9630000000000004E-3</v>
      </c>
      <c r="U22">
        <v>4.3689999999999996E-3</v>
      </c>
      <c r="V22">
        <v>3.7439999999999999E-3</v>
      </c>
      <c r="W22">
        <v>3.1649999999999998E-3</v>
      </c>
      <c r="X22">
        <v>2.637E-3</v>
      </c>
      <c r="Y22">
        <v>2.1050000000000001E-3</v>
      </c>
      <c r="Z22">
        <v>1.683E-3</v>
      </c>
      <c r="AA22">
        <v>1.3730000000000001E-3</v>
      </c>
      <c r="AB22">
        <v>1.147E-3</v>
      </c>
      <c r="AC22">
        <v>1E-3</v>
      </c>
      <c r="AD22">
        <v>8.9899999999999995E-4</v>
      </c>
      <c r="AE22">
        <v>8.1999999999999998E-4</v>
      </c>
      <c r="AF22">
        <v>7.6900000000000004E-4</v>
      </c>
      <c r="AG22">
        <v>7.0299999999999996E-4</v>
      </c>
      <c r="AH22">
        <v>6.2500000000000001E-4</v>
      </c>
      <c r="AI22">
        <v>5.2899999999999996E-4</v>
      </c>
      <c r="AJ22" s="31">
        <v>-0.113</v>
      </c>
      <c r="AL22" s="31"/>
    </row>
    <row r="23" spans="1:38">
      <c r="A23" s="163" t="s">
        <v>113</v>
      </c>
      <c r="B23" t="s">
        <v>378</v>
      </c>
      <c r="C23" t="s">
        <v>2392</v>
      </c>
      <c r="D23" t="s">
        <v>2393</v>
      </c>
      <c r="E23" t="s">
        <v>387</v>
      </c>
      <c r="G23">
        <v>3.793104</v>
      </c>
      <c r="H23">
        <v>3.7339889999999998</v>
      </c>
      <c r="I23">
        <v>3.7011970000000001</v>
      </c>
      <c r="J23">
        <v>3.6948340000000002</v>
      </c>
      <c r="K23">
        <v>3.7055539999999998</v>
      </c>
      <c r="L23">
        <v>3.7133219999999998</v>
      </c>
      <c r="M23">
        <v>3.7223549999999999</v>
      </c>
      <c r="N23">
        <v>3.7376019999999999</v>
      </c>
      <c r="O23">
        <v>3.7636449999999999</v>
      </c>
      <c r="P23">
        <v>3.8070430000000002</v>
      </c>
      <c r="Q23">
        <v>3.8642319999999999</v>
      </c>
      <c r="R23">
        <v>3.9146670000000001</v>
      </c>
      <c r="S23">
        <v>3.9473159999999998</v>
      </c>
      <c r="T23">
        <v>3.9684680000000001</v>
      </c>
      <c r="U23">
        <v>3.9718550000000001</v>
      </c>
      <c r="V23">
        <v>3.975454</v>
      </c>
      <c r="W23">
        <v>3.964083</v>
      </c>
      <c r="X23">
        <v>3.9534349999999998</v>
      </c>
      <c r="Y23">
        <v>3.955495</v>
      </c>
      <c r="Z23">
        <v>3.9734389999999999</v>
      </c>
      <c r="AA23">
        <v>4.000788</v>
      </c>
      <c r="AB23">
        <v>4.0414599999999998</v>
      </c>
      <c r="AC23">
        <v>4.0953679999999997</v>
      </c>
      <c r="AD23">
        <v>4.15557</v>
      </c>
      <c r="AE23">
        <v>4.2257569999999998</v>
      </c>
      <c r="AF23">
        <v>4.2996879999999997</v>
      </c>
      <c r="AG23">
        <v>4.3678400000000002</v>
      </c>
      <c r="AH23">
        <v>4.4369680000000002</v>
      </c>
      <c r="AI23">
        <v>4.5171900000000003</v>
      </c>
      <c r="AJ23" s="31">
        <v>6.0000000000000001E-3</v>
      </c>
      <c r="AL23" s="31"/>
    </row>
    <row r="24" spans="1:38">
      <c r="A24" s="163" t="s">
        <v>111</v>
      </c>
      <c r="B24" t="s">
        <v>379</v>
      </c>
      <c r="C24" t="s">
        <v>2394</v>
      </c>
      <c r="D24" t="s">
        <v>2395</v>
      </c>
      <c r="E24" t="s">
        <v>387</v>
      </c>
      <c r="G24">
        <v>8.03E-4</v>
      </c>
      <c r="H24">
        <v>7.2599999999999997E-4</v>
      </c>
      <c r="I24">
        <v>6.6500000000000001E-4</v>
      </c>
      <c r="J24">
        <v>6.1799999999999995E-4</v>
      </c>
      <c r="K24">
        <v>5.8399999999999999E-4</v>
      </c>
      <c r="L24">
        <v>5.5699999999999999E-4</v>
      </c>
      <c r="M24">
        <v>5.3600000000000002E-4</v>
      </c>
      <c r="N24">
        <v>5.04E-4</v>
      </c>
      <c r="O24">
        <v>4.6299999999999998E-4</v>
      </c>
      <c r="P24">
        <v>4.2499999999999998E-4</v>
      </c>
      <c r="Q24">
        <v>3.9199999999999999E-4</v>
      </c>
      <c r="R24">
        <v>3.3E-4</v>
      </c>
      <c r="S24">
        <v>2.5999999999999998E-4</v>
      </c>
      <c r="T24">
        <v>2.05E-4</v>
      </c>
      <c r="U24">
        <v>1.6100000000000001E-4</v>
      </c>
      <c r="V24">
        <v>1.26E-4</v>
      </c>
      <c r="W24">
        <v>9.8999999999999994E-5</v>
      </c>
      <c r="X24">
        <v>7.7000000000000001E-5</v>
      </c>
      <c r="Y24">
        <v>6.8999999999999997E-5</v>
      </c>
      <c r="Z24">
        <v>6.7000000000000002E-5</v>
      </c>
      <c r="AA24">
        <v>6.6000000000000005E-5</v>
      </c>
      <c r="AB24">
        <v>6.3999999999999997E-5</v>
      </c>
      <c r="AC24">
        <v>5.1999999999999997E-5</v>
      </c>
      <c r="AD24">
        <v>3.6000000000000001E-5</v>
      </c>
      <c r="AE24">
        <v>2.5999999999999998E-5</v>
      </c>
      <c r="AF24">
        <v>1.8E-5</v>
      </c>
      <c r="AG24">
        <v>1.2999999999999999E-5</v>
      </c>
      <c r="AH24">
        <v>9.0000000000000002E-6</v>
      </c>
      <c r="AI24">
        <v>6.0000000000000002E-6</v>
      </c>
      <c r="AJ24" s="31">
        <v>-0.159</v>
      </c>
      <c r="AL24" s="31"/>
    </row>
    <row r="25" spans="1:38">
      <c r="A25" s="163" t="s">
        <v>115</v>
      </c>
      <c r="B25" t="s">
        <v>381</v>
      </c>
      <c r="C25" t="s">
        <v>2396</v>
      </c>
      <c r="D25" t="s">
        <v>2397</v>
      </c>
      <c r="E25" t="s">
        <v>387</v>
      </c>
      <c r="G25">
        <v>0</v>
      </c>
      <c r="H25">
        <v>5.7910000000000001E-3</v>
      </c>
      <c r="I25">
        <v>1.1641E-2</v>
      </c>
      <c r="J25">
        <v>1.7745E-2</v>
      </c>
      <c r="K25">
        <v>2.4024E-2</v>
      </c>
      <c r="L25">
        <v>3.0276999999999998E-2</v>
      </c>
      <c r="M25">
        <v>3.6507999999999999E-2</v>
      </c>
      <c r="N25">
        <v>4.2764999999999997E-2</v>
      </c>
      <c r="O25">
        <v>4.9185E-2</v>
      </c>
      <c r="P25">
        <v>5.5924000000000001E-2</v>
      </c>
      <c r="Q25">
        <v>6.3112000000000001E-2</v>
      </c>
      <c r="R25">
        <v>7.0484000000000005E-2</v>
      </c>
      <c r="S25">
        <v>7.8226000000000004E-2</v>
      </c>
      <c r="T25">
        <v>8.6534E-2</v>
      </c>
      <c r="U25">
        <v>9.5422000000000007E-2</v>
      </c>
      <c r="V25">
        <v>0.10527400000000001</v>
      </c>
      <c r="W25">
        <v>0.11618100000000001</v>
      </c>
      <c r="X25">
        <v>0.128332</v>
      </c>
      <c r="Y25">
        <v>0.14206299999999999</v>
      </c>
      <c r="Z25">
        <v>0.157389</v>
      </c>
      <c r="AA25">
        <v>0.17405100000000001</v>
      </c>
      <c r="AB25">
        <v>0.19183600000000001</v>
      </c>
      <c r="AC25">
        <v>0.21071500000000001</v>
      </c>
      <c r="AD25">
        <v>0.23088900000000001</v>
      </c>
      <c r="AE25">
        <v>0.25246600000000002</v>
      </c>
      <c r="AF25">
        <v>0.27496199999999998</v>
      </c>
      <c r="AG25">
        <v>0.29769299999999999</v>
      </c>
      <c r="AH25">
        <v>0.32119900000000001</v>
      </c>
      <c r="AI25">
        <v>0.34622399999999998</v>
      </c>
      <c r="AJ25" t="s">
        <v>117</v>
      </c>
      <c r="AL25" s="31"/>
    </row>
    <row r="26" spans="1:38">
      <c r="A26" s="163" t="s">
        <v>115</v>
      </c>
      <c r="B26" t="s">
        <v>380</v>
      </c>
      <c r="C26" t="s">
        <v>2398</v>
      </c>
      <c r="D26" t="s">
        <v>2399</v>
      </c>
      <c r="E26" t="s">
        <v>387</v>
      </c>
      <c r="G26">
        <v>0</v>
      </c>
      <c r="H26">
        <v>6.025E-3</v>
      </c>
      <c r="I26">
        <v>1.2128999999999999E-2</v>
      </c>
      <c r="J26">
        <v>1.8395000000000002E-2</v>
      </c>
      <c r="K26">
        <v>2.4749E-2</v>
      </c>
      <c r="L26">
        <v>3.0966E-2</v>
      </c>
      <c r="M26">
        <v>3.7011000000000002E-2</v>
      </c>
      <c r="N26">
        <v>4.2945999999999998E-2</v>
      </c>
      <c r="O26">
        <v>4.8956E-2</v>
      </c>
      <c r="P26">
        <v>5.5273999999999997E-2</v>
      </c>
      <c r="Q26">
        <v>6.2050000000000001E-2</v>
      </c>
      <c r="R26">
        <v>6.9098000000000007E-2</v>
      </c>
      <c r="S26">
        <v>7.6633999999999994E-2</v>
      </c>
      <c r="T26">
        <v>8.4903000000000006E-2</v>
      </c>
      <c r="U26">
        <v>9.3932000000000002E-2</v>
      </c>
      <c r="V26">
        <v>0.104143</v>
      </c>
      <c r="W26">
        <v>0.115635</v>
      </c>
      <c r="X26">
        <v>0.12864999999999999</v>
      </c>
      <c r="Y26">
        <v>0.14353199999999999</v>
      </c>
      <c r="Z26">
        <v>0.160333</v>
      </c>
      <c r="AA26">
        <v>0.17879300000000001</v>
      </c>
      <c r="AB26">
        <v>0.198736</v>
      </c>
      <c r="AC26">
        <v>0.21998000000000001</v>
      </c>
      <c r="AD26">
        <v>0.24280499999999999</v>
      </c>
      <c r="AE26">
        <v>0.26719799999999999</v>
      </c>
      <c r="AF26">
        <v>0.29270299999999999</v>
      </c>
      <c r="AG26">
        <v>0.318521</v>
      </c>
      <c r="AH26">
        <v>0.34528500000000001</v>
      </c>
      <c r="AI26">
        <v>0.37370199999999998</v>
      </c>
      <c r="AJ26" t="s">
        <v>117</v>
      </c>
      <c r="AL26" s="31"/>
    </row>
    <row r="27" spans="1:38">
      <c r="A27" s="163" t="s">
        <v>258</v>
      </c>
      <c r="B27" t="s">
        <v>382</v>
      </c>
      <c r="C27" t="s">
        <v>2400</v>
      </c>
      <c r="D27" t="s">
        <v>2401</v>
      </c>
      <c r="E27" t="s">
        <v>387</v>
      </c>
      <c r="G27">
        <v>0</v>
      </c>
      <c r="H27">
        <v>0</v>
      </c>
      <c r="I27">
        <v>1.9999999999999999E-6</v>
      </c>
      <c r="J27">
        <v>3.9999999999999998E-6</v>
      </c>
      <c r="K27">
        <v>6.0000000000000002E-6</v>
      </c>
      <c r="L27">
        <v>7.9999999999999996E-6</v>
      </c>
      <c r="M27">
        <v>1.0000000000000001E-5</v>
      </c>
      <c r="N27">
        <v>1.1E-5</v>
      </c>
      <c r="O27">
        <v>1.2999999999999999E-5</v>
      </c>
      <c r="P27">
        <v>1.5E-5</v>
      </c>
      <c r="Q27">
        <v>1.7E-5</v>
      </c>
      <c r="R27">
        <v>1.8E-5</v>
      </c>
      <c r="S27">
        <v>2.0000000000000002E-5</v>
      </c>
      <c r="T27">
        <v>2.0999999999999999E-5</v>
      </c>
      <c r="U27">
        <v>2.1999999999999999E-5</v>
      </c>
      <c r="V27">
        <v>2.3E-5</v>
      </c>
      <c r="W27">
        <v>2.4000000000000001E-5</v>
      </c>
      <c r="X27">
        <v>2.5000000000000001E-5</v>
      </c>
      <c r="Y27">
        <v>2.5999999999999998E-5</v>
      </c>
      <c r="Z27">
        <v>2.6999999999999999E-5</v>
      </c>
      <c r="AA27">
        <v>2.8E-5</v>
      </c>
      <c r="AB27">
        <v>2.8E-5</v>
      </c>
      <c r="AC27">
        <v>2.8E-5</v>
      </c>
      <c r="AD27">
        <v>2.9E-5</v>
      </c>
      <c r="AE27">
        <v>2.9E-5</v>
      </c>
      <c r="AF27">
        <v>2.8E-5</v>
      </c>
      <c r="AG27">
        <v>2.8E-5</v>
      </c>
      <c r="AH27">
        <v>2.6999999999999999E-5</v>
      </c>
      <c r="AI27">
        <v>2.6999999999999999E-5</v>
      </c>
      <c r="AJ27" t="s">
        <v>117</v>
      </c>
      <c r="AL27" s="31"/>
    </row>
    <row r="28" spans="1:38">
      <c r="B28" t="s">
        <v>390</v>
      </c>
      <c r="C28" t="s">
        <v>2402</v>
      </c>
      <c r="D28" t="s">
        <v>2403</v>
      </c>
      <c r="E28" t="s">
        <v>387</v>
      </c>
      <c r="G28">
        <v>75.048714000000004</v>
      </c>
      <c r="H28">
        <v>74.717513999999994</v>
      </c>
      <c r="I28">
        <v>75.046081999999998</v>
      </c>
      <c r="J28">
        <v>76.143508999999995</v>
      </c>
      <c r="K28">
        <v>77.597999999999999</v>
      </c>
      <c r="L28">
        <v>78.820419000000001</v>
      </c>
      <c r="M28">
        <v>79.976401999999993</v>
      </c>
      <c r="N28">
        <v>81.127167</v>
      </c>
      <c r="O28">
        <v>82.517714999999995</v>
      </c>
      <c r="P28">
        <v>84.228110999999998</v>
      </c>
      <c r="Q28">
        <v>86.234122999999997</v>
      </c>
      <c r="R28">
        <v>88.077529999999996</v>
      </c>
      <c r="S28">
        <v>89.911659</v>
      </c>
      <c r="T28">
        <v>91.791747999999998</v>
      </c>
      <c r="U28">
        <v>93.544196999999997</v>
      </c>
      <c r="V28">
        <v>95.400565999999998</v>
      </c>
      <c r="W28">
        <v>97.240463000000005</v>
      </c>
      <c r="X28">
        <v>99.104270999999997</v>
      </c>
      <c r="Y28">
        <v>101.111</v>
      </c>
      <c r="Z28">
        <v>103.19528200000001</v>
      </c>
      <c r="AA28">
        <v>105.237099</v>
      </c>
      <c r="AB28">
        <v>107.199234</v>
      </c>
      <c r="AC28">
        <v>109.127678</v>
      </c>
      <c r="AD28">
        <v>111.1437</v>
      </c>
      <c r="AE28">
        <v>113.446144</v>
      </c>
      <c r="AF28">
        <v>115.847984</v>
      </c>
      <c r="AG28">
        <v>118.10760500000001</v>
      </c>
      <c r="AH28">
        <v>120.49865</v>
      </c>
      <c r="AI28">
        <v>123.323883</v>
      </c>
      <c r="AJ28" s="31">
        <v>1.7999999999999999E-2</v>
      </c>
      <c r="AL28" s="31"/>
    </row>
    <row r="29" spans="1:38">
      <c r="B29" t="s">
        <v>342</v>
      </c>
    </row>
    <row r="30" spans="1:38">
      <c r="A30" s="163" t="s">
        <v>114</v>
      </c>
      <c r="B30" t="s">
        <v>327</v>
      </c>
      <c r="C30" t="s">
        <v>2404</v>
      </c>
      <c r="D30" t="s">
        <v>2405</v>
      </c>
      <c r="E30" t="s">
        <v>387</v>
      </c>
      <c r="G30">
        <v>39.558543999999998</v>
      </c>
      <c r="H30">
        <v>39.337626999999998</v>
      </c>
      <c r="I30">
        <v>39.299655999999999</v>
      </c>
      <c r="J30">
        <v>39.581608000000003</v>
      </c>
      <c r="K30">
        <v>40.110664</v>
      </c>
      <c r="L30">
        <v>40.671706999999998</v>
      </c>
      <c r="M30">
        <v>41.263809000000002</v>
      </c>
      <c r="N30">
        <v>41.765324</v>
      </c>
      <c r="O30">
        <v>42.233722999999998</v>
      </c>
      <c r="P30">
        <v>42.755890000000001</v>
      </c>
      <c r="Q30">
        <v>43.429985000000002</v>
      </c>
      <c r="R30">
        <v>44.019016000000001</v>
      </c>
      <c r="S30">
        <v>44.583286000000001</v>
      </c>
      <c r="T30">
        <v>45.18047</v>
      </c>
      <c r="U30">
        <v>45.736732000000003</v>
      </c>
      <c r="V30">
        <v>46.355182999999997</v>
      </c>
      <c r="W30">
        <v>46.957836</v>
      </c>
      <c r="X30">
        <v>47.563808000000002</v>
      </c>
      <c r="Y30">
        <v>48.222565000000003</v>
      </c>
      <c r="Z30">
        <v>48.907677</v>
      </c>
      <c r="AA30">
        <v>49.573700000000002</v>
      </c>
      <c r="AB30">
        <v>50.240974000000001</v>
      </c>
      <c r="AC30">
        <v>50.887698999999998</v>
      </c>
      <c r="AD30">
        <v>51.487983999999997</v>
      </c>
      <c r="AE30">
        <v>52.142113000000002</v>
      </c>
      <c r="AF30">
        <v>52.823295999999999</v>
      </c>
      <c r="AG30">
        <v>53.454895</v>
      </c>
      <c r="AH30">
        <v>54.11842</v>
      </c>
      <c r="AI30">
        <v>54.955475</v>
      </c>
      <c r="AJ30" s="31">
        <v>1.2E-2</v>
      </c>
      <c r="AL30" s="31"/>
    </row>
    <row r="31" spans="1:38">
      <c r="A31" s="163" t="s">
        <v>113</v>
      </c>
      <c r="B31" t="s">
        <v>313</v>
      </c>
      <c r="C31" t="s">
        <v>2406</v>
      </c>
      <c r="D31" t="s">
        <v>2407</v>
      </c>
      <c r="E31" t="s">
        <v>387</v>
      </c>
      <c r="G31">
        <v>19.487116</v>
      </c>
      <c r="H31">
        <v>19.215472999999999</v>
      </c>
      <c r="I31">
        <v>19.072890999999998</v>
      </c>
      <c r="J31">
        <v>19.059853</v>
      </c>
      <c r="K31">
        <v>19.182478</v>
      </c>
      <c r="L31">
        <v>19.313580999999999</v>
      </c>
      <c r="M31">
        <v>19.478919999999999</v>
      </c>
      <c r="N31">
        <v>19.629051</v>
      </c>
      <c r="O31">
        <v>19.775127000000001</v>
      </c>
      <c r="P31">
        <v>19.949099</v>
      </c>
      <c r="Q31">
        <v>20.215589999999999</v>
      </c>
      <c r="R31">
        <v>20.442692000000001</v>
      </c>
      <c r="S31">
        <v>20.670752</v>
      </c>
      <c r="T31">
        <v>20.911200000000001</v>
      </c>
      <c r="U31">
        <v>21.112674999999999</v>
      </c>
      <c r="V31">
        <v>21.367301999999999</v>
      </c>
      <c r="W31">
        <v>21.576695999999998</v>
      </c>
      <c r="X31">
        <v>21.845286999999999</v>
      </c>
      <c r="Y31">
        <v>22.114789999999999</v>
      </c>
      <c r="Z31">
        <v>22.415617000000001</v>
      </c>
      <c r="AA31">
        <v>22.714939000000001</v>
      </c>
      <c r="AB31">
        <v>23.016795999999999</v>
      </c>
      <c r="AC31">
        <v>23.311952999999999</v>
      </c>
      <c r="AD31">
        <v>23.583117999999999</v>
      </c>
      <c r="AE31">
        <v>23.878855000000001</v>
      </c>
      <c r="AF31">
        <v>24.179131999999999</v>
      </c>
      <c r="AG31">
        <v>24.450662999999999</v>
      </c>
      <c r="AH31">
        <v>24.739687</v>
      </c>
      <c r="AI31">
        <v>25.097049999999999</v>
      </c>
      <c r="AJ31" s="31">
        <v>8.9999999999999993E-3</v>
      </c>
      <c r="AL31" s="31"/>
    </row>
    <row r="32" spans="1:38">
      <c r="A32" s="163" t="s">
        <v>257</v>
      </c>
      <c r="B32" t="s">
        <v>308</v>
      </c>
      <c r="C32" t="s">
        <v>2408</v>
      </c>
      <c r="D32" t="s">
        <v>2409</v>
      </c>
      <c r="E32" t="s">
        <v>387</v>
      </c>
      <c r="G32">
        <v>3.5519000000000002E-2</v>
      </c>
      <c r="H32">
        <v>3.6849E-2</v>
      </c>
      <c r="I32">
        <v>3.8300000000000001E-2</v>
      </c>
      <c r="J32">
        <v>3.9927999999999998E-2</v>
      </c>
      <c r="K32">
        <v>4.1890999999999998E-2</v>
      </c>
      <c r="L32">
        <v>4.3984000000000002E-2</v>
      </c>
      <c r="M32">
        <v>4.6241999999999998E-2</v>
      </c>
      <c r="N32">
        <v>4.8501000000000002E-2</v>
      </c>
      <c r="O32">
        <v>5.0944999999999997E-2</v>
      </c>
      <c r="P32">
        <v>5.3742999999999999E-2</v>
      </c>
      <c r="Q32">
        <v>5.7158E-2</v>
      </c>
      <c r="R32">
        <v>6.1107000000000002E-2</v>
      </c>
      <c r="S32">
        <v>6.5478999999999996E-2</v>
      </c>
      <c r="T32">
        <v>6.9911000000000001E-2</v>
      </c>
      <c r="U32">
        <v>7.4637999999999996E-2</v>
      </c>
      <c r="V32">
        <v>7.9952999999999996E-2</v>
      </c>
      <c r="W32">
        <v>8.5781999999999997E-2</v>
      </c>
      <c r="X32">
        <v>9.2218999999999995E-2</v>
      </c>
      <c r="Y32">
        <v>9.9416000000000004E-2</v>
      </c>
      <c r="Z32">
        <v>0.10742400000000001</v>
      </c>
      <c r="AA32">
        <v>0.115934</v>
      </c>
      <c r="AB32">
        <v>0.124888</v>
      </c>
      <c r="AC32">
        <v>0.13411600000000001</v>
      </c>
      <c r="AD32">
        <v>0.143486</v>
      </c>
      <c r="AE32">
        <v>0.153252</v>
      </c>
      <c r="AF32">
        <v>0.16322400000000001</v>
      </c>
      <c r="AG32">
        <v>0.17308100000000001</v>
      </c>
      <c r="AH32">
        <v>0.18249199999999999</v>
      </c>
      <c r="AI32">
        <v>0.19253300000000001</v>
      </c>
      <c r="AJ32" s="31">
        <v>6.2E-2</v>
      </c>
      <c r="AL32" s="31"/>
    </row>
    <row r="33" spans="1:38">
      <c r="A33" s="163" t="s">
        <v>112</v>
      </c>
      <c r="B33" t="s">
        <v>307</v>
      </c>
      <c r="C33" t="s">
        <v>2410</v>
      </c>
      <c r="D33" t="s">
        <v>2411</v>
      </c>
      <c r="E33" t="s">
        <v>387</v>
      </c>
      <c r="G33">
        <v>4.0710999999999997E-2</v>
      </c>
      <c r="H33">
        <v>3.8744000000000001E-2</v>
      </c>
      <c r="I33">
        <v>3.6801E-2</v>
      </c>
      <c r="J33">
        <v>3.5048999999999997E-2</v>
      </c>
      <c r="K33">
        <v>3.3437000000000001E-2</v>
      </c>
      <c r="L33">
        <v>3.1725999999999997E-2</v>
      </c>
      <c r="M33">
        <v>3.0068000000000001E-2</v>
      </c>
      <c r="N33">
        <v>2.8327000000000001E-2</v>
      </c>
      <c r="O33">
        <v>2.6554000000000001E-2</v>
      </c>
      <c r="P33">
        <v>2.4896000000000001E-2</v>
      </c>
      <c r="Q33">
        <v>2.3394999999999999E-2</v>
      </c>
      <c r="R33">
        <v>2.1885999999999999E-2</v>
      </c>
      <c r="S33">
        <v>2.0383999999999999E-2</v>
      </c>
      <c r="T33">
        <v>1.8924E-2</v>
      </c>
      <c r="U33">
        <v>1.7500999999999999E-2</v>
      </c>
      <c r="V33">
        <v>1.6240000000000001E-2</v>
      </c>
      <c r="W33">
        <v>1.5091E-2</v>
      </c>
      <c r="X33">
        <v>1.4094000000000001E-2</v>
      </c>
      <c r="Y33">
        <v>1.316E-2</v>
      </c>
      <c r="Z33">
        <v>1.2222E-2</v>
      </c>
      <c r="AA33">
        <v>1.1379999999999999E-2</v>
      </c>
      <c r="AB33">
        <v>1.0423999999999999E-2</v>
      </c>
      <c r="AC33">
        <v>9.4500000000000001E-3</v>
      </c>
      <c r="AD33">
        <v>8.6359999999999996E-3</v>
      </c>
      <c r="AE33">
        <v>7.9539999999999993E-3</v>
      </c>
      <c r="AF33">
        <v>7.2659999999999999E-3</v>
      </c>
      <c r="AG33">
        <v>6.5680000000000001E-3</v>
      </c>
      <c r="AH33">
        <v>5.9379999999999997E-3</v>
      </c>
      <c r="AI33">
        <v>5.4149999999999997E-3</v>
      </c>
      <c r="AJ33" s="31">
        <v>-7.0000000000000007E-2</v>
      </c>
      <c r="AL33" s="31"/>
    </row>
    <row r="34" spans="1:38">
      <c r="A34" s="163" t="s">
        <v>113</v>
      </c>
      <c r="B34" t="s">
        <v>378</v>
      </c>
      <c r="C34" t="s">
        <v>2412</v>
      </c>
      <c r="D34" t="s">
        <v>2413</v>
      </c>
      <c r="E34" t="s">
        <v>387</v>
      </c>
      <c r="G34">
        <v>0.56798599999999999</v>
      </c>
      <c r="H34">
        <v>0.59782800000000003</v>
      </c>
      <c r="I34">
        <v>0.637764</v>
      </c>
      <c r="J34">
        <v>0.68537099999999995</v>
      </c>
      <c r="K34">
        <v>0.74296300000000004</v>
      </c>
      <c r="L34">
        <v>0.80857800000000002</v>
      </c>
      <c r="M34">
        <v>0.87989099999999998</v>
      </c>
      <c r="N34">
        <v>0.95517399999999997</v>
      </c>
      <c r="O34">
        <v>1.0367869999999999</v>
      </c>
      <c r="P34">
        <v>1.129257</v>
      </c>
      <c r="Q34">
        <v>1.2372430000000001</v>
      </c>
      <c r="R34">
        <v>1.3557220000000001</v>
      </c>
      <c r="S34">
        <v>1.486297</v>
      </c>
      <c r="T34">
        <v>1.6277839999999999</v>
      </c>
      <c r="U34">
        <v>1.7695620000000001</v>
      </c>
      <c r="V34">
        <v>1.9196610000000001</v>
      </c>
      <c r="W34">
        <v>2.070964</v>
      </c>
      <c r="X34">
        <v>2.2238769999999999</v>
      </c>
      <c r="Y34">
        <v>2.3845040000000002</v>
      </c>
      <c r="Z34">
        <v>2.5457839999999998</v>
      </c>
      <c r="AA34">
        <v>2.7054459999999998</v>
      </c>
      <c r="AB34">
        <v>2.8628369999999999</v>
      </c>
      <c r="AC34">
        <v>3.0127489999999999</v>
      </c>
      <c r="AD34">
        <v>3.1550750000000001</v>
      </c>
      <c r="AE34">
        <v>3.292932</v>
      </c>
      <c r="AF34">
        <v>3.4261879999999998</v>
      </c>
      <c r="AG34">
        <v>3.547679</v>
      </c>
      <c r="AH34">
        <v>3.667386</v>
      </c>
      <c r="AI34">
        <v>3.7930950000000001</v>
      </c>
      <c r="AJ34" s="31">
        <v>7.0000000000000007E-2</v>
      </c>
      <c r="AL34" s="31"/>
    </row>
    <row r="35" spans="1:38">
      <c r="A35" s="163" t="s">
        <v>111</v>
      </c>
      <c r="B35" t="s">
        <v>379</v>
      </c>
      <c r="C35" t="s">
        <v>2414</v>
      </c>
      <c r="D35" t="s">
        <v>2415</v>
      </c>
      <c r="E35" t="s">
        <v>387</v>
      </c>
      <c r="G35">
        <v>4.7990000000000003E-3</v>
      </c>
      <c r="H35">
        <v>5.7080000000000004E-3</v>
      </c>
      <c r="I35">
        <v>6.4009999999999996E-3</v>
      </c>
      <c r="J35">
        <v>6.9449999999999998E-3</v>
      </c>
      <c r="K35">
        <v>7.3709999999999999E-3</v>
      </c>
      <c r="L35">
        <v>7.6620000000000004E-3</v>
      </c>
      <c r="M35">
        <v>7.8370000000000002E-3</v>
      </c>
      <c r="N35">
        <v>7.9019999999999993E-3</v>
      </c>
      <c r="O35">
        <v>7.8869999999999999E-3</v>
      </c>
      <c r="P35">
        <v>7.8220000000000008E-3</v>
      </c>
      <c r="Q35">
        <v>7.7270000000000004E-3</v>
      </c>
      <c r="R35">
        <v>7.5750000000000001E-3</v>
      </c>
      <c r="S35">
        <v>7.3740000000000003E-3</v>
      </c>
      <c r="T35">
        <v>7.1599999999999997E-3</v>
      </c>
      <c r="U35">
        <v>6.8789999999999997E-3</v>
      </c>
      <c r="V35">
        <v>6.5760000000000002E-3</v>
      </c>
      <c r="W35">
        <v>6.319E-3</v>
      </c>
      <c r="X35">
        <v>6.0559999999999998E-3</v>
      </c>
      <c r="Y35">
        <v>5.7580000000000001E-3</v>
      </c>
      <c r="Z35">
        <v>5.4679999999999998E-3</v>
      </c>
      <c r="AA35">
        <v>5.1850000000000004E-3</v>
      </c>
      <c r="AB35">
        <v>4.9100000000000003E-3</v>
      </c>
      <c r="AC35">
        <v>4.6449999999999998E-3</v>
      </c>
      <c r="AD35">
        <v>4.3909999999999999E-3</v>
      </c>
      <c r="AE35">
        <v>4.1580000000000002E-3</v>
      </c>
      <c r="AF35">
        <v>3.9370000000000004E-3</v>
      </c>
      <c r="AG35">
        <v>3.7230000000000002E-3</v>
      </c>
      <c r="AH35">
        <v>3.516E-3</v>
      </c>
      <c r="AI35">
        <v>3.3319999999999999E-3</v>
      </c>
      <c r="AJ35" s="31">
        <v>-1.2999999999999999E-2</v>
      </c>
      <c r="AL35" s="31"/>
    </row>
    <row r="36" spans="1:38">
      <c r="A36" s="163" t="s">
        <v>115</v>
      </c>
      <c r="B36" t="s">
        <v>381</v>
      </c>
      <c r="C36" t="s">
        <v>2416</v>
      </c>
      <c r="D36" t="s">
        <v>2417</v>
      </c>
      <c r="E36" t="s">
        <v>387</v>
      </c>
      <c r="G36">
        <v>0</v>
      </c>
      <c r="H36">
        <v>0</v>
      </c>
      <c r="I36">
        <v>4.8300000000000001E-3</v>
      </c>
      <c r="J36">
        <v>9.332E-3</v>
      </c>
      <c r="K36">
        <v>1.3625E-2</v>
      </c>
      <c r="L36">
        <v>1.7784000000000001E-2</v>
      </c>
      <c r="M36">
        <v>2.1821E-2</v>
      </c>
      <c r="N36">
        <v>2.5634000000000001E-2</v>
      </c>
      <c r="O36">
        <v>2.9242000000000001E-2</v>
      </c>
      <c r="P36">
        <v>3.2780999999999998E-2</v>
      </c>
      <c r="Q36">
        <v>3.644E-2</v>
      </c>
      <c r="R36">
        <v>4.0143999999999999E-2</v>
      </c>
      <c r="S36">
        <v>4.3930999999999998E-2</v>
      </c>
      <c r="T36">
        <v>4.7813000000000001E-2</v>
      </c>
      <c r="U36">
        <v>5.1763000000000003E-2</v>
      </c>
      <c r="V36">
        <v>5.5931000000000002E-2</v>
      </c>
      <c r="W36">
        <v>6.0281000000000001E-2</v>
      </c>
      <c r="X36">
        <v>6.4887E-2</v>
      </c>
      <c r="Y36">
        <v>6.9919999999999996E-2</v>
      </c>
      <c r="Z36">
        <v>7.5448000000000001E-2</v>
      </c>
      <c r="AA36">
        <v>8.1417000000000003E-2</v>
      </c>
      <c r="AB36">
        <v>8.7566000000000005E-2</v>
      </c>
      <c r="AC36">
        <v>9.4056000000000001E-2</v>
      </c>
      <c r="AD36">
        <v>0.10083300000000001</v>
      </c>
      <c r="AE36">
        <v>0.108103</v>
      </c>
      <c r="AF36">
        <v>0.11576599999999999</v>
      </c>
      <c r="AG36">
        <v>0.123626</v>
      </c>
      <c r="AH36">
        <v>0.131829</v>
      </c>
      <c r="AI36">
        <v>0.140711</v>
      </c>
      <c r="AJ36" t="s">
        <v>117</v>
      </c>
      <c r="AL36" s="31"/>
    </row>
    <row r="37" spans="1:38">
      <c r="A37" s="163" t="s">
        <v>115</v>
      </c>
      <c r="B37" t="s">
        <v>380</v>
      </c>
      <c r="C37" t="s">
        <v>2418</v>
      </c>
      <c r="D37" t="s">
        <v>2419</v>
      </c>
      <c r="E37" t="s">
        <v>387</v>
      </c>
      <c r="G37">
        <v>0</v>
      </c>
      <c r="H37">
        <v>0</v>
      </c>
      <c r="I37">
        <v>4.6990000000000001E-3</v>
      </c>
      <c r="J37">
        <v>8.9820000000000004E-3</v>
      </c>
      <c r="K37">
        <v>1.3004E-2</v>
      </c>
      <c r="L37">
        <v>1.6833000000000001E-2</v>
      </c>
      <c r="M37">
        <v>2.0468E-2</v>
      </c>
      <c r="N37">
        <v>2.3865000000000001E-2</v>
      </c>
      <c r="O37">
        <v>2.7097E-2</v>
      </c>
      <c r="P37">
        <v>3.0356999999999999E-2</v>
      </c>
      <c r="Q37">
        <v>3.3845E-2</v>
      </c>
      <c r="R37">
        <v>3.7533999999999998E-2</v>
      </c>
      <c r="S37">
        <v>4.1471000000000001E-2</v>
      </c>
      <c r="T37">
        <v>4.5675E-2</v>
      </c>
      <c r="U37">
        <v>5.0146000000000003E-2</v>
      </c>
      <c r="V37">
        <v>5.5066999999999998E-2</v>
      </c>
      <c r="W37">
        <v>6.0408000000000003E-2</v>
      </c>
      <c r="X37">
        <v>6.6288E-2</v>
      </c>
      <c r="Y37">
        <v>7.2910000000000003E-2</v>
      </c>
      <c r="Z37">
        <v>8.0391000000000004E-2</v>
      </c>
      <c r="AA37">
        <v>8.8689000000000004E-2</v>
      </c>
      <c r="AB37">
        <v>9.7592999999999999E-2</v>
      </c>
      <c r="AC37">
        <v>0.107179</v>
      </c>
      <c r="AD37">
        <v>0.11736099999999999</v>
      </c>
      <c r="AE37">
        <v>0.12828400000000001</v>
      </c>
      <c r="AF37">
        <v>0.139872</v>
      </c>
      <c r="AG37">
        <v>0.15181700000000001</v>
      </c>
      <c r="AH37">
        <v>0.16430400000000001</v>
      </c>
      <c r="AI37">
        <v>0.177619</v>
      </c>
      <c r="AJ37" t="s">
        <v>117</v>
      </c>
      <c r="AL37" s="31"/>
    </row>
    <row r="38" spans="1:38">
      <c r="A38" s="163" t="s">
        <v>258</v>
      </c>
      <c r="B38" t="s">
        <v>382</v>
      </c>
      <c r="C38" t="s">
        <v>2420</v>
      </c>
      <c r="D38" t="s">
        <v>2421</v>
      </c>
      <c r="E38" t="s">
        <v>387</v>
      </c>
      <c r="G38">
        <v>0</v>
      </c>
      <c r="H38">
        <v>0</v>
      </c>
      <c r="I38">
        <v>8.0780000000000001E-3</v>
      </c>
      <c r="J38">
        <v>1.5644999999999999E-2</v>
      </c>
      <c r="K38">
        <v>2.2988999999999999E-2</v>
      </c>
      <c r="L38">
        <v>3.0179000000000001E-2</v>
      </c>
      <c r="M38">
        <v>3.7161E-2</v>
      </c>
      <c r="N38">
        <v>4.3795000000000001E-2</v>
      </c>
      <c r="O38">
        <v>5.0102000000000001E-2</v>
      </c>
      <c r="P38">
        <v>5.6294999999999998E-2</v>
      </c>
      <c r="Q38">
        <v>6.2640000000000001E-2</v>
      </c>
      <c r="R38">
        <v>6.8956000000000003E-2</v>
      </c>
      <c r="S38">
        <v>7.5354000000000004E-2</v>
      </c>
      <c r="T38">
        <v>8.1948999999999994E-2</v>
      </c>
      <c r="U38">
        <v>8.8664000000000007E-2</v>
      </c>
      <c r="V38">
        <v>9.5808000000000004E-2</v>
      </c>
      <c r="W38">
        <v>0.103379</v>
      </c>
      <c r="X38">
        <v>0.11151700000000001</v>
      </c>
      <c r="Y38">
        <v>0.12053700000000001</v>
      </c>
      <c r="Z38">
        <v>0.13056699999999999</v>
      </c>
      <c r="AA38">
        <v>0.14152300000000001</v>
      </c>
      <c r="AB38">
        <v>0.152972</v>
      </c>
      <c r="AC38">
        <v>0.16517100000000001</v>
      </c>
      <c r="AD38">
        <v>0.178007</v>
      </c>
      <c r="AE38">
        <v>0.191833</v>
      </c>
      <c r="AF38">
        <v>0.20646700000000001</v>
      </c>
      <c r="AG38">
        <v>0.22154599999999999</v>
      </c>
      <c r="AH38">
        <v>0.23730999999999999</v>
      </c>
      <c r="AI38">
        <v>0.25435600000000003</v>
      </c>
      <c r="AJ38" t="s">
        <v>117</v>
      </c>
      <c r="AL38" s="31"/>
    </row>
    <row r="39" spans="1:38">
      <c r="B39" t="s">
        <v>391</v>
      </c>
      <c r="C39" t="s">
        <v>2422</v>
      </c>
      <c r="D39" t="s">
        <v>2423</v>
      </c>
      <c r="E39" t="s">
        <v>387</v>
      </c>
      <c r="G39">
        <v>59.694575999999998</v>
      </c>
      <c r="H39">
        <v>59.232098000000001</v>
      </c>
      <c r="I39">
        <v>59.109397999999999</v>
      </c>
      <c r="J39">
        <v>59.442653999999997</v>
      </c>
      <c r="K39">
        <v>60.168362000000002</v>
      </c>
      <c r="L39">
        <v>60.942036000000002</v>
      </c>
      <c r="M39">
        <v>61.786160000000002</v>
      </c>
      <c r="N39">
        <v>62.527434999999997</v>
      </c>
      <c r="O39">
        <v>63.237366000000002</v>
      </c>
      <c r="P39">
        <v>64.040108000000004</v>
      </c>
      <c r="Q39">
        <v>65.104018999999994</v>
      </c>
      <c r="R39">
        <v>66.054314000000005</v>
      </c>
      <c r="S39">
        <v>66.994217000000006</v>
      </c>
      <c r="T39">
        <v>67.990768000000003</v>
      </c>
      <c r="U39">
        <v>68.908278999999993</v>
      </c>
      <c r="V39">
        <v>69.951363000000001</v>
      </c>
      <c r="W39">
        <v>70.936751999999998</v>
      </c>
      <c r="X39">
        <v>71.987885000000006</v>
      </c>
      <c r="Y39">
        <v>73.103226000000006</v>
      </c>
      <c r="Z39">
        <v>74.280495000000002</v>
      </c>
      <c r="AA39">
        <v>75.437995999999998</v>
      </c>
      <c r="AB39">
        <v>76.598990999999998</v>
      </c>
      <c r="AC39">
        <v>77.726692</v>
      </c>
      <c r="AD39">
        <v>78.778594999999996</v>
      </c>
      <c r="AE39">
        <v>79.907218999999998</v>
      </c>
      <c r="AF39">
        <v>81.064887999999996</v>
      </c>
      <c r="AG39">
        <v>82.133056999999994</v>
      </c>
      <c r="AH39">
        <v>83.250366</v>
      </c>
      <c r="AI39">
        <v>84.619040999999996</v>
      </c>
      <c r="AJ39" s="31">
        <v>1.2999999999999999E-2</v>
      </c>
      <c r="AL39" s="31"/>
    </row>
    <row r="40" spans="1:38">
      <c r="B40" t="s">
        <v>392</v>
      </c>
    </row>
    <row r="41" spans="1:38">
      <c r="A41" s="163" t="s">
        <v>114</v>
      </c>
      <c r="B41" t="s">
        <v>327</v>
      </c>
      <c r="C41" t="s">
        <v>2424</v>
      </c>
      <c r="D41" t="s">
        <v>2425</v>
      </c>
      <c r="E41" t="s">
        <v>387</v>
      </c>
      <c r="G41">
        <v>184.85647599999999</v>
      </c>
      <c r="H41">
        <v>184.36309800000001</v>
      </c>
      <c r="I41">
        <v>184.53233299999999</v>
      </c>
      <c r="J41">
        <v>185.92311100000001</v>
      </c>
      <c r="K41">
        <v>188.09622200000001</v>
      </c>
      <c r="L41">
        <v>189.92868000000001</v>
      </c>
      <c r="M41">
        <v>191.46675099999999</v>
      </c>
      <c r="N41">
        <v>192.31585699999999</v>
      </c>
      <c r="O41">
        <v>192.75872799999999</v>
      </c>
      <c r="P41">
        <v>193.261459</v>
      </c>
      <c r="Q41">
        <v>194.18498199999999</v>
      </c>
      <c r="R41">
        <v>194.74160800000001</v>
      </c>
      <c r="S41">
        <v>195.212692</v>
      </c>
      <c r="T41">
        <v>195.789413</v>
      </c>
      <c r="U41">
        <v>196.09771699999999</v>
      </c>
      <c r="V41">
        <v>196.645309</v>
      </c>
      <c r="W41">
        <v>197.177887</v>
      </c>
      <c r="X41">
        <v>197.587006</v>
      </c>
      <c r="Y41">
        <v>198.118088</v>
      </c>
      <c r="Z41">
        <v>198.717422</v>
      </c>
      <c r="AA41">
        <v>199.29679899999999</v>
      </c>
      <c r="AB41">
        <v>199.71180699999999</v>
      </c>
      <c r="AC41">
        <v>199.916168</v>
      </c>
      <c r="AD41">
        <v>199.88377399999999</v>
      </c>
      <c r="AE41">
        <v>199.97645600000001</v>
      </c>
      <c r="AF41">
        <v>200.03840600000001</v>
      </c>
      <c r="AG41">
        <v>199.82255599999999</v>
      </c>
      <c r="AH41">
        <v>199.676208</v>
      </c>
      <c r="AI41">
        <v>200.11251799999999</v>
      </c>
      <c r="AJ41" s="31">
        <v>3.0000000000000001E-3</v>
      </c>
      <c r="AL41" s="31"/>
    </row>
    <row r="42" spans="1:38">
      <c r="A42" s="163" t="s">
        <v>113</v>
      </c>
      <c r="B42" t="s">
        <v>313</v>
      </c>
      <c r="C42" t="s">
        <v>2426</v>
      </c>
      <c r="D42" t="s">
        <v>2427</v>
      </c>
      <c r="E42" t="s">
        <v>387</v>
      </c>
      <c r="G42">
        <v>0.177811</v>
      </c>
      <c r="H42">
        <v>0.177786</v>
      </c>
      <c r="I42">
        <v>0.18096300000000001</v>
      </c>
      <c r="J42">
        <v>0.18684300000000001</v>
      </c>
      <c r="K42">
        <v>0.19617399999999999</v>
      </c>
      <c r="L42">
        <v>0.207373</v>
      </c>
      <c r="M42">
        <v>0.21936700000000001</v>
      </c>
      <c r="N42">
        <v>0.23114199999999999</v>
      </c>
      <c r="O42">
        <v>0.243587</v>
      </c>
      <c r="P42">
        <v>0.25589200000000001</v>
      </c>
      <c r="Q42">
        <v>0.26813500000000001</v>
      </c>
      <c r="R42">
        <v>0.27929500000000002</v>
      </c>
      <c r="S42">
        <v>0.28943799999999997</v>
      </c>
      <c r="T42">
        <v>0.29867300000000002</v>
      </c>
      <c r="U42">
        <v>0.30595</v>
      </c>
      <c r="V42">
        <v>0.31252000000000002</v>
      </c>
      <c r="W42">
        <v>0.317911</v>
      </c>
      <c r="X42">
        <v>0.32267299999999999</v>
      </c>
      <c r="Y42">
        <v>0.32754699999999998</v>
      </c>
      <c r="Z42">
        <v>0.33221099999999998</v>
      </c>
      <c r="AA42">
        <v>0.33520299999999997</v>
      </c>
      <c r="AB42">
        <v>0.33737800000000001</v>
      </c>
      <c r="AC42">
        <v>0.33995199999999998</v>
      </c>
      <c r="AD42">
        <v>0.34246199999999999</v>
      </c>
      <c r="AE42">
        <v>0.34548699999999999</v>
      </c>
      <c r="AF42">
        <v>0.34853699999999999</v>
      </c>
      <c r="AG42">
        <v>0.351078</v>
      </c>
      <c r="AH42">
        <v>0.35373399999999999</v>
      </c>
      <c r="AI42">
        <v>0.35739300000000002</v>
      </c>
      <c r="AJ42" s="31">
        <v>2.5000000000000001E-2</v>
      </c>
      <c r="AL42" s="31"/>
    </row>
    <row r="43" spans="1:38">
      <c r="A43" s="163" t="s">
        <v>257</v>
      </c>
      <c r="B43" t="s">
        <v>308</v>
      </c>
      <c r="C43" t="s">
        <v>2428</v>
      </c>
      <c r="D43" t="s">
        <v>2429</v>
      </c>
      <c r="E43" t="s">
        <v>387</v>
      </c>
      <c r="G43">
        <v>2.7640999999999999E-2</v>
      </c>
      <c r="H43">
        <v>3.0197000000000002E-2</v>
      </c>
      <c r="I43">
        <v>3.2635999999999998E-2</v>
      </c>
      <c r="J43">
        <v>3.4937000000000003E-2</v>
      </c>
      <c r="K43">
        <v>3.7206000000000003E-2</v>
      </c>
      <c r="L43">
        <v>3.9183000000000003E-2</v>
      </c>
      <c r="M43">
        <v>4.0808999999999998E-2</v>
      </c>
      <c r="N43">
        <v>4.1921E-2</v>
      </c>
      <c r="O43">
        <v>4.2710999999999999E-2</v>
      </c>
      <c r="P43">
        <v>4.3318000000000002E-2</v>
      </c>
      <c r="Q43">
        <v>4.3885E-2</v>
      </c>
      <c r="R43">
        <v>4.4438999999999999E-2</v>
      </c>
      <c r="S43">
        <v>4.5072000000000001E-2</v>
      </c>
      <c r="T43">
        <v>4.5765E-2</v>
      </c>
      <c r="U43">
        <v>4.6310999999999998E-2</v>
      </c>
      <c r="V43">
        <v>4.6865999999999998E-2</v>
      </c>
      <c r="W43">
        <v>4.7247999999999998E-2</v>
      </c>
      <c r="X43">
        <v>4.7566999999999998E-2</v>
      </c>
      <c r="Y43">
        <v>4.7884999999999997E-2</v>
      </c>
      <c r="Z43">
        <v>4.8297E-2</v>
      </c>
      <c r="AA43">
        <v>4.8665E-2</v>
      </c>
      <c r="AB43">
        <v>4.8979000000000002E-2</v>
      </c>
      <c r="AC43">
        <v>4.9224999999999998E-2</v>
      </c>
      <c r="AD43">
        <v>4.9414E-2</v>
      </c>
      <c r="AE43">
        <v>4.9660999999999997E-2</v>
      </c>
      <c r="AF43">
        <v>4.9919999999999999E-2</v>
      </c>
      <c r="AG43">
        <v>5.0112999999999998E-2</v>
      </c>
      <c r="AH43">
        <v>5.0276000000000001E-2</v>
      </c>
      <c r="AI43">
        <v>5.0529999999999999E-2</v>
      </c>
      <c r="AJ43" s="31">
        <v>2.1999999999999999E-2</v>
      </c>
      <c r="AL43" s="31"/>
    </row>
    <row r="44" spans="1:38">
      <c r="A44" s="163" t="s">
        <v>112</v>
      </c>
      <c r="B44" t="s">
        <v>307</v>
      </c>
      <c r="C44" t="s">
        <v>2430</v>
      </c>
      <c r="D44" t="s">
        <v>2431</v>
      </c>
      <c r="E44" t="s">
        <v>387</v>
      </c>
      <c r="G44">
        <v>2.1454529999999998</v>
      </c>
      <c r="H44">
        <v>2.1948080000000001</v>
      </c>
      <c r="I44">
        <v>2.238753</v>
      </c>
      <c r="J44">
        <v>2.2810100000000002</v>
      </c>
      <c r="K44">
        <v>2.3176160000000001</v>
      </c>
      <c r="L44">
        <v>2.333008</v>
      </c>
      <c r="M44">
        <v>2.3302770000000002</v>
      </c>
      <c r="N44">
        <v>2.3079909999999999</v>
      </c>
      <c r="O44">
        <v>2.2735799999999999</v>
      </c>
      <c r="P44">
        <v>2.2439960000000001</v>
      </c>
      <c r="Q44">
        <v>2.2315640000000001</v>
      </c>
      <c r="R44">
        <v>2.2348680000000001</v>
      </c>
      <c r="S44">
        <v>2.258435</v>
      </c>
      <c r="T44">
        <v>2.300837</v>
      </c>
      <c r="U44">
        <v>2.3548930000000001</v>
      </c>
      <c r="V44">
        <v>2.4257279999999999</v>
      </c>
      <c r="W44">
        <v>2.5085950000000001</v>
      </c>
      <c r="X44">
        <v>2.603091</v>
      </c>
      <c r="Y44">
        <v>2.7135720000000001</v>
      </c>
      <c r="Z44">
        <v>2.839585</v>
      </c>
      <c r="AA44">
        <v>2.9759509999999998</v>
      </c>
      <c r="AB44">
        <v>3.1213359999999999</v>
      </c>
      <c r="AC44">
        <v>3.2739780000000001</v>
      </c>
      <c r="AD44">
        <v>3.4313400000000001</v>
      </c>
      <c r="AE44">
        <v>3.5991050000000002</v>
      </c>
      <c r="AF44">
        <v>3.7760549999999999</v>
      </c>
      <c r="AG44">
        <v>3.9549439999999998</v>
      </c>
      <c r="AH44">
        <v>4.1425939999999999</v>
      </c>
      <c r="AI44">
        <v>4.3523269999999998</v>
      </c>
      <c r="AJ44" s="31">
        <v>2.5999999999999999E-2</v>
      </c>
      <c r="AL44" s="31"/>
    </row>
    <row r="45" spans="1:38">
      <c r="A45" s="163" t="s">
        <v>113</v>
      </c>
      <c r="B45" t="s">
        <v>378</v>
      </c>
      <c r="C45" t="s">
        <v>2432</v>
      </c>
      <c r="D45" t="s">
        <v>2433</v>
      </c>
      <c r="E45" t="s">
        <v>387</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117</v>
      </c>
    </row>
    <row r="46" spans="1:38">
      <c r="A46" s="163" t="s">
        <v>111</v>
      </c>
      <c r="B46" t="s">
        <v>379</v>
      </c>
      <c r="C46" t="s">
        <v>2434</v>
      </c>
      <c r="D46" t="s">
        <v>2435</v>
      </c>
      <c r="E46" t="s">
        <v>387</v>
      </c>
      <c r="G46">
        <v>4.2640000000000004E-3</v>
      </c>
      <c r="H46">
        <v>4.9620000000000003E-3</v>
      </c>
      <c r="I46">
        <v>5.5589999999999997E-3</v>
      </c>
      <c r="J46">
        <v>6.0879999999999997E-3</v>
      </c>
      <c r="K46">
        <v>6.5510000000000004E-3</v>
      </c>
      <c r="L46">
        <v>6.9119999999999997E-3</v>
      </c>
      <c r="M46">
        <v>7.1720000000000004E-3</v>
      </c>
      <c r="N46">
        <v>7.3239999999999998E-3</v>
      </c>
      <c r="O46">
        <v>7.3829999999999998E-3</v>
      </c>
      <c r="P46">
        <v>7.3670000000000003E-3</v>
      </c>
      <c r="Q46">
        <v>7.2839999999999997E-3</v>
      </c>
      <c r="R46">
        <v>7.1079999999999997E-3</v>
      </c>
      <c r="S46">
        <v>6.8630000000000002E-3</v>
      </c>
      <c r="T46">
        <v>6.574E-3</v>
      </c>
      <c r="U46">
        <v>6.2440000000000004E-3</v>
      </c>
      <c r="V46">
        <v>5.9220000000000002E-3</v>
      </c>
      <c r="W46">
        <v>5.6039999999999996E-3</v>
      </c>
      <c r="X46">
        <v>5.2440000000000004E-3</v>
      </c>
      <c r="Y46">
        <v>4.8760000000000001E-3</v>
      </c>
      <c r="Z46">
        <v>4.5599999999999998E-3</v>
      </c>
      <c r="AA46">
        <v>4.2989999999999999E-3</v>
      </c>
      <c r="AB46">
        <v>4.0299999999999997E-3</v>
      </c>
      <c r="AC46">
        <v>3.7850000000000002E-3</v>
      </c>
      <c r="AD46">
        <v>3.5599999999999998E-3</v>
      </c>
      <c r="AE46">
        <v>3.3570000000000002E-3</v>
      </c>
      <c r="AF46">
        <v>3.1700000000000001E-3</v>
      </c>
      <c r="AG46">
        <v>2.9910000000000002E-3</v>
      </c>
      <c r="AH46">
        <v>2.826E-3</v>
      </c>
      <c r="AI46">
        <v>2.6809999999999998E-3</v>
      </c>
      <c r="AJ46" s="31">
        <v>-1.6E-2</v>
      </c>
      <c r="AL46" s="31"/>
    </row>
    <row r="47" spans="1:38">
      <c r="A47" s="163" t="s">
        <v>115</v>
      </c>
      <c r="B47" t="s">
        <v>381</v>
      </c>
      <c r="C47" t="s">
        <v>2436</v>
      </c>
      <c r="D47" t="s">
        <v>2437</v>
      </c>
      <c r="E47" t="s">
        <v>387</v>
      </c>
      <c r="G47">
        <v>0</v>
      </c>
      <c r="H47">
        <v>0</v>
      </c>
      <c r="I47">
        <v>1.2459999999999999E-3</v>
      </c>
      <c r="J47">
        <v>2.4299999999999999E-3</v>
      </c>
      <c r="K47">
        <v>3.5999999999999999E-3</v>
      </c>
      <c r="L47">
        <v>4.7790000000000003E-3</v>
      </c>
      <c r="M47">
        <v>5.9699999999999996E-3</v>
      </c>
      <c r="N47">
        <v>7.1459999999999996E-3</v>
      </c>
      <c r="O47">
        <v>8.3099999999999997E-3</v>
      </c>
      <c r="P47">
        <v>9.4830000000000001E-3</v>
      </c>
      <c r="Q47">
        <v>1.0697E-2</v>
      </c>
      <c r="R47">
        <v>1.1908E-2</v>
      </c>
      <c r="S47">
        <v>1.3110999999999999E-2</v>
      </c>
      <c r="T47">
        <v>1.4297000000000001E-2</v>
      </c>
      <c r="U47">
        <v>1.5442000000000001E-2</v>
      </c>
      <c r="V47">
        <v>1.6583000000000001E-2</v>
      </c>
      <c r="W47">
        <v>1.7701999999999999E-2</v>
      </c>
      <c r="X47">
        <v>1.8821000000000001E-2</v>
      </c>
      <c r="Y47">
        <v>1.9993E-2</v>
      </c>
      <c r="Z47">
        <v>2.1249000000000001E-2</v>
      </c>
      <c r="AA47">
        <v>2.2599000000000001E-2</v>
      </c>
      <c r="AB47">
        <v>2.4008999999999999E-2</v>
      </c>
      <c r="AC47">
        <v>2.5467E-2</v>
      </c>
      <c r="AD47">
        <v>2.7012999999999999E-2</v>
      </c>
      <c r="AE47">
        <v>2.8766E-2</v>
      </c>
      <c r="AF47">
        <v>3.0682000000000001E-2</v>
      </c>
      <c r="AG47">
        <v>3.2723000000000002E-2</v>
      </c>
      <c r="AH47">
        <v>3.4948E-2</v>
      </c>
      <c r="AI47">
        <v>3.7458999999999999E-2</v>
      </c>
      <c r="AJ47" t="s">
        <v>117</v>
      </c>
      <c r="AL47" s="31"/>
    </row>
    <row r="48" spans="1:38">
      <c r="A48" s="163" t="s">
        <v>115</v>
      </c>
      <c r="B48" t="s">
        <v>380</v>
      </c>
      <c r="C48" t="s">
        <v>2438</v>
      </c>
      <c r="D48" t="s">
        <v>2439</v>
      </c>
      <c r="E48" t="s">
        <v>387</v>
      </c>
      <c r="G48">
        <v>0</v>
      </c>
      <c r="H48">
        <v>0</v>
      </c>
      <c r="I48">
        <v>2.7629999999999998E-3</v>
      </c>
      <c r="J48">
        <v>5.3410000000000003E-3</v>
      </c>
      <c r="K48">
        <v>7.8609999999999999E-3</v>
      </c>
      <c r="L48">
        <v>1.0366999999999999E-2</v>
      </c>
      <c r="M48">
        <v>1.2848999999999999E-2</v>
      </c>
      <c r="N48">
        <v>1.5254999999999999E-2</v>
      </c>
      <c r="O48">
        <v>1.7602E-2</v>
      </c>
      <c r="P48">
        <v>1.9949999999999999E-2</v>
      </c>
      <c r="Q48">
        <v>2.2349999999999998E-2</v>
      </c>
      <c r="R48">
        <v>2.4709999999999999E-2</v>
      </c>
      <c r="S48">
        <v>2.7015999999999998E-2</v>
      </c>
      <c r="T48">
        <v>2.9253000000000001E-2</v>
      </c>
      <c r="U48">
        <v>3.1358999999999998E-2</v>
      </c>
      <c r="V48">
        <v>3.3411999999999997E-2</v>
      </c>
      <c r="W48">
        <v>3.5375999999999998E-2</v>
      </c>
      <c r="X48">
        <v>3.7298999999999999E-2</v>
      </c>
      <c r="Y48">
        <v>3.9281999999999997E-2</v>
      </c>
      <c r="Z48">
        <v>4.1389000000000002E-2</v>
      </c>
      <c r="AA48">
        <v>4.3633999999999999E-2</v>
      </c>
      <c r="AB48">
        <v>4.5939000000000001E-2</v>
      </c>
      <c r="AC48">
        <v>4.8251000000000002E-2</v>
      </c>
      <c r="AD48">
        <v>5.0642E-2</v>
      </c>
      <c r="AE48">
        <v>5.3318999999999998E-2</v>
      </c>
      <c r="AF48">
        <v>5.6163999999999999E-2</v>
      </c>
      <c r="AG48">
        <v>5.9069999999999998E-2</v>
      </c>
      <c r="AH48">
        <v>6.2129999999999998E-2</v>
      </c>
      <c r="AI48">
        <v>6.5481999999999999E-2</v>
      </c>
      <c r="AJ48" t="s">
        <v>117</v>
      </c>
      <c r="AL48" s="31"/>
    </row>
    <row r="49" spans="1:38">
      <c r="A49" s="163" t="s">
        <v>258</v>
      </c>
      <c r="B49" t="s">
        <v>382</v>
      </c>
      <c r="C49" t="s">
        <v>2440</v>
      </c>
      <c r="D49" t="s">
        <v>2441</v>
      </c>
      <c r="E49" t="s">
        <v>387</v>
      </c>
      <c r="G49">
        <v>0</v>
      </c>
      <c r="H49">
        <v>0</v>
      </c>
      <c r="I49">
        <v>6.7799999999999996E-3</v>
      </c>
      <c r="J49">
        <v>1.3259E-2</v>
      </c>
      <c r="K49">
        <v>1.9751000000000001E-2</v>
      </c>
      <c r="L49">
        <v>2.6343999999999999E-2</v>
      </c>
      <c r="M49">
        <v>3.2989999999999998E-2</v>
      </c>
      <c r="N49">
        <v>3.9545999999999998E-2</v>
      </c>
      <c r="O49">
        <v>4.5989000000000002E-2</v>
      </c>
      <c r="P49">
        <v>5.2422999999999997E-2</v>
      </c>
      <c r="Q49">
        <v>5.8964999999999997E-2</v>
      </c>
      <c r="R49">
        <v>6.5315999999999999E-2</v>
      </c>
      <c r="S49">
        <v>7.1456000000000006E-2</v>
      </c>
      <c r="T49">
        <v>7.7359999999999998E-2</v>
      </c>
      <c r="U49">
        <v>8.2834000000000005E-2</v>
      </c>
      <c r="V49">
        <v>8.8063000000000002E-2</v>
      </c>
      <c r="W49">
        <v>9.2966999999999994E-2</v>
      </c>
      <c r="X49">
        <v>9.7628999999999994E-2</v>
      </c>
      <c r="Y49">
        <v>0.102295</v>
      </c>
      <c r="Z49">
        <v>0.107098</v>
      </c>
      <c r="AA49">
        <v>0.112072</v>
      </c>
      <c r="AB49">
        <v>0.117018</v>
      </c>
      <c r="AC49">
        <v>0.121867</v>
      </c>
      <c r="AD49">
        <v>0.126833</v>
      </c>
      <c r="AE49">
        <v>0.13251499999999999</v>
      </c>
      <c r="AF49">
        <v>0.13867199999999999</v>
      </c>
      <c r="AG49">
        <v>0.14514199999999999</v>
      </c>
      <c r="AH49">
        <v>0.15223400000000001</v>
      </c>
      <c r="AI49">
        <v>0.16041800000000001</v>
      </c>
      <c r="AJ49" t="s">
        <v>117</v>
      </c>
      <c r="AL49" s="31"/>
    </row>
    <row r="50" spans="1:38">
      <c r="B50" t="s">
        <v>393</v>
      </c>
      <c r="C50" t="s">
        <v>2442</v>
      </c>
      <c r="D50" t="s">
        <v>2443</v>
      </c>
      <c r="E50" t="s">
        <v>387</v>
      </c>
      <c r="G50">
        <v>187.21160900000001</v>
      </c>
      <c r="H50">
        <v>186.77065999999999</v>
      </c>
      <c r="I50">
        <v>187.000778</v>
      </c>
      <c r="J50">
        <v>188.45283499999999</v>
      </c>
      <c r="K50">
        <v>190.68485999999999</v>
      </c>
      <c r="L50">
        <v>192.55638099999999</v>
      </c>
      <c r="M50">
        <v>194.11634799999999</v>
      </c>
      <c r="N50">
        <v>194.965881</v>
      </c>
      <c r="O50">
        <v>195.39752200000001</v>
      </c>
      <c r="P50">
        <v>195.89364599999999</v>
      </c>
      <c r="Q50">
        <v>196.827133</v>
      </c>
      <c r="R50">
        <v>197.409042</v>
      </c>
      <c r="S50">
        <v>197.923721</v>
      </c>
      <c r="T50">
        <v>198.56163000000001</v>
      </c>
      <c r="U50">
        <v>198.940033</v>
      </c>
      <c r="V50">
        <v>199.57363900000001</v>
      </c>
      <c r="W50">
        <v>200.20254499999999</v>
      </c>
      <c r="X50">
        <v>200.71847500000001</v>
      </c>
      <c r="Y50">
        <v>201.372726</v>
      </c>
      <c r="Z50">
        <v>202.11119099999999</v>
      </c>
      <c r="AA50">
        <v>202.83833300000001</v>
      </c>
      <c r="AB50">
        <v>203.409256</v>
      </c>
      <c r="AC50">
        <v>203.777603</v>
      </c>
      <c r="AD50">
        <v>203.91366600000001</v>
      </c>
      <c r="AE50">
        <v>204.18713399999999</v>
      </c>
      <c r="AF50">
        <v>204.44009399999999</v>
      </c>
      <c r="AG50">
        <v>204.41752600000001</v>
      </c>
      <c r="AH50">
        <v>204.47378499999999</v>
      </c>
      <c r="AI50">
        <v>205.13784799999999</v>
      </c>
      <c r="AJ50" s="31">
        <v>3.0000000000000001E-3</v>
      </c>
      <c r="AL50" s="31"/>
    </row>
    <row r="51" spans="1:38">
      <c r="B51" t="s">
        <v>394</v>
      </c>
      <c r="C51" t="s">
        <v>2444</v>
      </c>
      <c r="D51" t="s">
        <v>2445</v>
      </c>
      <c r="E51" t="s">
        <v>387</v>
      </c>
      <c r="G51">
        <v>321.95382699999999</v>
      </c>
      <c r="H51">
        <v>320.71957400000002</v>
      </c>
      <c r="I51">
        <v>321.15536500000002</v>
      </c>
      <c r="J51">
        <v>324.03747600000003</v>
      </c>
      <c r="K51">
        <v>328.449524</v>
      </c>
      <c r="L51">
        <v>332.317474</v>
      </c>
      <c r="M51">
        <v>335.87713600000001</v>
      </c>
      <c r="N51">
        <v>338.61987299999998</v>
      </c>
      <c r="O51">
        <v>341.150757</v>
      </c>
      <c r="P51">
        <v>344.15997299999998</v>
      </c>
      <c r="Q51">
        <v>348.16451999999998</v>
      </c>
      <c r="R51">
        <v>351.53851300000002</v>
      </c>
      <c r="S51">
        <v>354.827271</v>
      </c>
      <c r="T51">
        <v>358.34310900000003</v>
      </c>
      <c r="U51">
        <v>361.39160199999998</v>
      </c>
      <c r="V51">
        <v>364.92498799999998</v>
      </c>
      <c r="W51">
        <v>368.37805200000003</v>
      </c>
      <c r="X51">
        <v>371.80917399999998</v>
      </c>
      <c r="Y51">
        <v>375.585419</v>
      </c>
      <c r="Z51">
        <v>379.58303799999999</v>
      </c>
      <c r="AA51">
        <v>383.51110799999998</v>
      </c>
      <c r="AB51">
        <v>387.20507800000001</v>
      </c>
      <c r="AC51">
        <v>390.63012700000002</v>
      </c>
      <c r="AD51">
        <v>393.83450299999998</v>
      </c>
      <c r="AE51">
        <v>397.53842200000003</v>
      </c>
      <c r="AF51">
        <v>401.35025000000002</v>
      </c>
      <c r="AG51">
        <v>404.65438799999998</v>
      </c>
      <c r="AH51">
        <v>408.21890300000001</v>
      </c>
      <c r="AI51">
        <v>413.07754499999999</v>
      </c>
      <c r="AJ51" s="31">
        <v>8.9999999999999993E-3</v>
      </c>
      <c r="AL51" s="31"/>
    </row>
    <row r="52" spans="1:38">
      <c r="B52" t="s">
        <v>395</v>
      </c>
    </row>
    <row r="53" spans="1:38">
      <c r="B53" t="s">
        <v>341</v>
      </c>
    </row>
    <row r="54" spans="1:38">
      <c r="A54" s="163" t="s">
        <v>114</v>
      </c>
      <c r="B54" t="s">
        <v>327</v>
      </c>
      <c r="C54" t="s">
        <v>2446</v>
      </c>
      <c r="D54" t="s">
        <v>2447</v>
      </c>
      <c r="E54" t="s">
        <v>354</v>
      </c>
      <c r="G54">
        <v>503.23831200000001</v>
      </c>
      <c r="H54">
        <v>484.80926499999998</v>
      </c>
      <c r="I54">
        <v>470.10183699999999</v>
      </c>
      <c r="J54">
        <v>459.78448500000002</v>
      </c>
      <c r="K54">
        <v>451.87814300000002</v>
      </c>
      <c r="L54">
        <v>443.24606299999999</v>
      </c>
      <c r="M54">
        <v>435.43273900000003</v>
      </c>
      <c r="N54">
        <v>428.57592799999998</v>
      </c>
      <c r="O54">
        <v>424.18490600000001</v>
      </c>
      <c r="P54">
        <v>422.56686400000001</v>
      </c>
      <c r="Q54">
        <v>423.05703699999998</v>
      </c>
      <c r="R54">
        <v>423.25711100000001</v>
      </c>
      <c r="S54">
        <v>424.284088</v>
      </c>
      <c r="T54">
        <v>426.25698899999998</v>
      </c>
      <c r="U54">
        <v>428.07437099999999</v>
      </c>
      <c r="V54">
        <v>430.74142499999999</v>
      </c>
      <c r="W54">
        <v>433.84167500000001</v>
      </c>
      <c r="X54">
        <v>437.71460000000002</v>
      </c>
      <c r="Y54">
        <v>442.68820199999999</v>
      </c>
      <c r="Z54">
        <v>448.15237400000001</v>
      </c>
      <c r="AA54">
        <v>453.842896</v>
      </c>
      <c r="AB54">
        <v>459.89022799999998</v>
      </c>
      <c r="AC54">
        <v>466.29980499999999</v>
      </c>
      <c r="AD54">
        <v>473.53125</v>
      </c>
      <c r="AE54">
        <v>482.34017899999998</v>
      </c>
      <c r="AF54">
        <v>491.89630099999999</v>
      </c>
      <c r="AG54">
        <v>501.23675500000002</v>
      </c>
      <c r="AH54">
        <v>511.31161500000002</v>
      </c>
      <c r="AI54">
        <v>523.31237799999997</v>
      </c>
      <c r="AJ54" s="31">
        <v>1E-3</v>
      </c>
      <c r="AL54" s="31"/>
    </row>
    <row r="55" spans="1:38">
      <c r="A55" s="163" t="s">
        <v>113</v>
      </c>
      <c r="B55" t="s">
        <v>313</v>
      </c>
      <c r="C55" t="s">
        <v>2448</v>
      </c>
      <c r="D55" t="s">
        <v>2449</v>
      </c>
      <c r="E55" t="s">
        <v>354</v>
      </c>
      <c r="G55">
        <v>196.41987599999999</v>
      </c>
      <c r="H55">
        <v>201.42117300000001</v>
      </c>
      <c r="I55">
        <v>206.93258700000001</v>
      </c>
      <c r="J55">
        <v>213.48280299999999</v>
      </c>
      <c r="K55">
        <v>220.532242</v>
      </c>
      <c r="L55">
        <v>226.21765099999999</v>
      </c>
      <c r="M55">
        <v>231.31050099999999</v>
      </c>
      <c r="N55">
        <v>235.959091</v>
      </c>
      <c r="O55">
        <v>241.020599</v>
      </c>
      <c r="P55">
        <v>246.62307699999999</v>
      </c>
      <c r="Q55">
        <v>253.26930200000001</v>
      </c>
      <c r="R55">
        <v>259.52279700000003</v>
      </c>
      <c r="S55">
        <v>265.59988399999997</v>
      </c>
      <c r="T55">
        <v>271.63848899999999</v>
      </c>
      <c r="U55">
        <v>277.36450200000002</v>
      </c>
      <c r="V55">
        <v>283.44360399999999</v>
      </c>
      <c r="W55">
        <v>289.37484699999999</v>
      </c>
      <c r="X55">
        <v>295.02786300000002</v>
      </c>
      <c r="Y55">
        <v>300.90585299999998</v>
      </c>
      <c r="Z55">
        <v>307.12255900000002</v>
      </c>
      <c r="AA55">
        <v>313.00485200000003</v>
      </c>
      <c r="AB55">
        <v>318.11236600000001</v>
      </c>
      <c r="AC55">
        <v>322.94775399999997</v>
      </c>
      <c r="AD55">
        <v>327.87622099999999</v>
      </c>
      <c r="AE55">
        <v>333.58059700000001</v>
      </c>
      <c r="AF55">
        <v>339.54461700000002</v>
      </c>
      <c r="AG55">
        <v>345.05282599999998</v>
      </c>
      <c r="AH55">
        <v>350.95578</v>
      </c>
      <c r="AI55">
        <v>358.22073399999999</v>
      </c>
      <c r="AJ55" s="31">
        <v>2.1999999999999999E-2</v>
      </c>
      <c r="AL55" s="31"/>
    </row>
    <row r="56" spans="1:38">
      <c r="A56" s="163" t="s">
        <v>257</v>
      </c>
      <c r="B56" t="s">
        <v>308</v>
      </c>
      <c r="C56" t="s">
        <v>2450</v>
      </c>
      <c r="D56" t="s">
        <v>2451</v>
      </c>
      <c r="E56" t="s">
        <v>354</v>
      </c>
      <c r="G56">
        <v>8.8240000000000002E-3</v>
      </c>
      <c r="H56">
        <v>7.9077999999999996E-2</v>
      </c>
      <c r="I56">
        <v>0.148368</v>
      </c>
      <c r="J56">
        <v>0.21179600000000001</v>
      </c>
      <c r="K56">
        <v>0.27223000000000003</v>
      </c>
      <c r="L56">
        <v>0.32808500000000002</v>
      </c>
      <c r="M56">
        <v>0.38041599999999998</v>
      </c>
      <c r="N56">
        <v>0.42970399999999997</v>
      </c>
      <c r="O56">
        <v>0.47746899999999998</v>
      </c>
      <c r="P56">
        <v>0.52570099999999997</v>
      </c>
      <c r="Q56">
        <v>0.57518100000000005</v>
      </c>
      <c r="R56">
        <v>0.62354500000000002</v>
      </c>
      <c r="S56">
        <v>0.67189600000000005</v>
      </c>
      <c r="T56">
        <v>0.72209299999999998</v>
      </c>
      <c r="U56">
        <v>0.774258</v>
      </c>
      <c r="V56">
        <v>0.83129299999999995</v>
      </c>
      <c r="W56">
        <v>0.89303100000000002</v>
      </c>
      <c r="X56">
        <v>0.96070500000000003</v>
      </c>
      <c r="Y56">
        <v>1.0362130000000001</v>
      </c>
      <c r="Z56">
        <v>1.1198399999999999</v>
      </c>
      <c r="AA56">
        <v>1.2106049999999999</v>
      </c>
      <c r="AB56">
        <v>1.308586</v>
      </c>
      <c r="AC56">
        <v>1.4124559999999999</v>
      </c>
      <c r="AD56">
        <v>1.5254019999999999</v>
      </c>
      <c r="AE56">
        <v>1.6511499999999999</v>
      </c>
      <c r="AF56">
        <v>1.7869219999999999</v>
      </c>
      <c r="AG56">
        <v>1.9285939999999999</v>
      </c>
      <c r="AH56">
        <v>2.0794359999999998</v>
      </c>
      <c r="AI56">
        <v>2.2445430000000002</v>
      </c>
      <c r="AJ56" s="31">
        <v>0.219</v>
      </c>
      <c r="AL56" s="31"/>
    </row>
    <row r="57" spans="1:38">
      <c r="A57" s="163" t="s">
        <v>112</v>
      </c>
      <c r="B57" t="s">
        <v>307</v>
      </c>
      <c r="C57" t="s">
        <v>2452</v>
      </c>
      <c r="D57" t="s">
        <v>2453</v>
      </c>
      <c r="E57" t="s">
        <v>354</v>
      </c>
      <c r="G57">
        <v>0.19211600000000001</v>
      </c>
      <c r="H57">
        <v>0.174257</v>
      </c>
      <c r="I57">
        <v>0.158799</v>
      </c>
      <c r="J57">
        <v>0.14580599999999999</v>
      </c>
      <c r="K57">
        <v>0.134438</v>
      </c>
      <c r="L57">
        <v>0.123654</v>
      </c>
      <c r="M57">
        <v>0.113679</v>
      </c>
      <c r="N57">
        <v>0.10448499999999999</v>
      </c>
      <c r="O57">
        <v>9.6243999999999996E-2</v>
      </c>
      <c r="P57">
        <v>8.8942999999999994E-2</v>
      </c>
      <c r="Q57">
        <v>8.2427E-2</v>
      </c>
      <c r="R57">
        <v>7.5772999999999993E-2</v>
      </c>
      <c r="S57">
        <v>6.8821999999999994E-2</v>
      </c>
      <c r="T57">
        <v>6.1432E-2</v>
      </c>
      <c r="U57">
        <v>5.3884000000000001E-2</v>
      </c>
      <c r="V57">
        <v>4.5974000000000001E-2</v>
      </c>
      <c r="W57">
        <v>3.8684999999999997E-2</v>
      </c>
      <c r="X57">
        <v>3.2133000000000002E-2</v>
      </c>
      <c r="Y57">
        <v>2.5618999999999999E-2</v>
      </c>
      <c r="Z57">
        <v>2.0525000000000002E-2</v>
      </c>
      <c r="AA57">
        <v>1.6806999999999999E-2</v>
      </c>
      <c r="AB57">
        <v>1.4121999999999999E-2</v>
      </c>
      <c r="AC57">
        <v>1.2397999999999999E-2</v>
      </c>
      <c r="AD57">
        <v>1.1207999999999999E-2</v>
      </c>
      <c r="AE57">
        <v>1.0267E-2</v>
      </c>
      <c r="AF57">
        <v>9.6069999999999992E-3</v>
      </c>
      <c r="AG57">
        <v>8.7349999999999997E-3</v>
      </c>
      <c r="AH57">
        <v>7.7340000000000004E-3</v>
      </c>
      <c r="AI57">
        <v>6.4900000000000001E-3</v>
      </c>
      <c r="AJ57" s="31">
        <v>-0.114</v>
      </c>
      <c r="AL57" s="31"/>
    </row>
    <row r="58" spans="1:38">
      <c r="A58" s="163" t="s">
        <v>113</v>
      </c>
      <c r="B58" t="s">
        <v>378</v>
      </c>
      <c r="C58" t="s">
        <v>2454</v>
      </c>
      <c r="D58" t="s">
        <v>2455</v>
      </c>
      <c r="E58" t="s">
        <v>354</v>
      </c>
      <c r="G58">
        <v>45.964244999999998</v>
      </c>
      <c r="H58">
        <v>44.611794000000003</v>
      </c>
      <c r="I58">
        <v>43.499820999999997</v>
      </c>
      <c r="J58">
        <v>42.670467000000002</v>
      </c>
      <c r="K58">
        <v>42.056103</v>
      </c>
      <c r="L58">
        <v>41.417850000000001</v>
      </c>
      <c r="M58">
        <v>40.858673000000003</v>
      </c>
      <c r="N58">
        <v>40.401375000000002</v>
      </c>
      <c r="O58">
        <v>40.094642999999998</v>
      </c>
      <c r="P58">
        <v>39.995682000000002</v>
      </c>
      <c r="Q58">
        <v>40.077168</v>
      </c>
      <c r="R58">
        <v>40.087780000000002</v>
      </c>
      <c r="S58">
        <v>39.881618000000003</v>
      </c>
      <c r="T58">
        <v>39.530631999999997</v>
      </c>
      <c r="U58">
        <v>38.979152999999997</v>
      </c>
      <c r="V58">
        <v>38.427227000000002</v>
      </c>
      <c r="W58">
        <v>37.705452000000001</v>
      </c>
      <c r="X58">
        <v>37.000895999999997</v>
      </c>
      <c r="Y58">
        <v>36.440112999999997</v>
      </c>
      <c r="Z58">
        <v>36.083660000000002</v>
      </c>
      <c r="AA58">
        <v>35.872028</v>
      </c>
      <c r="AB58">
        <v>35.852294999999998</v>
      </c>
      <c r="AC58">
        <v>36.018428999999998</v>
      </c>
      <c r="AD58">
        <v>36.285957000000003</v>
      </c>
      <c r="AE58">
        <v>36.676158999999998</v>
      </c>
      <c r="AF58">
        <v>37.130253000000003</v>
      </c>
      <c r="AG58">
        <v>37.561069000000003</v>
      </c>
      <c r="AH58">
        <v>38.004097000000002</v>
      </c>
      <c r="AI58">
        <v>38.549273999999997</v>
      </c>
      <c r="AJ58" s="31">
        <v>-6.0000000000000001E-3</v>
      </c>
      <c r="AL58" s="31"/>
    </row>
    <row r="59" spans="1:38">
      <c r="A59" s="163" t="s">
        <v>111</v>
      </c>
      <c r="B59" t="s">
        <v>379</v>
      </c>
      <c r="C59" t="s">
        <v>2456</v>
      </c>
      <c r="D59" t="s">
        <v>2457</v>
      </c>
      <c r="E59" t="s">
        <v>354</v>
      </c>
      <c r="G59">
        <v>4.6179999999999997E-3</v>
      </c>
      <c r="H59">
        <v>4.1770000000000002E-3</v>
      </c>
      <c r="I59">
        <v>3.8210000000000002E-3</v>
      </c>
      <c r="J59">
        <v>3.5539999999999999E-3</v>
      </c>
      <c r="K59">
        <v>3.3570000000000002E-3</v>
      </c>
      <c r="L59">
        <v>3.2000000000000002E-3</v>
      </c>
      <c r="M59">
        <v>3.0839999999999999E-3</v>
      </c>
      <c r="N59">
        <v>2.8990000000000001E-3</v>
      </c>
      <c r="O59">
        <v>2.6640000000000001E-3</v>
      </c>
      <c r="P59">
        <v>2.4459999999999998E-3</v>
      </c>
      <c r="Q59">
        <v>2.2529999999999998E-3</v>
      </c>
      <c r="R59">
        <v>1.897E-3</v>
      </c>
      <c r="S59">
        <v>1.495E-3</v>
      </c>
      <c r="T59">
        <v>1.176E-3</v>
      </c>
      <c r="U59">
        <v>9.2299999999999999E-4</v>
      </c>
      <c r="V59">
        <v>7.2400000000000003E-4</v>
      </c>
      <c r="W59">
        <v>5.6800000000000004E-4</v>
      </c>
      <c r="X59">
        <v>4.44E-4</v>
      </c>
      <c r="Y59">
        <v>3.9599999999999998E-4</v>
      </c>
      <c r="Z59">
        <v>3.8699999999999997E-4</v>
      </c>
      <c r="AA59">
        <v>3.7800000000000003E-4</v>
      </c>
      <c r="AB59">
        <v>3.68E-4</v>
      </c>
      <c r="AC59">
        <v>2.9799999999999998E-4</v>
      </c>
      <c r="AD59">
        <v>2.0900000000000001E-4</v>
      </c>
      <c r="AE59">
        <v>1.47E-4</v>
      </c>
      <c r="AF59">
        <v>1.03E-4</v>
      </c>
      <c r="AG59">
        <v>7.2999999999999999E-5</v>
      </c>
      <c r="AH59">
        <v>5.1E-5</v>
      </c>
      <c r="AI59">
        <v>3.6000000000000001E-5</v>
      </c>
      <c r="AJ59" s="31">
        <v>-0.159</v>
      </c>
      <c r="AL59" s="31"/>
    </row>
    <row r="60" spans="1:38">
      <c r="A60" s="163" t="s">
        <v>115</v>
      </c>
      <c r="B60" t="s">
        <v>381</v>
      </c>
      <c r="C60" t="s">
        <v>2458</v>
      </c>
      <c r="D60" t="s">
        <v>2459</v>
      </c>
      <c r="E60" t="s">
        <v>354</v>
      </c>
      <c r="G60">
        <v>0</v>
      </c>
      <c r="H60">
        <v>3.4696999999999999E-2</v>
      </c>
      <c r="I60">
        <v>6.8790000000000004E-2</v>
      </c>
      <c r="J60">
        <v>0.10378999999999999</v>
      </c>
      <c r="K60">
        <v>0.13921900000000001</v>
      </c>
      <c r="L60">
        <v>0.17366699999999999</v>
      </c>
      <c r="M60">
        <v>0.207235</v>
      </c>
      <c r="N60">
        <v>0.239813</v>
      </c>
      <c r="O60">
        <v>0.27203899999999998</v>
      </c>
      <c r="P60">
        <v>0.30468499999999998</v>
      </c>
      <c r="Q60">
        <v>0.338422</v>
      </c>
      <c r="R60">
        <v>0.37222899999999998</v>
      </c>
      <c r="S60">
        <v>0.40734900000000002</v>
      </c>
      <c r="T60">
        <v>0.444994</v>
      </c>
      <c r="U60">
        <v>0.48526599999999998</v>
      </c>
      <c r="V60">
        <v>0.53018200000000004</v>
      </c>
      <c r="W60">
        <v>0.58024100000000001</v>
      </c>
      <c r="X60">
        <v>0.63640699999999994</v>
      </c>
      <c r="Y60">
        <v>0.70034300000000005</v>
      </c>
      <c r="Z60">
        <v>0.77213600000000004</v>
      </c>
      <c r="AA60">
        <v>0.85035000000000005</v>
      </c>
      <c r="AB60">
        <v>0.93393899999999996</v>
      </c>
      <c r="AC60">
        <v>1.022764</v>
      </c>
      <c r="AD60">
        <v>1.1177969999999999</v>
      </c>
      <c r="AE60">
        <v>1.219284</v>
      </c>
      <c r="AF60">
        <v>1.324989</v>
      </c>
      <c r="AG60">
        <v>1.431711</v>
      </c>
      <c r="AH60">
        <v>1.542152</v>
      </c>
      <c r="AI60">
        <v>1.6598889999999999</v>
      </c>
      <c r="AJ60" t="s">
        <v>117</v>
      </c>
      <c r="AL60" s="31"/>
    </row>
    <row r="61" spans="1:38">
      <c r="A61" s="163" t="s">
        <v>115</v>
      </c>
      <c r="B61" t="s">
        <v>380</v>
      </c>
      <c r="C61" t="s">
        <v>2460</v>
      </c>
      <c r="D61" t="s">
        <v>2461</v>
      </c>
      <c r="E61" t="s">
        <v>354</v>
      </c>
      <c r="G61">
        <v>0</v>
      </c>
      <c r="H61">
        <v>3.9742E-2</v>
      </c>
      <c r="I61">
        <v>7.9436000000000007E-2</v>
      </c>
      <c r="J61">
        <v>0.11969100000000001</v>
      </c>
      <c r="K61">
        <v>0.160329</v>
      </c>
      <c r="L61">
        <v>0.19969200000000001</v>
      </c>
      <c r="M61">
        <v>0.23766300000000001</v>
      </c>
      <c r="N61">
        <v>0.27445999999999998</v>
      </c>
      <c r="O61">
        <v>0.311191</v>
      </c>
      <c r="P61">
        <v>0.34926800000000002</v>
      </c>
      <c r="Q61">
        <v>0.38959700000000003</v>
      </c>
      <c r="R61">
        <v>0.43108600000000002</v>
      </c>
      <c r="S61">
        <v>0.47512700000000002</v>
      </c>
      <c r="T61">
        <v>0.523366</v>
      </c>
      <c r="U61">
        <v>0.57591300000000001</v>
      </c>
      <c r="V61">
        <v>0.63542900000000002</v>
      </c>
      <c r="W61">
        <v>0.70260500000000004</v>
      </c>
      <c r="X61">
        <v>0.77890000000000004</v>
      </c>
      <c r="Y61">
        <v>0.86641400000000002</v>
      </c>
      <c r="Z61">
        <v>0.96546299999999996</v>
      </c>
      <c r="AA61">
        <v>1.074376</v>
      </c>
      <c r="AB61">
        <v>1.1920660000000001</v>
      </c>
      <c r="AC61">
        <v>1.317839</v>
      </c>
      <c r="AD61">
        <v>1.452814</v>
      </c>
      <c r="AE61">
        <v>1.5967849999999999</v>
      </c>
      <c r="AF61">
        <v>1.746942</v>
      </c>
      <c r="AG61">
        <v>1.89845</v>
      </c>
      <c r="AH61">
        <v>2.054983</v>
      </c>
      <c r="AI61">
        <v>2.2206440000000001</v>
      </c>
      <c r="AJ61" t="s">
        <v>117</v>
      </c>
      <c r="AL61" s="31"/>
    </row>
    <row r="62" spans="1:38">
      <c r="A62" s="163" t="s">
        <v>258</v>
      </c>
      <c r="B62" t="s">
        <v>382</v>
      </c>
      <c r="C62" t="s">
        <v>2462</v>
      </c>
      <c r="D62" t="s">
        <v>2463</v>
      </c>
      <c r="E62" t="s">
        <v>354</v>
      </c>
      <c r="G62">
        <v>0</v>
      </c>
      <c r="H62">
        <v>0</v>
      </c>
      <c r="I62">
        <v>1.4E-5</v>
      </c>
      <c r="J62">
        <v>3.0000000000000001E-5</v>
      </c>
      <c r="K62">
        <v>4.6999999999999997E-5</v>
      </c>
      <c r="L62">
        <v>6.3E-5</v>
      </c>
      <c r="M62">
        <v>8.0000000000000007E-5</v>
      </c>
      <c r="N62">
        <v>9.5000000000000005E-5</v>
      </c>
      <c r="O62">
        <v>1.1E-4</v>
      </c>
      <c r="P62">
        <v>1.25E-4</v>
      </c>
      <c r="Q62">
        <v>1.3999999999999999E-4</v>
      </c>
      <c r="R62">
        <v>1.5300000000000001E-4</v>
      </c>
      <c r="S62">
        <v>1.66E-4</v>
      </c>
      <c r="T62">
        <v>1.7699999999999999E-4</v>
      </c>
      <c r="U62">
        <v>1.8799999999999999E-4</v>
      </c>
      <c r="V62">
        <v>1.9699999999999999E-4</v>
      </c>
      <c r="W62">
        <v>2.0599999999999999E-4</v>
      </c>
      <c r="X62">
        <v>2.1499999999999999E-4</v>
      </c>
      <c r="Y62">
        <v>2.22E-4</v>
      </c>
      <c r="Z62">
        <v>2.2900000000000001E-4</v>
      </c>
      <c r="AA62">
        <v>2.3499999999999999E-4</v>
      </c>
      <c r="AB62">
        <v>2.3900000000000001E-4</v>
      </c>
      <c r="AC62">
        <v>2.41E-4</v>
      </c>
      <c r="AD62">
        <v>2.43E-4</v>
      </c>
      <c r="AE62">
        <v>2.43E-4</v>
      </c>
      <c r="AF62">
        <v>2.41E-4</v>
      </c>
      <c r="AG62">
        <v>2.3800000000000001E-4</v>
      </c>
      <c r="AH62">
        <v>2.32E-4</v>
      </c>
      <c r="AI62">
        <v>2.2599999999999999E-4</v>
      </c>
      <c r="AJ62" t="s">
        <v>117</v>
      </c>
      <c r="AL62" s="31"/>
    </row>
    <row r="63" spans="1:38">
      <c r="B63" t="s">
        <v>390</v>
      </c>
      <c r="C63" t="s">
        <v>2464</v>
      </c>
      <c r="D63" t="s">
        <v>2465</v>
      </c>
      <c r="E63" t="s">
        <v>354</v>
      </c>
      <c r="G63">
        <v>745.82800299999997</v>
      </c>
      <c r="H63">
        <v>731.17419400000006</v>
      </c>
      <c r="I63">
        <v>720.99334699999997</v>
      </c>
      <c r="J63">
        <v>716.52270499999997</v>
      </c>
      <c r="K63">
        <v>715.17602499999998</v>
      </c>
      <c r="L63">
        <v>711.70977800000003</v>
      </c>
      <c r="M63">
        <v>708.54400599999997</v>
      </c>
      <c r="N63">
        <v>705.98767099999998</v>
      </c>
      <c r="O63">
        <v>706.45977800000003</v>
      </c>
      <c r="P63">
        <v>710.45648200000005</v>
      </c>
      <c r="Q63">
        <v>717.79107699999997</v>
      </c>
      <c r="R63">
        <v>724.37237500000003</v>
      </c>
      <c r="S63">
        <v>731.39025900000001</v>
      </c>
      <c r="T63">
        <v>739.17913799999997</v>
      </c>
      <c r="U63">
        <v>746.30835000000002</v>
      </c>
      <c r="V63">
        <v>754.65625</v>
      </c>
      <c r="W63">
        <v>763.13678000000004</v>
      </c>
      <c r="X63">
        <v>772.15191700000003</v>
      </c>
      <c r="Y63">
        <v>782.66351299999997</v>
      </c>
      <c r="Z63">
        <v>794.23699999999997</v>
      </c>
      <c r="AA63">
        <v>805.87268100000006</v>
      </c>
      <c r="AB63">
        <v>817.30413799999997</v>
      </c>
      <c r="AC63">
        <v>829.03204300000004</v>
      </c>
      <c r="AD63">
        <v>841.80078100000003</v>
      </c>
      <c r="AE63">
        <v>857.074524</v>
      </c>
      <c r="AF63">
        <v>873.44000200000005</v>
      </c>
      <c r="AG63">
        <v>889.11822500000005</v>
      </c>
      <c r="AH63">
        <v>905.955872</v>
      </c>
      <c r="AI63">
        <v>926.21386700000005</v>
      </c>
      <c r="AJ63" s="31">
        <v>8.0000000000000002E-3</v>
      </c>
      <c r="AL63" s="31"/>
    </row>
    <row r="64" spans="1:38">
      <c r="B64" t="s">
        <v>342</v>
      </c>
    </row>
    <row r="65" spans="1:38">
      <c r="A65" s="163" t="s">
        <v>114</v>
      </c>
      <c r="B65" t="s">
        <v>327</v>
      </c>
      <c r="C65" t="s">
        <v>2466</v>
      </c>
      <c r="D65" t="s">
        <v>2467</v>
      </c>
      <c r="E65" t="s">
        <v>354</v>
      </c>
      <c r="G65">
        <v>596.79718000000003</v>
      </c>
      <c r="H65">
        <v>582.57031199999994</v>
      </c>
      <c r="I65">
        <v>570.54583700000001</v>
      </c>
      <c r="J65">
        <v>562.60992399999998</v>
      </c>
      <c r="K65">
        <v>557.47637899999995</v>
      </c>
      <c r="L65">
        <v>552.10058600000002</v>
      </c>
      <c r="M65">
        <v>547.56726100000003</v>
      </c>
      <c r="N65">
        <v>541.83489999999995</v>
      </c>
      <c r="O65">
        <v>535.99304199999995</v>
      </c>
      <c r="P65">
        <v>531.105774</v>
      </c>
      <c r="Q65">
        <v>528.55798300000004</v>
      </c>
      <c r="R65">
        <v>525.61999500000002</v>
      </c>
      <c r="S65">
        <v>523.05523700000003</v>
      </c>
      <c r="T65">
        <v>521.635132</v>
      </c>
      <c r="U65">
        <v>520.47326699999996</v>
      </c>
      <c r="V65">
        <v>520.68817100000001</v>
      </c>
      <c r="W65">
        <v>521.26672399999995</v>
      </c>
      <c r="X65">
        <v>522.35955799999999</v>
      </c>
      <c r="Y65">
        <v>524.42358400000001</v>
      </c>
      <c r="Z65">
        <v>527.08154300000001</v>
      </c>
      <c r="AA65">
        <v>529.90252699999996</v>
      </c>
      <c r="AB65">
        <v>533.30059800000004</v>
      </c>
      <c r="AC65">
        <v>536.98974599999997</v>
      </c>
      <c r="AD65">
        <v>540.51788299999998</v>
      </c>
      <c r="AE65">
        <v>544.76953100000003</v>
      </c>
      <c r="AF65">
        <v>549.50622599999997</v>
      </c>
      <c r="AG65">
        <v>553.89520300000004</v>
      </c>
      <c r="AH65">
        <v>558.68853799999999</v>
      </c>
      <c r="AI65">
        <v>565.29272500000002</v>
      </c>
      <c r="AJ65" s="31">
        <v>-2E-3</v>
      </c>
      <c r="AL65" s="31"/>
    </row>
    <row r="66" spans="1:38">
      <c r="A66" s="163" t="s">
        <v>113</v>
      </c>
      <c r="B66" t="s">
        <v>313</v>
      </c>
      <c r="C66" t="s">
        <v>2468</v>
      </c>
      <c r="D66" t="s">
        <v>2469</v>
      </c>
      <c r="E66" t="s">
        <v>354</v>
      </c>
      <c r="G66">
        <v>361.09713699999998</v>
      </c>
      <c r="H66">
        <v>352.45266700000002</v>
      </c>
      <c r="I66">
        <v>345.87948599999999</v>
      </c>
      <c r="J66">
        <v>341.195312</v>
      </c>
      <c r="K66">
        <v>338.49740600000001</v>
      </c>
      <c r="L66">
        <v>335.44927999999999</v>
      </c>
      <c r="M66">
        <v>333.12942500000003</v>
      </c>
      <c r="N66">
        <v>330.41744999999997</v>
      </c>
      <c r="O66">
        <v>327.605164</v>
      </c>
      <c r="P66">
        <v>325.20840500000003</v>
      </c>
      <c r="Q66">
        <v>324.38137799999998</v>
      </c>
      <c r="R66">
        <v>322.96948200000003</v>
      </c>
      <c r="S66">
        <v>321.80856299999999</v>
      </c>
      <c r="T66">
        <v>321.02459700000003</v>
      </c>
      <c r="U66">
        <v>319.85522500000002</v>
      </c>
      <c r="V66">
        <v>319.80575599999997</v>
      </c>
      <c r="W66">
        <v>319.18862899999999</v>
      </c>
      <c r="X66">
        <v>319.81021099999998</v>
      </c>
      <c r="Y66">
        <v>320.52459700000003</v>
      </c>
      <c r="Z66">
        <v>321.91735799999998</v>
      </c>
      <c r="AA66">
        <v>323.479828</v>
      </c>
      <c r="AB66">
        <v>325.354736</v>
      </c>
      <c r="AC66">
        <v>327.38092</v>
      </c>
      <c r="AD66">
        <v>329.19854700000002</v>
      </c>
      <c r="AE66">
        <v>331.44744900000001</v>
      </c>
      <c r="AF66">
        <v>333.82504299999999</v>
      </c>
      <c r="AG66">
        <v>335.92965700000002</v>
      </c>
      <c r="AH66">
        <v>338.38473499999998</v>
      </c>
      <c r="AI66">
        <v>341.79480000000001</v>
      </c>
      <c r="AJ66" s="31">
        <v>-2E-3</v>
      </c>
      <c r="AL66" s="31"/>
    </row>
    <row r="67" spans="1:38">
      <c r="A67" s="163" t="s">
        <v>257</v>
      </c>
      <c r="B67" t="s">
        <v>308</v>
      </c>
      <c r="C67" t="s">
        <v>2470</v>
      </c>
      <c r="D67" t="s">
        <v>2471</v>
      </c>
      <c r="E67" t="s">
        <v>354</v>
      </c>
      <c r="G67">
        <v>0.66559500000000005</v>
      </c>
      <c r="H67">
        <v>0.68273300000000003</v>
      </c>
      <c r="I67">
        <v>0.70085900000000001</v>
      </c>
      <c r="J67">
        <v>0.72075599999999995</v>
      </c>
      <c r="K67">
        <v>0.74448800000000004</v>
      </c>
      <c r="L67">
        <v>0.76778900000000005</v>
      </c>
      <c r="M67">
        <v>0.79256400000000005</v>
      </c>
      <c r="N67">
        <v>0.81504200000000004</v>
      </c>
      <c r="O67">
        <v>0.83886099999999997</v>
      </c>
      <c r="P67">
        <v>0.86650700000000003</v>
      </c>
      <c r="Q67">
        <v>0.90220500000000003</v>
      </c>
      <c r="R67">
        <v>0.94494599999999995</v>
      </c>
      <c r="S67">
        <v>0.99329800000000001</v>
      </c>
      <c r="T67">
        <v>1.0406519999999999</v>
      </c>
      <c r="U67">
        <v>1.0919840000000001</v>
      </c>
      <c r="V67">
        <v>1.1519010000000001</v>
      </c>
      <c r="W67">
        <v>1.219368</v>
      </c>
      <c r="X67">
        <v>1.295874</v>
      </c>
      <c r="Y67">
        <v>1.3836520000000001</v>
      </c>
      <c r="Z67">
        <v>1.4835039999999999</v>
      </c>
      <c r="AA67">
        <v>1.590991</v>
      </c>
      <c r="AB67">
        <v>1.705203</v>
      </c>
      <c r="AC67">
        <v>1.8237920000000001</v>
      </c>
      <c r="AD67">
        <v>1.9449419999999999</v>
      </c>
      <c r="AE67">
        <v>2.071958</v>
      </c>
      <c r="AF67">
        <v>2.202169</v>
      </c>
      <c r="AG67">
        <v>2.3311099999999998</v>
      </c>
      <c r="AH67">
        <v>2.4515280000000002</v>
      </c>
      <c r="AI67">
        <v>2.5810140000000001</v>
      </c>
      <c r="AJ67" s="31">
        <v>0.05</v>
      </c>
      <c r="AL67" s="31"/>
    </row>
    <row r="68" spans="1:38">
      <c r="A68" s="163" t="s">
        <v>112</v>
      </c>
      <c r="B68" t="s">
        <v>307</v>
      </c>
      <c r="C68" t="s">
        <v>2472</v>
      </c>
      <c r="D68" t="s">
        <v>2473</v>
      </c>
      <c r="E68" t="s">
        <v>354</v>
      </c>
      <c r="G68">
        <v>0.76194399999999995</v>
      </c>
      <c r="H68">
        <v>0.71869899999999998</v>
      </c>
      <c r="I68">
        <v>0.67632099999999995</v>
      </c>
      <c r="J68">
        <v>0.637992</v>
      </c>
      <c r="K68">
        <v>0.60286899999999999</v>
      </c>
      <c r="L68">
        <v>0.56657000000000002</v>
      </c>
      <c r="M68">
        <v>0.53246199999999999</v>
      </c>
      <c r="N68">
        <v>0.49757600000000002</v>
      </c>
      <c r="O68">
        <v>0.46278799999999998</v>
      </c>
      <c r="P68">
        <v>0.43082799999999999</v>
      </c>
      <c r="Q68">
        <v>0.40238600000000002</v>
      </c>
      <c r="R68">
        <v>0.37443300000000002</v>
      </c>
      <c r="S68">
        <v>0.346945</v>
      </c>
      <c r="T68">
        <v>0.32059799999999999</v>
      </c>
      <c r="U68">
        <v>0.29521900000000001</v>
      </c>
      <c r="V68">
        <v>0.27301599999999998</v>
      </c>
      <c r="W68">
        <v>0.253025</v>
      </c>
      <c r="X68">
        <v>0.23599700000000001</v>
      </c>
      <c r="Y68">
        <v>0.22023300000000001</v>
      </c>
      <c r="Z68">
        <v>0.204292</v>
      </c>
      <c r="AA68">
        <v>0.19014900000000001</v>
      </c>
      <c r="AB68">
        <v>0.17355699999999999</v>
      </c>
      <c r="AC68">
        <v>0.156469</v>
      </c>
      <c r="AD68">
        <v>0.14242199999999999</v>
      </c>
      <c r="AE68">
        <v>0.13080600000000001</v>
      </c>
      <c r="AF68">
        <v>0.11888700000000001</v>
      </c>
      <c r="AG68">
        <v>0.106766</v>
      </c>
      <c r="AH68">
        <v>9.5868999999999996E-2</v>
      </c>
      <c r="AI68">
        <v>8.6902999999999994E-2</v>
      </c>
      <c r="AJ68" s="31">
        <v>-7.4999999999999997E-2</v>
      </c>
      <c r="AL68" s="31"/>
    </row>
    <row r="69" spans="1:38">
      <c r="A69" s="163" t="s">
        <v>113</v>
      </c>
      <c r="B69" t="s">
        <v>378</v>
      </c>
      <c r="C69" t="s">
        <v>2474</v>
      </c>
      <c r="D69" t="s">
        <v>2475</v>
      </c>
      <c r="E69" t="s">
        <v>354</v>
      </c>
      <c r="G69">
        <v>10.331885</v>
      </c>
      <c r="H69">
        <v>10.758182</v>
      </c>
      <c r="I69">
        <v>11.321586</v>
      </c>
      <c r="J69">
        <v>11.975374</v>
      </c>
      <c r="K69">
        <v>12.744726</v>
      </c>
      <c r="L69">
        <v>13.587192999999999</v>
      </c>
      <c r="M69">
        <v>14.506133999999999</v>
      </c>
      <c r="N69">
        <v>15.44483</v>
      </c>
      <c r="O69">
        <v>16.450348000000002</v>
      </c>
      <c r="P69">
        <v>17.581883999999999</v>
      </c>
      <c r="Q69">
        <v>18.915562000000001</v>
      </c>
      <c r="R69">
        <v>20.372982</v>
      </c>
      <c r="S69">
        <v>22.01041</v>
      </c>
      <c r="T69">
        <v>23.794563</v>
      </c>
      <c r="U69">
        <v>25.577529999999999</v>
      </c>
      <c r="V69">
        <v>27.489719000000001</v>
      </c>
      <c r="W69">
        <v>29.423684999999999</v>
      </c>
      <c r="X69">
        <v>31.3827</v>
      </c>
      <c r="Y69">
        <v>33.470939999999999</v>
      </c>
      <c r="Z69">
        <v>35.564487</v>
      </c>
      <c r="AA69">
        <v>37.641945</v>
      </c>
      <c r="AB69">
        <v>39.693420000000003</v>
      </c>
      <c r="AC69">
        <v>41.646500000000003</v>
      </c>
      <c r="AD69">
        <v>43.501041000000001</v>
      </c>
      <c r="AE69">
        <v>45.296207000000003</v>
      </c>
      <c r="AF69">
        <v>47.027523000000002</v>
      </c>
      <c r="AG69">
        <v>48.595694999999999</v>
      </c>
      <c r="AH69">
        <v>50.145443</v>
      </c>
      <c r="AI69">
        <v>51.783786999999997</v>
      </c>
      <c r="AJ69" s="31">
        <v>5.8999999999999997E-2</v>
      </c>
      <c r="AL69" s="31"/>
    </row>
    <row r="70" spans="1:38">
      <c r="A70" s="163" t="s">
        <v>111</v>
      </c>
      <c r="B70" t="s">
        <v>379</v>
      </c>
      <c r="C70" t="s">
        <v>2476</v>
      </c>
      <c r="D70" t="s">
        <v>2477</v>
      </c>
      <c r="E70" t="s">
        <v>354</v>
      </c>
      <c r="G70">
        <v>3.8241999999999998E-2</v>
      </c>
      <c r="H70">
        <v>4.5435000000000003E-2</v>
      </c>
      <c r="I70">
        <v>5.0754000000000001E-2</v>
      </c>
      <c r="J70">
        <v>5.4753000000000003E-2</v>
      </c>
      <c r="K70">
        <v>5.7683999999999999E-2</v>
      </c>
      <c r="L70">
        <v>5.9468E-2</v>
      </c>
      <c r="M70">
        <v>6.0365000000000002E-2</v>
      </c>
      <c r="N70">
        <v>6.0382999999999999E-2</v>
      </c>
      <c r="O70">
        <v>5.9790000000000003E-2</v>
      </c>
      <c r="P70">
        <v>5.8833999999999997E-2</v>
      </c>
      <c r="Q70">
        <v>5.7679000000000001E-2</v>
      </c>
      <c r="R70">
        <v>5.6148999999999998E-2</v>
      </c>
      <c r="S70">
        <v>5.4413999999999997E-2</v>
      </c>
      <c r="T70">
        <v>5.2582999999999998E-2</v>
      </c>
      <c r="U70">
        <v>5.0235000000000002E-2</v>
      </c>
      <c r="V70">
        <v>4.7787000000000003E-2</v>
      </c>
      <c r="W70">
        <v>4.5777999999999999E-2</v>
      </c>
      <c r="X70">
        <v>4.3761000000000001E-2</v>
      </c>
      <c r="Y70">
        <v>4.1475999999999999E-2</v>
      </c>
      <c r="Z70">
        <v>3.9280000000000002E-2</v>
      </c>
      <c r="AA70">
        <v>3.7173999999999999E-2</v>
      </c>
      <c r="AB70">
        <v>3.5144000000000002E-2</v>
      </c>
      <c r="AC70">
        <v>3.3201000000000001E-2</v>
      </c>
      <c r="AD70">
        <v>3.1363000000000002E-2</v>
      </c>
      <c r="AE70">
        <v>2.9679000000000001E-2</v>
      </c>
      <c r="AF70">
        <v>2.809E-2</v>
      </c>
      <c r="AG70">
        <v>2.6553E-2</v>
      </c>
      <c r="AH70">
        <v>2.5127E-2</v>
      </c>
      <c r="AI70">
        <v>2.3810000000000001E-2</v>
      </c>
      <c r="AJ70" s="31">
        <v>-1.7000000000000001E-2</v>
      </c>
      <c r="AL70" s="31"/>
    </row>
    <row r="71" spans="1:38">
      <c r="A71" s="163" t="s">
        <v>115</v>
      </c>
      <c r="B71" t="s">
        <v>381</v>
      </c>
      <c r="C71" t="s">
        <v>2478</v>
      </c>
      <c r="D71" t="s">
        <v>2479</v>
      </c>
      <c r="E71" t="s">
        <v>354</v>
      </c>
      <c r="G71">
        <v>0</v>
      </c>
      <c r="H71">
        <v>0</v>
      </c>
      <c r="I71">
        <v>4.6031000000000002E-2</v>
      </c>
      <c r="J71">
        <v>8.7363999999999997E-2</v>
      </c>
      <c r="K71">
        <v>0.125998</v>
      </c>
      <c r="L71">
        <v>0.162359</v>
      </c>
      <c r="M71">
        <v>0.19692899999999999</v>
      </c>
      <c r="N71">
        <v>0.22856599999999999</v>
      </c>
      <c r="O71">
        <v>0.25760300000000003</v>
      </c>
      <c r="P71">
        <v>0.28515600000000002</v>
      </c>
      <c r="Q71">
        <v>0.31272899999999998</v>
      </c>
      <c r="R71">
        <v>0.339615</v>
      </c>
      <c r="S71">
        <v>0.36632999999999999</v>
      </c>
      <c r="T71">
        <v>0.39357700000000001</v>
      </c>
      <c r="U71">
        <v>0.42073300000000002</v>
      </c>
      <c r="V71">
        <v>0.44928600000000002</v>
      </c>
      <c r="W71">
        <v>0.47926000000000002</v>
      </c>
      <c r="X71">
        <v>0.51125699999999996</v>
      </c>
      <c r="Y71">
        <v>0.54663899999999999</v>
      </c>
      <c r="Z71">
        <v>0.58593899999999999</v>
      </c>
      <c r="AA71">
        <v>0.62877000000000005</v>
      </c>
      <c r="AB71">
        <v>0.672651</v>
      </c>
      <c r="AC71">
        <v>0.71931100000000003</v>
      </c>
      <c r="AD71">
        <v>0.76830799999999999</v>
      </c>
      <c r="AE71">
        <v>0.82118100000000005</v>
      </c>
      <c r="AF71">
        <v>0.877112</v>
      </c>
      <c r="AG71">
        <v>0.93461899999999998</v>
      </c>
      <c r="AH71">
        <v>0.99479200000000001</v>
      </c>
      <c r="AI71">
        <v>1.0601590000000001</v>
      </c>
      <c r="AJ71" t="s">
        <v>117</v>
      </c>
      <c r="AL71" s="31"/>
    </row>
    <row r="72" spans="1:38">
      <c r="A72" s="163" t="s">
        <v>115</v>
      </c>
      <c r="B72" t="s">
        <v>380</v>
      </c>
      <c r="C72" t="s">
        <v>2480</v>
      </c>
      <c r="D72" t="s">
        <v>2481</v>
      </c>
      <c r="E72" t="s">
        <v>354</v>
      </c>
      <c r="G72">
        <v>0</v>
      </c>
      <c r="H72">
        <v>0</v>
      </c>
      <c r="I72">
        <v>5.5973000000000002E-2</v>
      </c>
      <c r="J72">
        <v>0.10538500000000001</v>
      </c>
      <c r="K72">
        <v>0.15109300000000001</v>
      </c>
      <c r="L72">
        <v>0.193687</v>
      </c>
      <c r="M72">
        <v>0.233462</v>
      </c>
      <c r="N72">
        <v>0.26946999999999999</v>
      </c>
      <c r="O72">
        <v>0.30264600000000003</v>
      </c>
      <c r="P72">
        <v>0.33501599999999998</v>
      </c>
      <c r="Q72">
        <v>0.368535</v>
      </c>
      <c r="R72">
        <v>0.40277000000000002</v>
      </c>
      <c r="S72">
        <v>0.43828299999999998</v>
      </c>
      <c r="T72">
        <v>0.47615099999999999</v>
      </c>
      <c r="U72">
        <v>0.51575199999999999</v>
      </c>
      <c r="V72">
        <v>0.55924499999999999</v>
      </c>
      <c r="W72">
        <v>0.606796</v>
      </c>
      <c r="X72">
        <v>0.65962699999999996</v>
      </c>
      <c r="Y72">
        <v>0.71974099999999996</v>
      </c>
      <c r="Z72">
        <v>0.78828900000000002</v>
      </c>
      <c r="AA72">
        <v>0.86488600000000004</v>
      </c>
      <c r="AB72">
        <v>0.94691499999999995</v>
      </c>
      <c r="AC72">
        <v>1.0356989999999999</v>
      </c>
      <c r="AD72">
        <v>1.130374</v>
      </c>
      <c r="AE72">
        <v>1.23231</v>
      </c>
      <c r="AF72">
        <v>1.340697</v>
      </c>
      <c r="AG72">
        <v>1.452583</v>
      </c>
      <c r="AH72">
        <v>1.5697239999999999</v>
      </c>
      <c r="AI72">
        <v>1.6954130000000001</v>
      </c>
      <c r="AJ72" t="s">
        <v>117</v>
      </c>
      <c r="AL72" s="31"/>
    </row>
    <row r="73" spans="1:38">
      <c r="A73" s="163" t="s">
        <v>258</v>
      </c>
      <c r="B73" t="s">
        <v>382</v>
      </c>
      <c r="C73" t="s">
        <v>2482</v>
      </c>
      <c r="D73" t="s">
        <v>2483</v>
      </c>
      <c r="E73" t="s">
        <v>354</v>
      </c>
      <c r="G73">
        <v>0</v>
      </c>
      <c r="H73">
        <v>0</v>
      </c>
      <c r="I73">
        <v>9.7281999999999993E-2</v>
      </c>
      <c r="J73">
        <v>0.18842100000000001</v>
      </c>
      <c r="K73">
        <v>0.27685799999999999</v>
      </c>
      <c r="L73">
        <v>0.363454</v>
      </c>
      <c r="M73">
        <v>0.44753700000000002</v>
      </c>
      <c r="N73">
        <v>0.52742900000000004</v>
      </c>
      <c r="O73">
        <v>0.60339299999999996</v>
      </c>
      <c r="P73">
        <v>0.67797099999999999</v>
      </c>
      <c r="Q73">
        <v>0.75438000000000005</v>
      </c>
      <c r="R73">
        <v>0.83045100000000005</v>
      </c>
      <c r="S73">
        <v>0.90750299999999995</v>
      </c>
      <c r="T73">
        <v>0.98692000000000002</v>
      </c>
      <c r="U73">
        <v>1.0677970000000001</v>
      </c>
      <c r="V73">
        <v>1.153837</v>
      </c>
      <c r="W73">
        <v>1.2450049999999999</v>
      </c>
      <c r="X73">
        <v>1.3430200000000001</v>
      </c>
      <c r="Y73">
        <v>1.4516439999999999</v>
      </c>
      <c r="Z73">
        <v>1.572443</v>
      </c>
      <c r="AA73">
        <v>1.7043809999999999</v>
      </c>
      <c r="AB73">
        <v>1.8422590000000001</v>
      </c>
      <c r="AC73">
        <v>1.9891760000000001</v>
      </c>
      <c r="AD73">
        <v>2.1437659999999998</v>
      </c>
      <c r="AE73">
        <v>2.310273</v>
      </c>
      <c r="AF73">
        <v>2.48651</v>
      </c>
      <c r="AG73">
        <v>2.6681050000000002</v>
      </c>
      <c r="AH73">
        <v>2.8579460000000001</v>
      </c>
      <c r="AI73">
        <v>3.0632440000000001</v>
      </c>
      <c r="AJ73" t="s">
        <v>117</v>
      </c>
      <c r="AL73" s="31"/>
    </row>
    <row r="74" spans="1:38">
      <c r="B74" t="s">
        <v>391</v>
      </c>
      <c r="C74" t="s">
        <v>2484</v>
      </c>
      <c r="D74" t="s">
        <v>2485</v>
      </c>
      <c r="E74" t="s">
        <v>354</v>
      </c>
      <c r="G74">
        <v>969.69219999999996</v>
      </c>
      <c r="H74">
        <v>947.22790499999996</v>
      </c>
      <c r="I74">
        <v>929.37390100000005</v>
      </c>
      <c r="J74">
        <v>917.57488999999998</v>
      </c>
      <c r="K74">
        <v>910.67767300000003</v>
      </c>
      <c r="L74">
        <v>903.25073199999997</v>
      </c>
      <c r="M74">
        <v>897.46606399999996</v>
      </c>
      <c r="N74">
        <v>890.09558100000004</v>
      </c>
      <c r="O74">
        <v>882.57385299999999</v>
      </c>
      <c r="P74">
        <v>876.55035399999997</v>
      </c>
      <c r="Q74">
        <v>874.65283199999999</v>
      </c>
      <c r="R74">
        <v>871.910706</v>
      </c>
      <c r="S74">
        <v>869.98089600000003</v>
      </c>
      <c r="T74">
        <v>869.72479199999998</v>
      </c>
      <c r="U74">
        <v>869.347534</v>
      </c>
      <c r="V74">
        <v>871.618469</v>
      </c>
      <c r="W74">
        <v>873.72820999999999</v>
      </c>
      <c r="X74">
        <v>877.64209000000005</v>
      </c>
      <c r="Y74">
        <v>882.78265399999998</v>
      </c>
      <c r="Z74">
        <v>889.23706100000004</v>
      </c>
      <c r="AA74">
        <v>896.04046600000004</v>
      </c>
      <c r="AB74">
        <v>903.72448699999995</v>
      </c>
      <c r="AC74">
        <v>911.77453600000001</v>
      </c>
      <c r="AD74">
        <v>919.37823500000002</v>
      </c>
      <c r="AE74">
        <v>928.10968000000003</v>
      </c>
      <c r="AF74">
        <v>937.41241500000001</v>
      </c>
      <c r="AG74">
        <v>945.94018600000004</v>
      </c>
      <c r="AH74">
        <v>955.21374500000002</v>
      </c>
      <c r="AI74">
        <v>967.38214100000005</v>
      </c>
      <c r="AJ74" s="31">
        <v>0</v>
      </c>
      <c r="AL74" s="31"/>
    </row>
    <row r="75" spans="1:38">
      <c r="B75" t="s">
        <v>392</v>
      </c>
    </row>
    <row r="76" spans="1:38">
      <c r="A76" s="163" t="s">
        <v>114</v>
      </c>
      <c r="B76" t="s">
        <v>327</v>
      </c>
      <c r="C76" t="s">
        <v>2486</v>
      </c>
      <c r="D76" t="s">
        <v>2487</v>
      </c>
      <c r="E76" t="s">
        <v>354</v>
      </c>
      <c r="G76">
        <v>4152.294922</v>
      </c>
      <c r="H76">
        <v>4082.8315429999998</v>
      </c>
      <c r="I76">
        <v>4021.451172</v>
      </c>
      <c r="J76">
        <v>3982.2763669999999</v>
      </c>
      <c r="K76">
        <v>3955.953125</v>
      </c>
      <c r="L76">
        <v>3919.7482909999999</v>
      </c>
      <c r="M76">
        <v>3881.1032709999999</v>
      </c>
      <c r="N76">
        <v>3831.7788089999999</v>
      </c>
      <c r="O76">
        <v>3778.5307619999999</v>
      </c>
      <c r="P76">
        <v>3730.3295899999998</v>
      </c>
      <c r="Q76">
        <v>3694.220703</v>
      </c>
      <c r="R76">
        <v>3656.8642580000001</v>
      </c>
      <c r="S76">
        <v>3623.7570799999999</v>
      </c>
      <c r="T76">
        <v>3598.0146479999999</v>
      </c>
      <c r="U76">
        <v>3572.140625</v>
      </c>
      <c r="V76">
        <v>3555.0131839999999</v>
      </c>
      <c r="W76">
        <v>3541.656982</v>
      </c>
      <c r="X76">
        <v>3529.0092770000001</v>
      </c>
      <c r="Y76">
        <v>3520.9711910000001</v>
      </c>
      <c r="Z76">
        <v>3515.9072270000001</v>
      </c>
      <c r="AA76">
        <v>3513.1889649999998</v>
      </c>
      <c r="AB76">
        <v>3509.6179200000001</v>
      </c>
      <c r="AC76">
        <v>3504.0908199999999</v>
      </c>
      <c r="AD76">
        <v>3495.7058109999998</v>
      </c>
      <c r="AE76">
        <v>3490.008057</v>
      </c>
      <c r="AF76">
        <v>3484.0903320000002</v>
      </c>
      <c r="AG76">
        <v>3473.501953</v>
      </c>
      <c r="AH76">
        <v>3463.9399410000001</v>
      </c>
      <c r="AI76">
        <v>3464.1235350000002</v>
      </c>
      <c r="AJ76" s="31">
        <v>-6.0000000000000001E-3</v>
      </c>
      <c r="AL76" s="31"/>
    </row>
    <row r="77" spans="1:38">
      <c r="A77" s="163" t="s">
        <v>113</v>
      </c>
      <c r="B77" t="s">
        <v>313</v>
      </c>
      <c r="C77" t="s">
        <v>2488</v>
      </c>
      <c r="D77" t="s">
        <v>2489</v>
      </c>
      <c r="E77" t="s">
        <v>354</v>
      </c>
      <c r="G77">
        <v>3.9674480000000001</v>
      </c>
      <c r="H77">
        <v>3.9112100000000001</v>
      </c>
      <c r="I77">
        <v>3.927975</v>
      </c>
      <c r="J77">
        <v>4.0033329999999996</v>
      </c>
      <c r="K77">
        <v>4.154909</v>
      </c>
      <c r="L77">
        <v>4.3465829999999999</v>
      </c>
      <c r="M77">
        <v>4.5559409999999998</v>
      </c>
      <c r="N77">
        <v>4.7584520000000001</v>
      </c>
      <c r="O77">
        <v>4.9760099999999996</v>
      </c>
      <c r="P77">
        <v>5.1881700000000004</v>
      </c>
      <c r="Q77">
        <v>5.3957819999999996</v>
      </c>
      <c r="R77">
        <v>5.5792359999999999</v>
      </c>
      <c r="S77">
        <v>5.7431809999999999</v>
      </c>
      <c r="T77">
        <v>5.8900360000000003</v>
      </c>
      <c r="U77">
        <v>5.9984260000000003</v>
      </c>
      <c r="V77">
        <v>6.0940690000000002</v>
      </c>
      <c r="W77">
        <v>6.1672099999999999</v>
      </c>
      <c r="X77">
        <v>6.22837</v>
      </c>
      <c r="Y77">
        <v>6.2926219999999997</v>
      </c>
      <c r="Z77">
        <v>6.356681</v>
      </c>
      <c r="AA77">
        <v>6.3895749999999998</v>
      </c>
      <c r="AB77">
        <v>6.4071030000000002</v>
      </c>
      <c r="AC77">
        <v>6.4340310000000001</v>
      </c>
      <c r="AD77">
        <v>6.4656529999999997</v>
      </c>
      <c r="AE77">
        <v>6.5095479999999997</v>
      </c>
      <c r="AF77">
        <v>6.5554730000000001</v>
      </c>
      <c r="AG77">
        <v>6.5929979999999997</v>
      </c>
      <c r="AH77">
        <v>6.6332560000000003</v>
      </c>
      <c r="AI77">
        <v>6.6926329999999998</v>
      </c>
      <c r="AJ77" s="31">
        <v>1.9E-2</v>
      </c>
      <c r="AL77" s="31"/>
    </row>
    <row r="78" spans="1:38">
      <c r="A78" s="163" t="s">
        <v>257</v>
      </c>
      <c r="B78" t="s">
        <v>308</v>
      </c>
      <c r="C78" t="s">
        <v>2490</v>
      </c>
      <c r="D78" t="s">
        <v>2491</v>
      </c>
      <c r="E78" t="s">
        <v>354</v>
      </c>
      <c r="G78">
        <v>0.57084699999999999</v>
      </c>
      <c r="H78">
        <v>0.62436700000000001</v>
      </c>
      <c r="I78">
        <v>0.67565299999999995</v>
      </c>
      <c r="J78">
        <v>0.72345599999999999</v>
      </c>
      <c r="K78">
        <v>0.76954900000000004</v>
      </c>
      <c r="L78">
        <v>0.80783199999999999</v>
      </c>
      <c r="M78">
        <v>0.83759799999999995</v>
      </c>
      <c r="N78">
        <v>0.85494300000000001</v>
      </c>
      <c r="O78">
        <v>0.86416899999999996</v>
      </c>
      <c r="P78">
        <v>0.86825799999999997</v>
      </c>
      <c r="Q78">
        <v>0.87042299999999995</v>
      </c>
      <c r="R78">
        <v>0.87198200000000003</v>
      </c>
      <c r="S78">
        <v>0.876027</v>
      </c>
      <c r="T78">
        <v>0.88223799999999997</v>
      </c>
      <c r="U78">
        <v>0.88616399999999995</v>
      </c>
      <c r="V78">
        <v>0.890656</v>
      </c>
      <c r="W78">
        <v>0.89219300000000001</v>
      </c>
      <c r="X78">
        <v>0.89300599999999997</v>
      </c>
      <c r="Y78">
        <v>0.89404300000000003</v>
      </c>
      <c r="Z78">
        <v>0.89725900000000003</v>
      </c>
      <c r="AA78">
        <v>0.90047600000000005</v>
      </c>
      <c r="AB78">
        <v>0.90321899999999999</v>
      </c>
      <c r="AC78">
        <v>0.90516799999999997</v>
      </c>
      <c r="AD78">
        <v>0.90654199999999996</v>
      </c>
      <c r="AE78">
        <v>0.90933900000000001</v>
      </c>
      <c r="AF78">
        <v>0.91265600000000002</v>
      </c>
      <c r="AG78">
        <v>0.91492600000000002</v>
      </c>
      <c r="AH78">
        <v>0.91651300000000002</v>
      </c>
      <c r="AI78">
        <v>0.91947900000000005</v>
      </c>
      <c r="AJ78" s="31">
        <v>1.7000000000000001E-2</v>
      </c>
      <c r="AL78" s="31"/>
    </row>
    <row r="79" spans="1:38">
      <c r="A79" s="163" t="s">
        <v>112</v>
      </c>
      <c r="B79" t="s">
        <v>307</v>
      </c>
      <c r="C79" t="s">
        <v>2492</v>
      </c>
      <c r="D79" t="s">
        <v>2493</v>
      </c>
      <c r="E79" t="s">
        <v>354</v>
      </c>
      <c r="G79">
        <v>50.390869000000002</v>
      </c>
      <c r="H79">
        <v>50.880237999999999</v>
      </c>
      <c r="I79">
        <v>51.130661000000003</v>
      </c>
      <c r="J79">
        <v>51.278004000000003</v>
      </c>
      <c r="K79">
        <v>51.266300000000001</v>
      </c>
      <c r="L79">
        <v>50.763759999999998</v>
      </c>
      <c r="M79">
        <v>49.941105</v>
      </c>
      <c r="N79">
        <v>48.755848</v>
      </c>
      <c r="O79">
        <v>47.376193999999998</v>
      </c>
      <c r="P79">
        <v>46.136257000000001</v>
      </c>
      <c r="Q79">
        <v>45.289948000000003</v>
      </c>
      <c r="R79">
        <v>44.815620000000003</v>
      </c>
      <c r="S79">
        <v>44.797992999999998</v>
      </c>
      <c r="T79">
        <v>45.188122</v>
      </c>
      <c r="U79">
        <v>45.832714000000003</v>
      </c>
      <c r="V79">
        <v>46.829082</v>
      </c>
      <c r="W79">
        <v>48.081806</v>
      </c>
      <c r="X79">
        <v>49.582222000000002</v>
      </c>
      <c r="Y79">
        <v>51.412018000000003</v>
      </c>
      <c r="Z79">
        <v>53.560184</v>
      </c>
      <c r="AA79">
        <v>55.921677000000003</v>
      </c>
      <c r="AB79">
        <v>58.465366000000003</v>
      </c>
      <c r="AC79">
        <v>61.153961000000002</v>
      </c>
      <c r="AD79">
        <v>63.935595999999997</v>
      </c>
      <c r="AE79">
        <v>66.919730999999999</v>
      </c>
      <c r="AF79">
        <v>70.067229999999995</v>
      </c>
      <c r="AG79">
        <v>73.232262000000006</v>
      </c>
      <c r="AH79">
        <v>76.543907000000004</v>
      </c>
      <c r="AI79">
        <v>80.243094999999997</v>
      </c>
      <c r="AJ79" s="31">
        <v>1.7000000000000001E-2</v>
      </c>
      <c r="AL79" s="31"/>
    </row>
    <row r="80" spans="1:38">
      <c r="A80" s="163" t="s">
        <v>113</v>
      </c>
      <c r="B80" t="s">
        <v>378</v>
      </c>
      <c r="C80" t="s">
        <v>2494</v>
      </c>
      <c r="D80" t="s">
        <v>2495</v>
      </c>
      <c r="E80" t="s">
        <v>354</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t="s">
        <v>117</v>
      </c>
    </row>
    <row r="81" spans="1:38">
      <c r="A81" s="163" t="s">
        <v>111</v>
      </c>
      <c r="B81" t="s">
        <v>379</v>
      </c>
      <c r="C81" t="s">
        <v>2496</v>
      </c>
      <c r="D81" t="s">
        <v>2497</v>
      </c>
      <c r="E81" t="s">
        <v>354</v>
      </c>
      <c r="G81">
        <v>4.7272000000000002E-2</v>
      </c>
      <c r="H81">
        <v>5.6365999999999999E-2</v>
      </c>
      <c r="I81">
        <v>6.4062999999999995E-2</v>
      </c>
      <c r="J81">
        <v>7.0821999999999996E-2</v>
      </c>
      <c r="K81">
        <v>7.6726000000000003E-2</v>
      </c>
      <c r="L81">
        <v>8.1382999999999997E-2</v>
      </c>
      <c r="M81">
        <v>8.4830000000000003E-2</v>
      </c>
      <c r="N81">
        <v>8.6957999999999994E-2</v>
      </c>
      <c r="O81">
        <v>8.7952000000000002E-2</v>
      </c>
      <c r="P81">
        <v>8.8012999999999994E-2</v>
      </c>
      <c r="Q81">
        <v>8.7249999999999994E-2</v>
      </c>
      <c r="R81">
        <v>8.5333000000000006E-2</v>
      </c>
      <c r="S81">
        <v>8.2535999999999998E-2</v>
      </c>
      <c r="T81">
        <v>7.9114000000000004E-2</v>
      </c>
      <c r="U81">
        <v>7.5203999999999993E-2</v>
      </c>
      <c r="V81">
        <v>7.1353E-2</v>
      </c>
      <c r="W81">
        <v>6.7466999999999999E-2</v>
      </c>
      <c r="X81">
        <v>6.3056000000000001E-2</v>
      </c>
      <c r="Y81">
        <v>5.8637000000000002E-2</v>
      </c>
      <c r="Z81">
        <v>5.4799E-2</v>
      </c>
      <c r="AA81">
        <v>5.1536999999999999E-2</v>
      </c>
      <c r="AB81">
        <v>4.8205999999999999E-2</v>
      </c>
      <c r="AC81">
        <v>4.5224E-2</v>
      </c>
      <c r="AD81">
        <v>4.2495999999999999E-2</v>
      </c>
      <c r="AE81">
        <v>4.0057000000000002E-2</v>
      </c>
      <c r="AF81">
        <v>3.7803999999999997E-2</v>
      </c>
      <c r="AG81">
        <v>3.5659000000000003E-2</v>
      </c>
      <c r="AH81">
        <v>3.3694000000000002E-2</v>
      </c>
      <c r="AI81">
        <v>3.1962999999999998E-2</v>
      </c>
      <c r="AJ81" s="31">
        <v>-1.4E-2</v>
      </c>
      <c r="AL81" s="31"/>
    </row>
    <row r="82" spans="1:38">
      <c r="A82" s="163" t="s">
        <v>115</v>
      </c>
      <c r="B82" t="s">
        <v>381</v>
      </c>
      <c r="C82" t="s">
        <v>2498</v>
      </c>
      <c r="D82" t="s">
        <v>2499</v>
      </c>
      <c r="E82" t="s">
        <v>354</v>
      </c>
      <c r="G82">
        <v>0</v>
      </c>
      <c r="H82">
        <v>0</v>
      </c>
      <c r="I82">
        <v>0.111749</v>
      </c>
      <c r="J82">
        <v>0.12651799999999999</v>
      </c>
      <c r="K82">
        <v>0.14269399999999999</v>
      </c>
      <c r="L82">
        <v>0.15934000000000001</v>
      </c>
      <c r="M82">
        <v>0.17621300000000001</v>
      </c>
      <c r="N82">
        <v>0.19222800000000001</v>
      </c>
      <c r="O82">
        <v>0.20724500000000001</v>
      </c>
      <c r="P82">
        <v>0.22140099999999999</v>
      </c>
      <c r="Q82">
        <v>0.23488800000000001</v>
      </c>
      <c r="R82">
        <v>0.24656900000000001</v>
      </c>
      <c r="S82">
        <v>0.25659700000000002</v>
      </c>
      <c r="T82">
        <v>0.26520700000000003</v>
      </c>
      <c r="U82">
        <v>0.27205200000000002</v>
      </c>
      <c r="V82">
        <v>0.278225</v>
      </c>
      <c r="W82">
        <v>0.28399799999999997</v>
      </c>
      <c r="X82">
        <v>0.29017999999999999</v>
      </c>
      <c r="Y82">
        <v>0.29806500000000002</v>
      </c>
      <c r="Z82">
        <v>0.30863000000000002</v>
      </c>
      <c r="AA82">
        <v>0.32256400000000002</v>
      </c>
      <c r="AB82">
        <v>0.334818</v>
      </c>
      <c r="AC82">
        <v>0.34677599999999997</v>
      </c>
      <c r="AD82">
        <v>0.36227599999999999</v>
      </c>
      <c r="AE82">
        <v>0.384801</v>
      </c>
      <c r="AF82">
        <v>0.40742899999999999</v>
      </c>
      <c r="AG82">
        <v>0.43170500000000001</v>
      </c>
      <c r="AH82">
        <v>0.458424</v>
      </c>
      <c r="AI82">
        <v>0.48888399999999999</v>
      </c>
      <c r="AJ82" t="s">
        <v>117</v>
      </c>
      <c r="AL82" s="31"/>
    </row>
    <row r="83" spans="1:38">
      <c r="A83" s="163" t="s">
        <v>115</v>
      </c>
      <c r="B83" t="s">
        <v>380</v>
      </c>
      <c r="C83" t="s">
        <v>2500</v>
      </c>
      <c r="D83" t="s">
        <v>2501</v>
      </c>
      <c r="E83" t="s">
        <v>354</v>
      </c>
      <c r="G83">
        <v>0</v>
      </c>
      <c r="H83">
        <v>0</v>
      </c>
      <c r="I83">
        <v>0.23414399999999999</v>
      </c>
      <c r="J83">
        <v>0.26273600000000003</v>
      </c>
      <c r="K83">
        <v>0.29418100000000003</v>
      </c>
      <c r="L83">
        <v>0.326345</v>
      </c>
      <c r="M83">
        <v>0.35836099999999999</v>
      </c>
      <c r="N83">
        <v>0.388214</v>
      </c>
      <c r="O83">
        <v>0.41574299999999997</v>
      </c>
      <c r="P83">
        <v>0.44134699999999999</v>
      </c>
      <c r="Q83">
        <v>0.46522400000000003</v>
      </c>
      <c r="R83">
        <v>0.485016</v>
      </c>
      <c r="S83">
        <v>0.50097899999999995</v>
      </c>
      <c r="T83">
        <v>0.51362799999999997</v>
      </c>
      <c r="U83">
        <v>0.522262</v>
      </c>
      <c r="V83">
        <v>0.52908999999999995</v>
      </c>
      <c r="W83">
        <v>0.53469299999999997</v>
      </c>
      <c r="X83">
        <v>0.54074299999999997</v>
      </c>
      <c r="Y83">
        <v>0.54972399999999999</v>
      </c>
      <c r="Z83">
        <v>0.56356499999999998</v>
      </c>
      <c r="AA83">
        <v>0.58364300000000002</v>
      </c>
      <c r="AB83">
        <v>0.59923099999999996</v>
      </c>
      <c r="AC83">
        <v>0.613008</v>
      </c>
      <c r="AD83">
        <v>0.63285800000000003</v>
      </c>
      <c r="AE83">
        <v>0.66527599999999998</v>
      </c>
      <c r="AF83">
        <v>0.69548399999999999</v>
      </c>
      <c r="AG83">
        <v>0.72656200000000004</v>
      </c>
      <c r="AH83">
        <v>0.75966500000000003</v>
      </c>
      <c r="AI83">
        <v>0.79641600000000001</v>
      </c>
      <c r="AJ83" t="s">
        <v>117</v>
      </c>
      <c r="AL83" s="31"/>
    </row>
    <row r="84" spans="1:38">
      <c r="A84" s="163" t="s">
        <v>258</v>
      </c>
      <c r="B84" t="s">
        <v>382</v>
      </c>
      <c r="C84" t="s">
        <v>2502</v>
      </c>
      <c r="D84" t="s">
        <v>2503</v>
      </c>
      <c r="E84" t="s">
        <v>354</v>
      </c>
      <c r="G84">
        <v>0</v>
      </c>
      <c r="H84">
        <v>0</v>
      </c>
      <c r="I84">
        <v>0.13243099999999999</v>
      </c>
      <c r="J84">
        <v>0.25880199999999998</v>
      </c>
      <c r="K84">
        <v>0.385407</v>
      </c>
      <c r="L84">
        <v>0.51399799999999995</v>
      </c>
      <c r="M84">
        <v>0.64363300000000001</v>
      </c>
      <c r="N84">
        <v>0.77151199999999998</v>
      </c>
      <c r="O84">
        <v>0.89717499999999994</v>
      </c>
      <c r="P84">
        <v>1.0226690000000001</v>
      </c>
      <c r="Q84">
        <v>1.1502559999999999</v>
      </c>
      <c r="R84">
        <v>1.2741119999999999</v>
      </c>
      <c r="S84">
        <v>1.393794</v>
      </c>
      <c r="T84">
        <v>1.5088429999999999</v>
      </c>
      <c r="U84">
        <v>1.6154120000000001</v>
      </c>
      <c r="V84">
        <v>1.717117</v>
      </c>
      <c r="W84">
        <v>1.812324</v>
      </c>
      <c r="X84">
        <v>1.902677</v>
      </c>
      <c r="Y84">
        <v>1.9929779999999999</v>
      </c>
      <c r="Z84">
        <v>2.0859009999999998</v>
      </c>
      <c r="AA84">
        <v>2.1821549999999998</v>
      </c>
      <c r="AB84">
        <v>2.2778990000000001</v>
      </c>
      <c r="AC84">
        <v>2.3718539999999999</v>
      </c>
      <c r="AD84">
        <v>2.4681579999999999</v>
      </c>
      <c r="AE84">
        <v>2.5784799999999999</v>
      </c>
      <c r="AF84">
        <v>2.69808</v>
      </c>
      <c r="AG84">
        <v>2.8237719999999999</v>
      </c>
      <c r="AH84">
        <v>2.9616039999999999</v>
      </c>
      <c r="AI84">
        <v>3.1206100000000001</v>
      </c>
      <c r="AJ84" t="s">
        <v>117</v>
      </c>
      <c r="AL84" s="31"/>
    </row>
    <row r="85" spans="1:38">
      <c r="B85" t="s">
        <v>393</v>
      </c>
      <c r="C85" t="s">
        <v>2504</v>
      </c>
      <c r="D85" t="s">
        <v>2505</v>
      </c>
      <c r="E85" t="s">
        <v>354</v>
      </c>
      <c r="G85">
        <v>4207.2734380000002</v>
      </c>
      <c r="H85">
        <v>4138.3027339999999</v>
      </c>
      <c r="I85">
        <v>4077.727539</v>
      </c>
      <c r="J85">
        <v>4039.0002439999998</v>
      </c>
      <c r="K85">
        <v>4013.0429690000001</v>
      </c>
      <c r="L85">
        <v>3976.7485350000002</v>
      </c>
      <c r="M85">
        <v>3937.7006839999999</v>
      </c>
      <c r="N85">
        <v>3887.586182</v>
      </c>
      <c r="O85">
        <v>3833.3564449999999</v>
      </c>
      <c r="P85">
        <v>3784.2958979999999</v>
      </c>
      <c r="Q85">
        <v>3747.7145999999998</v>
      </c>
      <c r="R85">
        <v>3710.2214359999998</v>
      </c>
      <c r="S85">
        <v>3677.4077149999998</v>
      </c>
      <c r="T85">
        <v>3652.3427729999999</v>
      </c>
      <c r="U85">
        <v>3627.3422850000002</v>
      </c>
      <c r="V85">
        <v>3611.421875</v>
      </c>
      <c r="W85">
        <v>3599.4953609999998</v>
      </c>
      <c r="X85">
        <v>3588.5097660000001</v>
      </c>
      <c r="Y85">
        <v>3582.46875</v>
      </c>
      <c r="Z85">
        <v>3579.7346189999998</v>
      </c>
      <c r="AA85">
        <v>3579.5410160000001</v>
      </c>
      <c r="AB85">
        <v>3578.6530760000001</v>
      </c>
      <c r="AC85">
        <v>3575.961182</v>
      </c>
      <c r="AD85">
        <v>3570.5195309999999</v>
      </c>
      <c r="AE85">
        <v>3568.0158689999998</v>
      </c>
      <c r="AF85">
        <v>3565.4648440000001</v>
      </c>
      <c r="AG85">
        <v>3558.258789</v>
      </c>
      <c r="AH85">
        <v>3552.2460940000001</v>
      </c>
      <c r="AI85">
        <v>3556.4155270000001</v>
      </c>
      <c r="AJ85" s="31">
        <v>-6.0000000000000001E-3</v>
      </c>
      <c r="AL85" s="31"/>
    </row>
    <row r="86" spans="1:38">
      <c r="B86" t="s">
        <v>341</v>
      </c>
      <c r="C86" t="s">
        <v>396</v>
      </c>
      <c r="D86" t="s">
        <v>412</v>
      </c>
    </row>
    <row r="87" spans="1:38">
      <c r="A87" s="163" t="s">
        <v>114</v>
      </c>
      <c r="B87" t="s">
        <v>327</v>
      </c>
      <c r="C87" t="s">
        <v>2506</v>
      </c>
      <c r="D87" t="s">
        <v>2507</v>
      </c>
      <c r="E87" t="s">
        <v>354</v>
      </c>
      <c r="G87">
        <v>5252.3305659999996</v>
      </c>
      <c r="H87">
        <v>5150.2109380000002</v>
      </c>
      <c r="I87">
        <v>5062.0986329999996</v>
      </c>
      <c r="J87">
        <v>5004.6708980000003</v>
      </c>
      <c r="K87">
        <v>4965.3076170000004</v>
      </c>
      <c r="L87">
        <v>4915.0947269999997</v>
      </c>
      <c r="M87">
        <v>4864.1035160000001</v>
      </c>
      <c r="N87">
        <v>4802.189453</v>
      </c>
      <c r="O87">
        <v>4738.7089839999999</v>
      </c>
      <c r="P87">
        <v>4684.001953</v>
      </c>
      <c r="Q87">
        <v>4645.8359380000002</v>
      </c>
      <c r="R87">
        <v>4605.7412109999996</v>
      </c>
      <c r="S87">
        <v>4571.0966799999997</v>
      </c>
      <c r="T87">
        <v>4545.9067379999997</v>
      </c>
      <c r="U87">
        <v>4520.6884769999997</v>
      </c>
      <c r="V87">
        <v>4506.4428710000002</v>
      </c>
      <c r="W87">
        <v>4496.765625</v>
      </c>
      <c r="X87">
        <v>4489.0834960000002</v>
      </c>
      <c r="Y87">
        <v>4488.0830079999996</v>
      </c>
      <c r="Z87">
        <v>4491.1411129999997</v>
      </c>
      <c r="AA87">
        <v>4496.9345700000003</v>
      </c>
      <c r="AB87">
        <v>4502.8085940000001</v>
      </c>
      <c r="AC87">
        <v>4507.3803710000002</v>
      </c>
      <c r="AD87">
        <v>4509.7548829999996</v>
      </c>
      <c r="AE87">
        <v>4517.1176759999998</v>
      </c>
      <c r="AF87">
        <v>4525.4931640000004</v>
      </c>
      <c r="AG87">
        <v>4528.6337890000004</v>
      </c>
      <c r="AH87">
        <v>4533.9399409999996</v>
      </c>
      <c r="AI87">
        <v>4552.7285160000001</v>
      </c>
      <c r="AJ87" s="31">
        <v>-5.0000000000000001E-3</v>
      </c>
      <c r="AL87" s="31"/>
    </row>
    <row r="88" spans="1:38">
      <c r="A88" s="163" t="s">
        <v>113</v>
      </c>
      <c r="B88" t="s">
        <v>313</v>
      </c>
      <c r="C88" t="s">
        <v>2508</v>
      </c>
      <c r="D88" t="s">
        <v>2509</v>
      </c>
      <c r="E88" t="s">
        <v>354</v>
      </c>
      <c r="G88">
        <v>561.48449700000003</v>
      </c>
      <c r="H88">
        <v>557.785034</v>
      </c>
      <c r="I88">
        <v>556.74005099999999</v>
      </c>
      <c r="J88">
        <v>558.68145800000002</v>
      </c>
      <c r="K88">
        <v>563.18457000000001</v>
      </c>
      <c r="L88">
        <v>566.01348900000005</v>
      </c>
      <c r="M88">
        <v>568.99591099999998</v>
      </c>
      <c r="N88">
        <v>571.13494900000001</v>
      </c>
      <c r="O88">
        <v>573.60174600000005</v>
      </c>
      <c r="P88">
        <v>577.01965299999995</v>
      </c>
      <c r="Q88">
        <v>583.04650900000001</v>
      </c>
      <c r="R88">
        <v>588.07153300000004</v>
      </c>
      <c r="S88">
        <v>593.151611</v>
      </c>
      <c r="T88">
        <v>598.55310099999997</v>
      </c>
      <c r="U88">
        <v>603.21813999999995</v>
      </c>
      <c r="V88">
        <v>609.34344499999997</v>
      </c>
      <c r="W88">
        <v>614.73071300000004</v>
      </c>
      <c r="X88">
        <v>621.06646699999999</v>
      </c>
      <c r="Y88">
        <v>627.72302200000001</v>
      </c>
      <c r="Z88">
        <v>635.39660600000002</v>
      </c>
      <c r="AA88">
        <v>642.87426800000003</v>
      </c>
      <c r="AB88">
        <v>649.87420699999996</v>
      </c>
      <c r="AC88">
        <v>656.76269500000001</v>
      </c>
      <c r="AD88">
        <v>663.54040499999996</v>
      </c>
      <c r="AE88">
        <v>671.537598</v>
      </c>
      <c r="AF88">
        <v>679.92511000000002</v>
      </c>
      <c r="AG88">
        <v>687.57550000000003</v>
      </c>
      <c r="AH88">
        <v>695.97375499999998</v>
      </c>
      <c r="AI88">
        <v>706.70812999999998</v>
      </c>
      <c r="AJ88" s="31">
        <v>8.0000000000000002E-3</v>
      </c>
      <c r="AL88" s="31"/>
    </row>
    <row r="89" spans="1:38">
      <c r="A89" s="163" t="s">
        <v>257</v>
      </c>
      <c r="B89" t="s">
        <v>308</v>
      </c>
      <c r="C89" t="s">
        <v>2510</v>
      </c>
      <c r="D89" t="s">
        <v>2511</v>
      </c>
      <c r="E89" t="s">
        <v>354</v>
      </c>
      <c r="G89">
        <v>1.2452650000000001</v>
      </c>
      <c r="H89">
        <v>1.3861779999999999</v>
      </c>
      <c r="I89">
        <v>1.52488</v>
      </c>
      <c r="J89">
        <v>1.6560079999999999</v>
      </c>
      <c r="K89">
        <v>1.7862659999999999</v>
      </c>
      <c r="L89">
        <v>1.903707</v>
      </c>
      <c r="M89">
        <v>2.0105780000000002</v>
      </c>
      <c r="N89">
        <v>2.099688</v>
      </c>
      <c r="O89">
        <v>2.1804990000000002</v>
      </c>
      <c r="P89">
        <v>2.2604660000000001</v>
      </c>
      <c r="Q89">
        <v>2.3478080000000001</v>
      </c>
      <c r="R89">
        <v>2.4404729999999999</v>
      </c>
      <c r="S89">
        <v>2.5412210000000002</v>
      </c>
      <c r="T89">
        <v>2.6449829999999999</v>
      </c>
      <c r="U89">
        <v>2.752405</v>
      </c>
      <c r="V89">
        <v>2.8738489999999999</v>
      </c>
      <c r="W89">
        <v>3.004591</v>
      </c>
      <c r="X89">
        <v>3.1495850000000001</v>
      </c>
      <c r="Y89">
        <v>3.3139080000000001</v>
      </c>
      <c r="Z89">
        <v>3.5006020000000002</v>
      </c>
      <c r="AA89">
        <v>3.7020719999999998</v>
      </c>
      <c r="AB89">
        <v>3.9170069999999999</v>
      </c>
      <c r="AC89">
        <v>4.1414150000000003</v>
      </c>
      <c r="AD89">
        <v>4.3768859999999998</v>
      </c>
      <c r="AE89">
        <v>4.632447</v>
      </c>
      <c r="AF89">
        <v>4.9017460000000002</v>
      </c>
      <c r="AG89">
        <v>5.1746309999999998</v>
      </c>
      <c r="AH89">
        <v>5.4474770000000001</v>
      </c>
      <c r="AI89">
        <v>5.7450359999999998</v>
      </c>
      <c r="AJ89" s="31">
        <v>5.6000000000000001E-2</v>
      </c>
      <c r="AL89" s="31"/>
    </row>
    <row r="90" spans="1:38">
      <c r="A90" s="163" t="s">
        <v>112</v>
      </c>
      <c r="B90" t="s">
        <v>307</v>
      </c>
      <c r="C90" t="s">
        <v>2512</v>
      </c>
      <c r="D90" t="s">
        <v>2513</v>
      </c>
      <c r="E90" t="s">
        <v>354</v>
      </c>
      <c r="G90">
        <v>51.344929</v>
      </c>
      <c r="H90">
        <v>51.773192999999999</v>
      </c>
      <c r="I90">
        <v>51.965781999999997</v>
      </c>
      <c r="J90">
        <v>52.061802</v>
      </c>
      <c r="K90">
        <v>52.003608999999997</v>
      </c>
      <c r="L90">
        <v>51.453983000000001</v>
      </c>
      <c r="M90">
        <v>50.587246</v>
      </c>
      <c r="N90">
        <v>49.357909999999997</v>
      </c>
      <c r="O90">
        <v>47.935226</v>
      </c>
      <c r="P90">
        <v>46.656028999999997</v>
      </c>
      <c r="Q90">
        <v>45.774760999999998</v>
      </c>
      <c r="R90">
        <v>45.265827000000002</v>
      </c>
      <c r="S90">
        <v>45.213760000000001</v>
      </c>
      <c r="T90">
        <v>45.570152</v>
      </c>
      <c r="U90">
        <v>46.181815999999998</v>
      </c>
      <c r="V90">
        <v>47.148071000000002</v>
      </c>
      <c r="W90">
        <v>48.373516000000002</v>
      </c>
      <c r="X90">
        <v>49.850352999999998</v>
      </c>
      <c r="Y90">
        <v>51.657871</v>
      </c>
      <c r="Z90">
        <v>53.785004000000001</v>
      </c>
      <c r="AA90">
        <v>56.128632000000003</v>
      </c>
      <c r="AB90">
        <v>58.653046000000003</v>
      </c>
      <c r="AC90">
        <v>61.322830000000003</v>
      </c>
      <c r="AD90">
        <v>64.089225999999996</v>
      </c>
      <c r="AE90">
        <v>67.060805999999999</v>
      </c>
      <c r="AF90">
        <v>70.195723999999998</v>
      </c>
      <c r="AG90">
        <v>73.347763</v>
      </c>
      <c r="AH90">
        <v>76.647514000000001</v>
      </c>
      <c r="AI90">
        <v>80.336487000000005</v>
      </c>
      <c r="AJ90" s="31">
        <v>1.6E-2</v>
      </c>
      <c r="AL90" s="31"/>
    </row>
    <row r="91" spans="1:38">
      <c r="A91" s="163" t="s">
        <v>113</v>
      </c>
      <c r="B91" t="s">
        <v>378</v>
      </c>
      <c r="C91" t="s">
        <v>2514</v>
      </c>
      <c r="D91" t="s">
        <v>2515</v>
      </c>
      <c r="E91" t="s">
        <v>354</v>
      </c>
      <c r="G91">
        <v>56.296131000000003</v>
      </c>
      <c r="H91">
        <v>55.369976000000001</v>
      </c>
      <c r="I91">
        <v>54.821407000000001</v>
      </c>
      <c r="J91">
        <v>54.645843999999997</v>
      </c>
      <c r="K91">
        <v>54.800826999999998</v>
      </c>
      <c r="L91">
        <v>55.005043000000001</v>
      </c>
      <c r="M91">
        <v>55.364806999999999</v>
      </c>
      <c r="N91">
        <v>55.846207</v>
      </c>
      <c r="O91">
        <v>56.544991000000003</v>
      </c>
      <c r="P91">
        <v>57.577567999999999</v>
      </c>
      <c r="Q91">
        <v>58.992728999999997</v>
      </c>
      <c r="R91">
        <v>60.460762000000003</v>
      </c>
      <c r="S91">
        <v>61.892029000000001</v>
      </c>
      <c r="T91">
        <v>63.325195000000001</v>
      </c>
      <c r="U91">
        <v>64.556685999999999</v>
      </c>
      <c r="V91">
        <v>65.916945999999996</v>
      </c>
      <c r="W91">
        <v>67.129135000000005</v>
      </c>
      <c r="X91">
        <v>68.383598000000006</v>
      </c>
      <c r="Y91">
        <v>69.911057</v>
      </c>
      <c r="Z91">
        <v>71.648148000000006</v>
      </c>
      <c r="AA91">
        <v>73.513976999999997</v>
      </c>
      <c r="AB91">
        <v>75.545715000000001</v>
      </c>
      <c r="AC91">
        <v>77.664931999999993</v>
      </c>
      <c r="AD91">
        <v>79.787002999999999</v>
      </c>
      <c r="AE91">
        <v>81.972365999999994</v>
      </c>
      <c r="AF91">
        <v>84.157775999999998</v>
      </c>
      <c r="AG91">
        <v>86.156768999999997</v>
      </c>
      <c r="AH91">
        <v>88.149535999999998</v>
      </c>
      <c r="AI91">
        <v>90.333061000000001</v>
      </c>
      <c r="AJ91" s="31">
        <v>1.7000000000000001E-2</v>
      </c>
      <c r="AL91" s="31"/>
    </row>
    <row r="92" spans="1:38">
      <c r="A92" s="163" t="s">
        <v>111</v>
      </c>
      <c r="B92" t="s">
        <v>379</v>
      </c>
      <c r="C92" t="s">
        <v>2516</v>
      </c>
      <c r="D92" t="s">
        <v>2517</v>
      </c>
      <c r="E92" t="s">
        <v>354</v>
      </c>
      <c r="G92">
        <v>9.0132000000000004E-2</v>
      </c>
      <c r="H92">
        <v>0.105979</v>
      </c>
      <c r="I92">
        <v>0.11863799999999999</v>
      </c>
      <c r="J92">
        <v>0.12912899999999999</v>
      </c>
      <c r="K92">
        <v>0.137766</v>
      </c>
      <c r="L92">
        <v>0.14405100000000001</v>
      </c>
      <c r="M92">
        <v>0.14827899999999999</v>
      </c>
      <c r="N92">
        <v>0.15024000000000001</v>
      </c>
      <c r="O92">
        <v>0.15040500000000001</v>
      </c>
      <c r="P92">
        <v>0.14929400000000001</v>
      </c>
      <c r="Q92">
        <v>0.14718300000000001</v>
      </c>
      <c r="R92">
        <v>0.14337900000000001</v>
      </c>
      <c r="S92">
        <v>0.13844500000000001</v>
      </c>
      <c r="T92">
        <v>0.13287299999999999</v>
      </c>
      <c r="U92">
        <v>0.126362</v>
      </c>
      <c r="V92">
        <v>0.119864</v>
      </c>
      <c r="W92">
        <v>0.113812</v>
      </c>
      <c r="X92">
        <v>0.107261</v>
      </c>
      <c r="Y92">
        <v>0.100509</v>
      </c>
      <c r="Z92">
        <v>9.4465999999999994E-2</v>
      </c>
      <c r="AA92">
        <v>8.9089000000000002E-2</v>
      </c>
      <c r="AB92">
        <v>8.3718000000000001E-2</v>
      </c>
      <c r="AC92">
        <v>7.8723000000000001E-2</v>
      </c>
      <c r="AD92">
        <v>7.4067999999999995E-2</v>
      </c>
      <c r="AE92">
        <v>6.9883000000000001E-2</v>
      </c>
      <c r="AF92">
        <v>6.5998000000000001E-2</v>
      </c>
      <c r="AG92">
        <v>6.2285E-2</v>
      </c>
      <c r="AH92">
        <v>5.8872000000000001E-2</v>
      </c>
      <c r="AI92">
        <v>5.5808999999999997E-2</v>
      </c>
      <c r="AJ92" s="31">
        <v>-1.7000000000000001E-2</v>
      </c>
      <c r="AL92" s="31"/>
    </row>
    <row r="93" spans="1:38">
      <c r="A93" s="163" t="s">
        <v>115</v>
      </c>
      <c r="B93" t="s">
        <v>381</v>
      </c>
      <c r="C93" t="s">
        <v>2518</v>
      </c>
      <c r="D93" t="s">
        <v>2519</v>
      </c>
      <c r="E93" t="s">
        <v>354</v>
      </c>
      <c r="G93">
        <v>0</v>
      </c>
      <c r="H93">
        <v>3.4696999999999999E-2</v>
      </c>
      <c r="I93">
        <v>0.22656999999999999</v>
      </c>
      <c r="J93">
        <v>0.31767200000000001</v>
      </c>
      <c r="K93">
        <v>0.40790999999999999</v>
      </c>
      <c r="L93">
        <v>0.495367</v>
      </c>
      <c r="M93">
        <v>0.58037700000000003</v>
      </c>
      <c r="N93">
        <v>0.66060700000000006</v>
      </c>
      <c r="O93">
        <v>0.73688600000000004</v>
      </c>
      <c r="P93">
        <v>0.81124300000000005</v>
      </c>
      <c r="Q93">
        <v>0.88603900000000002</v>
      </c>
      <c r="R93">
        <v>0.95841299999999996</v>
      </c>
      <c r="S93">
        <v>1.030276</v>
      </c>
      <c r="T93">
        <v>1.1037779999999999</v>
      </c>
      <c r="U93">
        <v>1.1780520000000001</v>
      </c>
      <c r="V93">
        <v>1.2576940000000001</v>
      </c>
      <c r="W93">
        <v>1.343499</v>
      </c>
      <c r="X93">
        <v>1.4378439999999999</v>
      </c>
      <c r="Y93">
        <v>1.5450470000000001</v>
      </c>
      <c r="Z93">
        <v>1.6667050000000001</v>
      </c>
      <c r="AA93">
        <v>1.8016829999999999</v>
      </c>
      <c r="AB93">
        <v>1.9414089999999999</v>
      </c>
      <c r="AC93">
        <v>2.088851</v>
      </c>
      <c r="AD93">
        <v>2.2483810000000002</v>
      </c>
      <c r="AE93">
        <v>2.4252669999999998</v>
      </c>
      <c r="AF93">
        <v>2.6095299999999999</v>
      </c>
      <c r="AG93">
        <v>2.798035</v>
      </c>
      <c r="AH93">
        <v>2.995368</v>
      </c>
      <c r="AI93">
        <v>3.2089319999999999</v>
      </c>
      <c r="AJ93" t="s">
        <v>117</v>
      </c>
      <c r="AL93" s="31"/>
    </row>
    <row r="94" spans="1:38">
      <c r="A94" s="163" t="s">
        <v>115</v>
      </c>
      <c r="B94" t="s">
        <v>380</v>
      </c>
      <c r="C94" t="s">
        <v>2520</v>
      </c>
      <c r="D94" t="s">
        <v>2521</v>
      </c>
      <c r="E94" t="s">
        <v>354</v>
      </c>
      <c r="G94">
        <v>0</v>
      </c>
      <c r="H94">
        <v>3.9742E-2</v>
      </c>
      <c r="I94">
        <v>0.36955300000000002</v>
      </c>
      <c r="J94">
        <v>0.48781200000000002</v>
      </c>
      <c r="K94">
        <v>0.605603</v>
      </c>
      <c r="L94">
        <v>0.71972499999999995</v>
      </c>
      <c r="M94">
        <v>0.82948599999999995</v>
      </c>
      <c r="N94">
        <v>0.93214399999999997</v>
      </c>
      <c r="O94">
        <v>1.0295799999999999</v>
      </c>
      <c r="P94">
        <v>1.1256299999999999</v>
      </c>
      <c r="Q94">
        <v>1.223357</v>
      </c>
      <c r="R94">
        <v>1.3188709999999999</v>
      </c>
      <c r="S94">
        <v>1.4143889999999999</v>
      </c>
      <c r="T94">
        <v>1.513145</v>
      </c>
      <c r="U94">
        <v>1.6139269999999999</v>
      </c>
      <c r="V94">
        <v>1.7237640000000001</v>
      </c>
      <c r="W94">
        <v>1.8440939999999999</v>
      </c>
      <c r="X94">
        <v>1.979271</v>
      </c>
      <c r="Y94">
        <v>2.1358799999999998</v>
      </c>
      <c r="Z94">
        <v>2.3173180000000002</v>
      </c>
      <c r="AA94">
        <v>2.522904</v>
      </c>
      <c r="AB94">
        <v>2.7382110000000002</v>
      </c>
      <c r="AC94">
        <v>2.9665469999999998</v>
      </c>
      <c r="AD94">
        <v>3.2160470000000001</v>
      </c>
      <c r="AE94">
        <v>3.49437</v>
      </c>
      <c r="AF94">
        <v>3.7831229999999998</v>
      </c>
      <c r="AG94">
        <v>4.0775949999999996</v>
      </c>
      <c r="AH94">
        <v>4.3843719999999999</v>
      </c>
      <c r="AI94">
        <v>4.712472</v>
      </c>
      <c r="AJ94" t="s">
        <v>117</v>
      </c>
      <c r="AL94" s="31"/>
    </row>
    <row r="95" spans="1:38">
      <c r="A95" s="163" t="s">
        <v>258</v>
      </c>
      <c r="B95" t="s">
        <v>382</v>
      </c>
      <c r="C95" t="s">
        <v>2522</v>
      </c>
      <c r="D95" t="s">
        <v>2523</v>
      </c>
      <c r="E95" t="s">
        <v>354</v>
      </c>
      <c r="G95">
        <v>0</v>
      </c>
      <c r="H95">
        <v>0</v>
      </c>
      <c r="I95">
        <v>0.22972699999999999</v>
      </c>
      <c r="J95">
        <v>0.44725199999999998</v>
      </c>
      <c r="K95">
        <v>0.66231200000000001</v>
      </c>
      <c r="L95">
        <v>0.87751500000000004</v>
      </c>
      <c r="M95">
        <v>1.0912500000000001</v>
      </c>
      <c r="N95">
        <v>1.2990360000000001</v>
      </c>
      <c r="O95">
        <v>1.5006790000000001</v>
      </c>
      <c r="P95">
        <v>1.7007650000000001</v>
      </c>
      <c r="Q95">
        <v>1.904776</v>
      </c>
      <c r="R95">
        <v>2.1047159999999998</v>
      </c>
      <c r="S95">
        <v>2.3014619999999999</v>
      </c>
      <c r="T95">
        <v>2.49594</v>
      </c>
      <c r="U95">
        <v>2.6833969999999998</v>
      </c>
      <c r="V95">
        <v>2.8711519999999999</v>
      </c>
      <c r="W95">
        <v>3.0575359999999998</v>
      </c>
      <c r="X95">
        <v>3.245911</v>
      </c>
      <c r="Y95">
        <v>3.4448439999999998</v>
      </c>
      <c r="Z95">
        <v>3.6585730000000001</v>
      </c>
      <c r="AA95">
        <v>3.886771</v>
      </c>
      <c r="AB95">
        <v>4.1203969999999996</v>
      </c>
      <c r="AC95">
        <v>4.3612710000000003</v>
      </c>
      <c r="AD95">
        <v>4.6121660000000002</v>
      </c>
      <c r="AE95">
        <v>4.8889959999999997</v>
      </c>
      <c r="AF95">
        <v>5.184831</v>
      </c>
      <c r="AG95">
        <v>5.4921150000000001</v>
      </c>
      <c r="AH95">
        <v>5.8197830000000002</v>
      </c>
      <c r="AI95">
        <v>6.1840799999999998</v>
      </c>
      <c r="AJ95" t="s">
        <v>117</v>
      </c>
      <c r="AL95" s="31"/>
    </row>
    <row r="96" spans="1:38">
      <c r="B96" t="s">
        <v>195</v>
      </c>
      <c r="C96" t="s">
        <v>2524</v>
      </c>
      <c r="D96" t="s">
        <v>2525</v>
      </c>
      <c r="E96" t="s">
        <v>354</v>
      </c>
      <c r="G96">
        <v>5922.7944340000004</v>
      </c>
      <c r="H96">
        <v>5816.705078</v>
      </c>
      <c r="I96">
        <v>5728.095703</v>
      </c>
      <c r="J96">
        <v>5673.0986329999996</v>
      </c>
      <c r="K96">
        <v>5638.8974609999996</v>
      </c>
      <c r="L96">
        <v>5591.7060549999997</v>
      </c>
      <c r="M96">
        <v>5543.7099609999996</v>
      </c>
      <c r="N96">
        <v>5483.6723629999997</v>
      </c>
      <c r="O96">
        <v>5422.3881840000004</v>
      </c>
      <c r="P96">
        <v>5371.3041990000002</v>
      </c>
      <c r="Q96">
        <v>5340.1577150000003</v>
      </c>
      <c r="R96">
        <v>5306.5058589999999</v>
      </c>
      <c r="S96">
        <v>5278.78125</v>
      </c>
      <c r="T96">
        <v>5261.2451170000004</v>
      </c>
      <c r="U96">
        <v>5243.0034180000002</v>
      </c>
      <c r="V96">
        <v>5237.6967770000001</v>
      </c>
      <c r="W96">
        <v>5236.3603519999997</v>
      </c>
      <c r="X96">
        <v>5238.3046880000002</v>
      </c>
      <c r="Y96">
        <v>5247.9135740000002</v>
      </c>
      <c r="Z96">
        <v>5263.2055659999996</v>
      </c>
      <c r="AA96">
        <v>5281.453125</v>
      </c>
      <c r="AB96">
        <v>5299.6840819999998</v>
      </c>
      <c r="AC96">
        <v>5316.767578</v>
      </c>
      <c r="AD96">
        <v>5331.7001950000003</v>
      </c>
      <c r="AE96">
        <v>5353.1962890000004</v>
      </c>
      <c r="AF96">
        <v>5376.3159180000002</v>
      </c>
      <c r="AG96">
        <v>5393.3193359999996</v>
      </c>
      <c r="AH96">
        <v>5413.4169920000004</v>
      </c>
      <c r="AI96">
        <v>5450.013672</v>
      </c>
      <c r="AJ96" s="31">
        <v>-3.0000000000000001E-3</v>
      </c>
      <c r="AL96" s="31"/>
    </row>
    <row r="97" spans="1:38">
      <c r="B97" t="s">
        <v>397</v>
      </c>
    </row>
    <row r="98" spans="1:38">
      <c r="B98" t="s">
        <v>341</v>
      </c>
    </row>
    <row r="99" spans="1:38">
      <c r="A99" s="163" t="s">
        <v>114</v>
      </c>
      <c r="B99" t="s">
        <v>327</v>
      </c>
      <c r="C99" t="s">
        <v>2526</v>
      </c>
      <c r="D99" t="s">
        <v>2527</v>
      </c>
      <c r="E99" t="s">
        <v>413</v>
      </c>
      <c r="G99">
        <v>14.991417999999999</v>
      </c>
      <c r="H99">
        <v>15.216495999999999</v>
      </c>
      <c r="I99">
        <v>15.498507</v>
      </c>
      <c r="J99">
        <v>15.831193000000001</v>
      </c>
      <c r="K99">
        <v>16.182243</v>
      </c>
      <c r="L99">
        <v>16.538081999999999</v>
      </c>
      <c r="M99">
        <v>16.880116000000001</v>
      </c>
      <c r="N99">
        <v>17.209087</v>
      </c>
      <c r="O99">
        <v>17.515287000000001</v>
      </c>
      <c r="P99">
        <v>17.796841000000001</v>
      </c>
      <c r="Q99">
        <v>18.058009999999999</v>
      </c>
      <c r="R99">
        <v>18.298815000000001</v>
      </c>
      <c r="S99">
        <v>18.515478000000002</v>
      </c>
      <c r="T99">
        <v>18.711390999999999</v>
      </c>
      <c r="U99">
        <v>18.891172000000001</v>
      </c>
      <c r="V99">
        <v>19.054907</v>
      </c>
      <c r="W99">
        <v>19.202491999999999</v>
      </c>
      <c r="X99">
        <v>19.329568999999999</v>
      </c>
      <c r="Y99">
        <v>19.439314</v>
      </c>
      <c r="Z99">
        <v>19.535429000000001</v>
      </c>
      <c r="AA99">
        <v>19.61628</v>
      </c>
      <c r="AB99">
        <v>19.678816000000001</v>
      </c>
      <c r="AC99">
        <v>19.726330000000001</v>
      </c>
      <c r="AD99">
        <v>19.762045000000001</v>
      </c>
      <c r="AE99">
        <v>19.788633000000001</v>
      </c>
      <c r="AF99">
        <v>19.806604</v>
      </c>
      <c r="AG99">
        <v>19.813744</v>
      </c>
      <c r="AH99">
        <v>19.817585000000001</v>
      </c>
      <c r="AI99">
        <v>19.819794000000002</v>
      </c>
      <c r="AJ99" s="31">
        <v>0.01</v>
      </c>
      <c r="AL99" s="31"/>
    </row>
    <row r="100" spans="1:38">
      <c r="A100" s="163" t="s">
        <v>113</v>
      </c>
      <c r="B100" t="s">
        <v>313</v>
      </c>
      <c r="C100" t="s">
        <v>2528</v>
      </c>
      <c r="D100" t="s">
        <v>2529</v>
      </c>
      <c r="E100" t="s">
        <v>414</v>
      </c>
      <c r="G100">
        <v>10.726876000000001</v>
      </c>
      <c r="H100">
        <v>11.029114999999999</v>
      </c>
      <c r="I100">
        <v>11.340722</v>
      </c>
      <c r="J100">
        <v>11.658097</v>
      </c>
      <c r="K100">
        <v>11.957341</v>
      </c>
      <c r="L100">
        <v>12.246843</v>
      </c>
      <c r="M100">
        <v>12.511288</v>
      </c>
      <c r="N100">
        <v>12.761357</v>
      </c>
      <c r="O100">
        <v>12.989336</v>
      </c>
      <c r="P100">
        <v>13.199085999999999</v>
      </c>
      <c r="Q100">
        <v>13.381130000000001</v>
      </c>
      <c r="R100">
        <v>13.546595999999999</v>
      </c>
      <c r="S100">
        <v>13.699472</v>
      </c>
      <c r="T100">
        <v>13.842229</v>
      </c>
      <c r="U100">
        <v>13.973739</v>
      </c>
      <c r="V100">
        <v>14.095364</v>
      </c>
      <c r="W100">
        <v>14.210414999999999</v>
      </c>
      <c r="X100">
        <v>14.321558</v>
      </c>
      <c r="Y100">
        <v>14.425992000000001</v>
      </c>
      <c r="Z100">
        <v>14.520219000000001</v>
      </c>
      <c r="AA100">
        <v>14.608215</v>
      </c>
      <c r="AB100">
        <v>14.692059</v>
      </c>
      <c r="AC100">
        <v>14.763736</v>
      </c>
      <c r="AD100">
        <v>14.827795999999999</v>
      </c>
      <c r="AE100">
        <v>14.883236999999999</v>
      </c>
      <c r="AF100">
        <v>14.930063000000001</v>
      </c>
      <c r="AG100">
        <v>14.969678</v>
      </c>
      <c r="AH100">
        <v>15.003341000000001</v>
      </c>
      <c r="AI100">
        <v>15.030684000000001</v>
      </c>
      <c r="AJ100" s="31">
        <v>1.2E-2</v>
      </c>
      <c r="AL100" s="31"/>
    </row>
    <row r="101" spans="1:38">
      <c r="A101" s="163" t="s">
        <v>257</v>
      </c>
      <c r="B101" t="s">
        <v>308</v>
      </c>
      <c r="C101" t="s">
        <v>2530</v>
      </c>
      <c r="D101" t="s">
        <v>2531</v>
      </c>
      <c r="E101" t="s">
        <v>414</v>
      </c>
      <c r="G101">
        <v>8.2871159999999993</v>
      </c>
      <c r="H101">
        <v>12.070017</v>
      </c>
      <c r="I101">
        <v>12.378905</v>
      </c>
      <c r="J101">
        <v>12.533067000000001</v>
      </c>
      <c r="K101">
        <v>12.633637</v>
      </c>
      <c r="L101">
        <v>12.727520999999999</v>
      </c>
      <c r="M101">
        <v>12.811731999999999</v>
      </c>
      <c r="N101">
        <v>12.9071</v>
      </c>
      <c r="O101">
        <v>13.019793999999999</v>
      </c>
      <c r="P101">
        <v>13.144209</v>
      </c>
      <c r="Q101">
        <v>13.276356</v>
      </c>
      <c r="R101">
        <v>13.407525</v>
      </c>
      <c r="S101">
        <v>13.532327</v>
      </c>
      <c r="T101">
        <v>13.644149000000001</v>
      </c>
      <c r="U101">
        <v>13.742635</v>
      </c>
      <c r="V101">
        <v>13.828310999999999</v>
      </c>
      <c r="W101">
        <v>13.902666</v>
      </c>
      <c r="X101">
        <v>13.967390999999999</v>
      </c>
      <c r="Y101">
        <v>14.023659</v>
      </c>
      <c r="Z101">
        <v>14.072395999999999</v>
      </c>
      <c r="AA101">
        <v>14.11443</v>
      </c>
      <c r="AB101">
        <v>14.150719</v>
      </c>
      <c r="AC101">
        <v>14.184551000000001</v>
      </c>
      <c r="AD101">
        <v>14.215185999999999</v>
      </c>
      <c r="AE101">
        <v>14.241229000000001</v>
      </c>
      <c r="AF101">
        <v>14.26371</v>
      </c>
      <c r="AG101">
        <v>14.282851000000001</v>
      </c>
      <c r="AH101">
        <v>14.299067000000001</v>
      </c>
      <c r="AI101">
        <v>14.312678</v>
      </c>
      <c r="AJ101" s="31">
        <v>0.02</v>
      </c>
      <c r="AL101" s="31"/>
    </row>
    <row r="102" spans="1:38">
      <c r="A102" s="163" t="s">
        <v>112</v>
      </c>
      <c r="B102" t="s">
        <v>307</v>
      </c>
      <c r="C102" t="s">
        <v>2532</v>
      </c>
      <c r="D102" t="s">
        <v>2533</v>
      </c>
      <c r="E102" t="s">
        <v>414</v>
      </c>
      <c r="G102">
        <v>10.037065</v>
      </c>
      <c r="H102">
        <v>10.03825</v>
      </c>
      <c r="I102">
        <v>10.039481</v>
      </c>
      <c r="J102">
        <v>10.040760000000001</v>
      </c>
      <c r="K102">
        <v>10.04208</v>
      </c>
      <c r="L102">
        <v>10.043437000000001</v>
      </c>
      <c r="M102">
        <v>10.044827</v>
      </c>
      <c r="N102">
        <v>10.046251</v>
      </c>
      <c r="O102">
        <v>10.047701</v>
      </c>
      <c r="P102">
        <v>10.049175999999999</v>
      </c>
      <c r="Q102">
        <v>10.050672</v>
      </c>
      <c r="R102">
        <v>10.057157</v>
      </c>
      <c r="S102">
        <v>10.073521</v>
      </c>
      <c r="T102">
        <v>10.105247</v>
      </c>
      <c r="U102">
        <v>10.140972</v>
      </c>
      <c r="V102">
        <v>10.185604</v>
      </c>
      <c r="W102">
        <v>10.231821</v>
      </c>
      <c r="X102">
        <v>10.265867999999999</v>
      </c>
      <c r="Y102">
        <v>10.275093</v>
      </c>
      <c r="Z102">
        <v>10.25789</v>
      </c>
      <c r="AA102">
        <v>10.216537000000001</v>
      </c>
      <c r="AB102">
        <v>10.161300000000001</v>
      </c>
      <c r="AC102">
        <v>10.092753999999999</v>
      </c>
      <c r="AD102">
        <v>10.027177</v>
      </c>
      <c r="AE102">
        <v>9.99404</v>
      </c>
      <c r="AF102">
        <v>10.014455</v>
      </c>
      <c r="AG102">
        <v>10.061934000000001</v>
      </c>
      <c r="AH102">
        <v>10.114001</v>
      </c>
      <c r="AI102">
        <v>10.188727</v>
      </c>
      <c r="AJ102" s="31">
        <v>1E-3</v>
      </c>
      <c r="AL102" s="31"/>
    </row>
    <row r="103" spans="1:38">
      <c r="A103" s="163" t="s">
        <v>113</v>
      </c>
      <c r="B103" t="s">
        <v>378</v>
      </c>
      <c r="C103" t="s">
        <v>2534</v>
      </c>
      <c r="D103" t="s">
        <v>2535</v>
      </c>
      <c r="E103" t="s">
        <v>414</v>
      </c>
      <c r="G103">
        <v>10.321225</v>
      </c>
      <c r="H103">
        <v>10.468386000000001</v>
      </c>
      <c r="I103">
        <v>10.641707</v>
      </c>
      <c r="J103">
        <v>10.829888</v>
      </c>
      <c r="K103">
        <v>11.019978999999999</v>
      </c>
      <c r="L103">
        <v>11.213248</v>
      </c>
      <c r="M103">
        <v>11.394366</v>
      </c>
      <c r="N103">
        <v>11.570538000000001</v>
      </c>
      <c r="O103">
        <v>11.740290999999999</v>
      </c>
      <c r="P103">
        <v>11.905053000000001</v>
      </c>
      <c r="Q103">
        <v>12.059313</v>
      </c>
      <c r="R103">
        <v>12.213480000000001</v>
      </c>
      <c r="S103">
        <v>12.379014</v>
      </c>
      <c r="T103">
        <v>12.555837</v>
      </c>
      <c r="U103">
        <v>12.744346</v>
      </c>
      <c r="V103">
        <v>12.939107999999999</v>
      </c>
      <c r="W103">
        <v>13.149075</v>
      </c>
      <c r="X103">
        <v>13.363464</v>
      </c>
      <c r="Y103">
        <v>13.576193</v>
      </c>
      <c r="Z103">
        <v>13.772496</v>
      </c>
      <c r="AA103">
        <v>13.949099</v>
      </c>
      <c r="AB103">
        <v>14.098661999999999</v>
      </c>
      <c r="AC103">
        <v>14.220824</v>
      </c>
      <c r="AD103">
        <v>14.323482</v>
      </c>
      <c r="AE103">
        <v>14.410444</v>
      </c>
      <c r="AF103">
        <v>14.483241</v>
      </c>
      <c r="AG103">
        <v>14.544046</v>
      </c>
      <c r="AH103">
        <v>14.60201</v>
      </c>
      <c r="AI103">
        <v>14.655778</v>
      </c>
      <c r="AJ103" s="31">
        <v>1.2999999999999999E-2</v>
      </c>
      <c r="AL103" s="31"/>
    </row>
    <row r="104" spans="1:38">
      <c r="A104" s="163" t="s">
        <v>111</v>
      </c>
      <c r="B104" t="s">
        <v>379</v>
      </c>
      <c r="C104" t="s">
        <v>2536</v>
      </c>
      <c r="D104" t="s">
        <v>2537</v>
      </c>
      <c r="E104" t="s">
        <v>413</v>
      </c>
      <c r="G104">
        <v>24.120543999999999</v>
      </c>
      <c r="H104">
        <v>24.120650999999999</v>
      </c>
      <c r="I104">
        <v>24.120832</v>
      </c>
      <c r="J104">
        <v>24.121077</v>
      </c>
      <c r="K104">
        <v>24.121357</v>
      </c>
      <c r="L104">
        <v>24.121646999999999</v>
      </c>
      <c r="M104">
        <v>24.121905999999999</v>
      </c>
      <c r="N104">
        <v>24.1206</v>
      </c>
      <c r="O104">
        <v>24.120342000000001</v>
      </c>
      <c r="P104">
        <v>24.120311999999998</v>
      </c>
      <c r="Q104">
        <v>24.120283000000001</v>
      </c>
      <c r="R104">
        <v>24.116168999999999</v>
      </c>
      <c r="S104">
        <v>24.116142</v>
      </c>
      <c r="T104">
        <v>24.116114</v>
      </c>
      <c r="U104">
        <v>24.116087</v>
      </c>
      <c r="V104">
        <v>24.116057999999999</v>
      </c>
      <c r="W104">
        <v>24.116029999999999</v>
      </c>
      <c r="X104">
        <v>24.116002999999999</v>
      </c>
      <c r="Y104">
        <v>24.121919999999999</v>
      </c>
      <c r="Z104">
        <v>24.121894999999999</v>
      </c>
      <c r="AA104">
        <v>24.121872</v>
      </c>
      <c r="AB104">
        <v>24.121846999999999</v>
      </c>
      <c r="AC104">
        <v>24.121846999999999</v>
      </c>
      <c r="AD104">
        <v>24.121846999999999</v>
      </c>
      <c r="AE104">
        <v>24.121846999999999</v>
      </c>
      <c r="AF104">
        <v>24.121846999999999</v>
      </c>
      <c r="AG104">
        <v>24.121846999999999</v>
      </c>
      <c r="AH104">
        <v>24.121846999999999</v>
      </c>
      <c r="AI104">
        <v>24.121849000000001</v>
      </c>
      <c r="AJ104" s="31">
        <v>0</v>
      </c>
      <c r="AL104" s="31"/>
    </row>
    <row r="105" spans="1:38">
      <c r="A105" s="163" t="s">
        <v>115</v>
      </c>
      <c r="B105" t="s">
        <v>381</v>
      </c>
      <c r="C105" t="s">
        <v>2538</v>
      </c>
      <c r="D105" t="s">
        <v>2539</v>
      </c>
      <c r="E105" t="s">
        <v>413</v>
      </c>
      <c r="G105">
        <v>0</v>
      </c>
      <c r="H105">
        <v>23.149469</v>
      </c>
      <c r="I105">
        <v>23.472180999999999</v>
      </c>
      <c r="J105">
        <v>23.713379</v>
      </c>
      <c r="K105">
        <v>23.934065</v>
      </c>
      <c r="L105">
        <v>24.180558999999999</v>
      </c>
      <c r="M105">
        <v>24.434350999999999</v>
      </c>
      <c r="N105">
        <v>24.733726999999998</v>
      </c>
      <c r="O105">
        <v>25.076927000000001</v>
      </c>
      <c r="P105">
        <v>25.458096999999999</v>
      </c>
      <c r="Q105">
        <v>25.866046999999998</v>
      </c>
      <c r="R105">
        <v>26.263549999999999</v>
      </c>
      <c r="S105">
        <v>26.635529999999999</v>
      </c>
      <c r="T105">
        <v>26.971720000000001</v>
      </c>
      <c r="U105">
        <v>27.273852999999999</v>
      </c>
      <c r="V105">
        <v>27.540438000000002</v>
      </c>
      <c r="W105">
        <v>27.771664000000001</v>
      </c>
      <c r="X105">
        <v>27.968972999999998</v>
      </c>
      <c r="Y105">
        <v>28.134948999999999</v>
      </c>
      <c r="Z105">
        <v>28.272074</v>
      </c>
      <c r="AA105">
        <v>28.389306999999999</v>
      </c>
      <c r="AB105">
        <v>28.489751999999999</v>
      </c>
      <c r="AC105">
        <v>28.575668</v>
      </c>
      <c r="AD105">
        <v>28.649501999999998</v>
      </c>
      <c r="AE105">
        <v>28.719356999999999</v>
      </c>
      <c r="AF105">
        <v>28.78302</v>
      </c>
      <c r="AG105">
        <v>28.839659000000001</v>
      </c>
      <c r="AH105">
        <v>28.888365</v>
      </c>
      <c r="AI105">
        <v>28.930430999999999</v>
      </c>
      <c r="AJ105" t="s">
        <v>117</v>
      </c>
      <c r="AL105" s="31"/>
    </row>
    <row r="106" spans="1:38">
      <c r="A106" s="163" t="s">
        <v>115</v>
      </c>
      <c r="B106" t="s">
        <v>380</v>
      </c>
      <c r="C106" t="s">
        <v>2540</v>
      </c>
      <c r="D106" t="s">
        <v>2541</v>
      </c>
      <c r="E106" t="s">
        <v>414</v>
      </c>
      <c r="G106">
        <v>0</v>
      </c>
      <c r="H106">
        <v>18.959842999999999</v>
      </c>
      <c r="I106">
        <v>19.097798999999998</v>
      </c>
      <c r="J106">
        <v>19.221861000000001</v>
      </c>
      <c r="K106">
        <v>19.306705000000001</v>
      </c>
      <c r="L106">
        <v>19.394665</v>
      </c>
      <c r="M106">
        <v>19.477266</v>
      </c>
      <c r="N106">
        <v>19.57037</v>
      </c>
      <c r="O106">
        <v>19.676134000000001</v>
      </c>
      <c r="P106">
        <v>19.793496999999999</v>
      </c>
      <c r="Q106">
        <v>19.919716000000001</v>
      </c>
      <c r="R106">
        <v>20.047338</v>
      </c>
      <c r="S106">
        <v>20.172951000000001</v>
      </c>
      <c r="T106">
        <v>20.289746999999998</v>
      </c>
      <c r="U106">
        <v>20.399184999999999</v>
      </c>
      <c r="V106">
        <v>20.498297000000001</v>
      </c>
      <c r="W106">
        <v>20.584267000000001</v>
      </c>
      <c r="X106">
        <v>20.657764</v>
      </c>
      <c r="Y106">
        <v>20.719555</v>
      </c>
      <c r="Z106">
        <v>20.770308</v>
      </c>
      <c r="AA106">
        <v>20.813773999999999</v>
      </c>
      <c r="AB106">
        <v>20.851306999999998</v>
      </c>
      <c r="AC106">
        <v>20.877443</v>
      </c>
      <c r="AD106">
        <v>20.902785999999999</v>
      </c>
      <c r="AE106">
        <v>20.928736000000001</v>
      </c>
      <c r="AF106">
        <v>20.955839000000001</v>
      </c>
      <c r="AG106">
        <v>20.984338999999999</v>
      </c>
      <c r="AH106">
        <v>21.014859999999999</v>
      </c>
      <c r="AI106">
        <v>21.047606999999999</v>
      </c>
      <c r="AJ106" t="s">
        <v>117</v>
      </c>
      <c r="AL106" s="31"/>
    </row>
    <row r="107" spans="1:38">
      <c r="A107" s="163" t="s">
        <v>258</v>
      </c>
      <c r="B107" t="s">
        <v>382</v>
      </c>
      <c r="C107" t="s">
        <v>2542</v>
      </c>
      <c r="D107" t="s">
        <v>2543</v>
      </c>
      <c r="E107" t="s">
        <v>413</v>
      </c>
      <c r="G107">
        <v>0</v>
      </c>
      <c r="H107">
        <v>0</v>
      </c>
      <c r="I107">
        <v>18.589186000000002</v>
      </c>
      <c r="J107">
        <v>17.317968</v>
      </c>
      <c r="K107">
        <v>16.950768</v>
      </c>
      <c r="L107">
        <v>16.763815000000001</v>
      </c>
      <c r="M107">
        <v>16.648444999999999</v>
      </c>
      <c r="N107">
        <v>16.569084</v>
      </c>
      <c r="O107">
        <v>16.510998000000001</v>
      </c>
      <c r="P107">
        <v>16.466656</v>
      </c>
      <c r="Q107">
        <v>16.431818</v>
      </c>
      <c r="R107">
        <v>16.404015000000001</v>
      </c>
      <c r="S107">
        <v>16.381551999999999</v>
      </c>
      <c r="T107">
        <v>16.363289000000002</v>
      </c>
      <c r="U107">
        <v>16.348462999999999</v>
      </c>
      <c r="V107">
        <v>16.336552000000001</v>
      </c>
      <c r="W107">
        <v>16.327078</v>
      </c>
      <c r="X107">
        <v>16.319696</v>
      </c>
      <c r="Y107">
        <v>16.314050999999999</v>
      </c>
      <c r="Z107">
        <v>16.30987</v>
      </c>
      <c r="AA107">
        <v>16.306847000000001</v>
      </c>
      <c r="AB107">
        <v>16.301434</v>
      </c>
      <c r="AC107">
        <v>16.296316000000001</v>
      </c>
      <c r="AD107">
        <v>16.291889000000001</v>
      </c>
      <c r="AE107">
        <v>16.288053999999999</v>
      </c>
      <c r="AF107">
        <v>16.279157999999999</v>
      </c>
      <c r="AG107">
        <v>16.272285</v>
      </c>
      <c r="AH107">
        <v>16.266923999999999</v>
      </c>
      <c r="AI107">
        <v>16.262709000000001</v>
      </c>
      <c r="AJ107" t="s">
        <v>117</v>
      </c>
      <c r="AL107" s="31"/>
    </row>
    <row r="108" spans="1:38">
      <c r="B108" t="s">
        <v>398</v>
      </c>
      <c r="C108" t="s">
        <v>2544</v>
      </c>
      <c r="D108" t="s">
        <v>2545</v>
      </c>
      <c r="G108">
        <v>13.701998</v>
      </c>
      <c r="H108">
        <v>13.894455000000001</v>
      </c>
      <c r="I108">
        <v>14.1332</v>
      </c>
      <c r="J108">
        <v>14.411139</v>
      </c>
      <c r="K108">
        <v>14.696726999999999</v>
      </c>
      <c r="L108">
        <v>14.984973999999999</v>
      </c>
      <c r="M108">
        <v>15.258081000000001</v>
      </c>
      <c r="N108">
        <v>15.520238000000001</v>
      </c>
      <c r="O108">
        <v>15.762815</v>
      </c>
      <c r="P108">
        <v>15.987064999999999</v>
      </c>
      <c r="Q108">
        <v>16.188490000000002</v>
      </c>
      <c r="R108">
        <v>16.371717</v>
      </c>
      <c r="S108">
        <v>16.538298000000001</v>
      </c>
      <c r="T108">
        <v>16.691216000000001</v>
      </c>
      <c r="U108">
        <v>16.830991999999998</v>
      </c>
      <c r="V108">
        <v>16.958241999999998</v>
      </c>
      <c r="W108">
        <v>17.075382000000001</v>
      </c>
      <c r="X108">
        <v>17.182625000000002</v>
      </c>
      <c r="Y108">
        <v>17.279478000000001</v>
      </c>
      <c r="Z108">
        <v>17.364405000000001</v>
      </c>
      <c r="AA108">
        <v>17.440176000000001</v>
      </c>
      <c r="AB108">
        <v>17.507937999999999</v>
      </c>
      <c r="AC108">
        <v>17.564014</v>
      </c>
      <c r="AD108">
        <v>17.611903999999999</v>
      </c>
      <c r="AE108">
        <v>17.652002</v>
      </c>
      <c r="AF108">
        <v>17.684301000000001</v>
      </c>
      <c r="AG108">
        <v>17.708280999999999</v>
      </c>
      <c r="AH108">
        <v>17.728021999999999</v>
      </c>
      <c r="AI108">
        <v>17.743794999999999</v>
      </c>
      <c r="AJ108" s="31">
        <v>8.9999999999999993E-3</v>
      </c>
      <c r="AL108" s="31"/>
    </row>
    <row r="109" spans="1:38">
      <c r="B109" t="s">
        <v>342</v>
      </c>
    </row>
    <row r="110" spans="1:38">
      <c r="A110" s="163" t="s">
        <v>114</v>
      </c>
      <c r="B110" t="s">
        <v>327</v>
      </c>
      <c r="C110" t="s">
        <v>2546</v>
      </c>
      <c r="D110" t="s">
        <v>2547</v>
      </c>
      <c r="E110" t="s">
        <v>413</v>
      </c>
      <c r="G110">
        <v>9.1936929999999997</v>
      </c>
      <c r="H110">
        <v>9.3656079999999999</v>
      </c>
      <c r="I110">
        <v>9.5537709999999993</v>
      </c>
      <c r="J110">
        <v>9.7580460000000002</v>
      </c>
      <c r="K110">
        <v>9.9795289999999994</v>
      </c>
      <c r="L110">
        <v>10.217642</v>
      </c>
      <c r="M110">
        <v>10.452211999999999</v>
      </c>
      <c r="N110">
        <v>10.691178000000001</v>
      </c>
      <c r="O110">
        <v>10.928903</v>
      </c>
      <c r="P110">
        <v>11.165851</v>
      </c>
      <c r="Q110">
        <v>11.396546000000001</v>
      </c>
      <c r="R110">
        <v>11.615690000000001</v>
      </c>
      <c r="S110">
        <v>11.822267999999999</v>
      </c>
      <c r="T110">
        <v>12.013245</v>
      </c>
      <c r="U110">
        <v>12.188295</v>
      </c>
      <c r="V110">
        <v>12.348012000000001</v>
      </c>
      <c r="W110">
        <v>12.494664999999999</v>
      </c>
      <c r="X110">
        <v>12.629422999999999</v>
      </c>
      <c r="Y110">
        <v>12.753945</v>
      </c>
      <c r="Z110">
        <v>12.869916999999999</v>
      </c>
      <c r="AA110">
        <v>12.975726</v>
      </c>
      <c r="AB110">
        <v>13.066599</v>
      </c>
      <c r="AC110">
        <v>13.143876000000001</v>
      </c>
      <c r="AD110">
        <v>13.212106</v>
      </c>
      <c r="AE110">
        <v>13.275549</v>
      </c>
      <c r="AF110">
        <v>13.33305</v>
      </c>
      <c r="AG110">
        <v>13.385566000000001</v>
      </c>
      <c r="AH110">
        <v>13.435430999999999</v>
      </c>
      <c r="AI110">
        <v>13.483851</v>
      </c>
      <c r="AJ110" s="31">
        <v>1.4E-2</v>
      </c>
      <c r="AL110" s="31"/>
    </row>
    <row r="111" spans="1:38">
      <c r="A111" s="163" t="s">
        <v>113</v>
      </c>
      <c r="B111" t="s">
        <v>313</v>
      </c>
      <c r="C111" t="s">
        <v>2548</v>
      </c>
      <c r="D111" t="s">
        <v>2549</v>
      </c>
      <c r="E111" t="s">
        <v>414</v>
      </c>
      <c r="G111">
        <v>6.749625</v>
      </c>
      <c r="H111">
        <v>6.8187819999999997</v>
      </c>
      <c r="I111">
        <v>6.8968119999999997</v>
      </c>
      <c r="J111">
        <v>6.9867109999999997</v>
      </c>
      <c r="K111">
        <v>7.0877090000000003</v>
      </c>
      <c r="L111">
        <v>7.2009949999999998</v>
      </c>
      <c r="M111">
        <v>7.3132250000000001</v>
      </c>
      <c r="N111">
        <v>7.4300740000000003</v>
      </c>
      <c r="O111">
        <v>7.5496179999999997</v>
      </c>
      <c r="P111">
        <v>7.6721680000000001</v>
      </c>
      <c r="Q111">
        <v>7.7944769999999997</v>
      </c>
      <c r="R111">
        <v>7.9165010000000002</v>
      </c>
      <c r="S111">
        <v>8.0336940000000006</v>
      </c>
      <c r="T111">
        <v>8.1469880000000003</v>
      </c>
      <c r="U111">
        <v>8.2555569999999996</v>
      </c>
      <c r="V111">
        <v>8.3564089999999993</v>
      </c>
      <c r="W111">
        <v>8.4546189999999992</v>
      </c>
      <c r="X111">
        <v>8.5432349999999992</v>
      </c>
      <c r="Y111">
        <v>8.6293539999999993</v>
      </c>
      <c r="Z111">
        <v>8.708888</v>
      </c>
      <c r="AA111">
        <v>8.7825589999999991</v>
      </c>
      <c r="AB111">
        <v>8.8479890000000001</v>
      </c>
      <c r="AC111">
        <v>8.9059849999999994</v>
      </c>
      <c r="AD111">
        <v>8.9598390000000006</v>
      </c>
      <c r="AE111">
        <v>9.0106319999999993</v>
      </c>
      <c r="AF111">
        <v>9.0589600000000008</v>
      </c>
      <c r="AG111">
        <v>9.1032890000000002</v>
      </c>
      <c r="AH111">
        <v>9.1440789999999996</v>
      </c>
      <c r="AI111">
        <v>9.1836179999999992</v>
      </c>
      <c r="AJ111" s="31">
        <v>1.0999999999999999E-2</v>
      </c>
      <c r="AL111" s="31"/>
    </row>
    <row r="112" spans="1:38">
      <c r="A112" s="163" t="s">
        <v>257</v>
      </c>
      <c r="B112" t="s">
        <v>308</v>
      </c>
      <c r="C112" t="s">
        <v>2550</v>
      </c>
      <c r="D112" t="s">
        <v>2551</v>
      </c>
      <c r="E112" t="s">
        <v>414</v>
      </c>
      <c r="G112">
        <v>6.6743629999999996</v>
      </c>
      <c r="H112">
        <v>6.7503399999999996</v>
      </c>
      <c r="I112">
        <v>6.8347340000000001</v>
      </c>
      <c r="J112">
        <v>6.9285519999999998</v>
      </c>
      <c r="K112">
        <v>7.0375389999999998</v>
      </c>
      <c r="L112">
        <v>7.1648250000000004</v>
      </c>
      <c r="M112">
        <v>7.2973169999999996</v>
      </c>
      <c r="N112">
        <v>7.4426379999999996</v>
      </c>
      <c r="O112">
        <v>7.595675</v>
      </c>
      <c r="P112">
        <v>7.7572469999999996</v>
      </c>
      <c r="Q112">
        <v>7.9236519999999997</v>
      </c>
      <c r="R112">
        <v>8.0880279999999996</v>
      </c>
      <c r="S112">
        <v>8.2448350000000001</v>
      </c>
      <c r="T112">
        <v>8.4022679999999994</v>
      </c>
      <c r="U112">
        <v>8.5486609999999992</v>
      </c>
      <c r="V112">
        <v>8.6811869999999995</v>
      </c>
      <c r="W112">
        <v>8.7986620000000002</v>
      </c>
      <c r="X112">
        <v>8.9005259999999993</v>
      </c>
      <c r="Y112">
        <v>8.9864390000000007</v>
      </c>
      <c r="Z112">
        <v>9.0566899999999997</v>
      </c>
      <c r="AA112">
        <v>9.1138080000000006</v>
      </c>
      <c r="AB112">
        <v>9.1601370000000006</v>
      </c>
      <c r="AC112">
        <v>9.1973389999999995</v>
      </c>
      <c r="AD112">
        <v>9.2269989999999993</v>
      </c>
      <c r="AE112">
        <v>9.2508189999999999</v>
      </c>
      <c r="AF112">
        <v>9.2702109999999998</v>
      </c>
      <c r="AG112">
        <v>9.2862960000000001</v>
      </c>
      <c r="AH112">
        <v>9.3103250000000006</v>
      </c>
      <c r="AI112">
        <v>9.3297629999999998</v>
      </c>
      <c r="AJ112" s="31">
        <v>1.2E-2</v>
      </c>
      <c r="AL112" s="31"/>
    </row>
    <row r="113" spans="1:38">
      <c r="A113" s="163" t="s">
        <v>112</v>
      </c>
      <c r="B113" t="s">
        <v>307</v>
      </c>
      <c r="C113" t="s">
        <v>2552</v>
      </c>
      <c r="D113" t="s">
        <v>2553</v>
      </c>
      <c r="E113" t="s">
        <v>414</v>
      </c>
      <c r="G113">
        <v>6.6825780000000004</v>
      </c>
      <c r="H113">
        <v>6.7423450000000003</v>
      </c>
      <c r="I113">
        <v>6.8055500000000002</v>
      </c>
      <c r="J113">
        <v>6.8709239999999996</v>
      </c>
      <c r="K113">
        <v>6.936928</v>
      </c>
      <c r="L113">
        <v>7.0035639999999999</v>
      </c>
      <c r="M113">
        <v>7.0627769999999996</v>
      </c>
      <c r="N113">
        <v>7.1203580000000004</v>
      </c>
      <c r="O113">
        <v>7.1764029999999996</v>
      </c>
      <c r="P113">
        <v>7.227449</v>
      </c>
      <c r="Q113">
        <v>7.2715829999999997</v>
      </c>
      <c r="R113">
        <v>7.310689</v>
      </c>
      <c r="S113">
        <v>7.3482479999999999</v>
      </c>
      <c r="T113">
        <v>7.3825830000000003</v>
      </c>
      <c r="U113">
        <v>7.4144519999999998</v>
      </c>
      <c r="V113">
        <v>7.4396360000000001</v>
      </c>
      <c r="W113">
        <v>7.4596830000000001</v>
      </c>
      <c r="X113">
        <v>7.4693519999999998</v>
      </c>
      <c r="Y113">
        <v>7.4733830000000001</v>
      </c>
      <c r="Z113">
        <v>7.4823339999999998</v>
      </c>
      <c r="AA113">
        <v>7.4853820000000004</v>
      </c>
      <c r="AB113">
        <v>7.5116059999999996</v>
      </c>
      <c r="AC113">
        <v>7.5539040000000002</v>
      </c>
      <c r="AD113">
        <v>7.5841479999999999</v>
      </c>
      <c r="AE113">
        <v>7.6054649999999997</v>
      </c>
      <c r="AF113">
        <v>7.643802</v>
      </c>
      <c r="AG113">
        <v>7.6943020000000004</v>
      </c>
      <c r="AH113">
        <v>7.7469619999999999</v>
      </c>
      <c r="AI113">
        <v>7.7930609999999998</v>
      </c>
      <c r="AJ113" s="31">
        <v>6.0000000000000001E-3</v>
      </c>
      <c r="AL113" s="31"/>
    </row>
    <row r="114" spans="1:38">
      <c r="A114" s="163" t="s">
        <v>113</v>
      </c>
      <c r="B114" t="s">
        <v>378</v>
      </c>
      <c r="C114" t="s">
        <v>2554</v>
      </c>
      <c r="D114" t="s">
        <v>2555</v>
      </c>
      <c r="E114" t="s">
        <v>415</v>
      </c>
      <c r="G114">
        <v>6.8756690000000003</v>
      </c>
      <c r="H114">
        <v>6.9501460000000002</v>
      </c>
      <c r="I114">
        <v>7.0454549999999996</v>
      </c>
      <c r="J114">
        <v>7.1580300000000001</v>
      </c>
      <c r="K114">
        <v>7.2911039999999998</v>
      </c>
      <c r="L114">
        <v>7.4430180000000004</v>
      </c>
      <c r="M114">
        <v>7.5863610000000001</v>
      </c>
      <c r="N114">
        <v>7.7349189999999997</v>
      </c>
      <c r="O114">
        <v>7.8826219999999996</v>
      </c>
      <c r="P114">
        <v>8.0331209999999995</v>
      </c>
      <c r="Q114">
        <v>8.1807379999999998</v>
      </c>
      <c r="R114">
        <v>8.3228650000000002</v>
      </c>
      <c r="S114">
        <v>8.4456779999999991</v>
      </c>
      <c r="T114">
        <v>8.5560939999999999</v>
      </c>
      <c r="U114">
        <v>8.6529340000000001</v>
      </c>
      <c r="V114">
        <v>8.7339490000000009</v>
      </c>
      <c r="W114">
        <v>8.803032</v>
      </c>
      <c r="X114">
        <v>8.8629239999999996</v>
      </c>
      <c r="Y114">
        <v>8.910183</v>
      </c>
      <c r="Z114">
        <v>8.9528590000000001</v>
      </c>
      <c r="AA114">
        <v>8.9892479999999999</v>
      </c>
      <c r="AB114">
        <v>9.0205870000000008</v>
      </c>
      <c r="AC114">
        <v>9.0477559999999997</v>
      </c>
      <c r="AD114">
        <v>9.0712449999999993</v>
      </c>
      <c r="AE114">
        <v>9.0923820000000006</v>
      </c>
      <c r="AF114">
        <v>9.1120409999999996</v>
      </c>
      <c r="AG114">
        <v>9.1306829999999994</v>
      </c>
      <c r="AH114">
        <v>9.1470629999999993</v>
      </c>
      <c r="AI114">
        <v>9.1612849999999995</v>
      </c>
      <c r="AJ114" s="31">
        <v>0.01</v>
      </c>
      <c r="AL114" s="31"/>
    </row>
    <row r="115" spans="1:38">
      <c r="A115" s="163" t="s">
        <v>111</v>
      </c>
      <c r="B115" t="s">
        <v>379</v>
      </c>
      <c r="C115" t="s">
        <v>2556</v>
      </c>
      <c r="D115" t="s">
        <v>2557</v>
      </c>
      <c r="E115" t="s">
        <v>414</v>
      </c>
      <c r="G115">
        <v>17.406853000000002</v>
      </c>
      <c r="H115">
        <v>17.424419</v>
      </c>
      <c r="I115">
        <v>17.492840000000001</v>
      </c>
      <c r="J115">
        <v>17.594168</v>
      </c>
      <c r="K115">
        <v>17.723022</v>
      </c>
      <c r="L115">
        <v>17.870365</v>
      </c>
      <c r="M115">
        <v>18.006972999999999</v>
      </c>
      <c r="N115">
        <v>18.150782</v>
      </c>
      <c r="O115">
        <v>18.295826000000002</v>
      </c>
      <c r="P115">
        <v>18.440176000000001</v>
      </c>
      <c r="Q115">
        <v>18.580342999999999</v>
      </c>
      <c r="R115">
        <v>18.711387999999999</v>
      </c>
      <c r="S115">
        <v>18.795469000000001</v>
      </c>
      <c r="T115">
        <v>18.886208</v>
      </c>
      <c r="U115">
        <v>18.994534999999999</v>
      </c>
      <c r="V115">
        <v>19.086106999999998</v>
      </c>
      <c r="W115">
        <v>19.144750999999999</v>
      </c>
      <c r="X115">
        <v>19.193377999999999</v>
      </c>
      <c r="Y115">
        <v>19.256512000000001</v>
      </c>
      <c r="Z115">
        <v>19.306592999999999</v>
      </c>
      <c r="AA115">
        <v>19.347332000000002</v>
      </c>
      <c r="AB115">
        <v>19.379252999999999</v>
      </c>
      <c r="AC115">
        <v>19.403368</v>
      </c>
      <c r="AD115">
        <v>19.420500000000001</v>
      </c>
      <c r="AE115">
        <v>19.432022</v>
      </c>
      <c r="AF115">
        <v>19.441696</v>
      </c>
      <c r="AG115">
        <v>19.448132999999999</v>
      </c>
      <c r="AH115">
        <v>19.409203000000002</v>
      </c>
      <c r="AI115">
        <v>19.409485</v>
      </c>
      <c r="AJ115" s="31">
        <v>4.0000000000000001E-3</v>
      </c>
      <c r="AL115" s="31"/>
    </row>
    <row r="116" spans="1:38">
      <c r="A116" s="163" t="s">
        <v>115</v>
      </c>
      <c r="B116" t="s">
        <v>381</v>
      </c>
      <c r="C116" t="s">
        <v>2558</v>
      </c>
      <c r="D116" t="s">
        <v>2559</v>
      </c>
      <c r="E116" t="s">
        <v>414</v>
      </c>
      <c r="G116">
        <v>0</v>
      </c>
      <c r="H116">
        <v>0</v>
      </c>
      <c r="I116">
        <v>14.553951</v>
      </c>
      <c r="J116">
        <v>14.815011999999999</v>
      </c>
      <c r="K116">
        <v>14.998927999999999</v>
      </c>
      <c r="L116">
        <v>15.192572</v>
      </c>
      <c r="M116">
        <v>15.368869</v>
      </c>
      <c r="N116">
        <v>15.555434</v>
      </c>
      <c r="O116">
        <v>15.744630000000001</v>
      </c>
      <c r="P116">
        <v>15.944782999999999</v>
      </c>
      <c r="Q116">
        <v>16.161604000000001</v>
      </c>
      <c r="R116">
        <v>16.394955</v>
      </c>
      <c r="S116">
        <v>16.63316</v>
      </c>
      <c r="T116">
        <v>16.849796000000001</v>
      </c>
      <c r="U116">
        <v>17.064274000000001</v>
      </c>
      <c r="V116">
        <v>17.266493000000001</v>
      </c>
      <c r="W116">
        <v>17.445629</v>
      </c>
      <c r="X116">
        <v>17.603285</v>
      </c>
      <c r="Y116">
        <v>17.74091</v>
      </c>
      <c r="Z116">
        <v>17.859545000000001</v>
      </c>
      <c r="AA116">
        <v>17.959697999999999</v>
      </c>
      <c r="AB116">
        <v>18.056013</v>
      </c>
      <c r="AC116">
        <v>18.136147000000001</v>
      </c>
      <c r="AD116">
        <v>18.203022000000001</v>
      </c>
      <c r="AE116">
        <v>18.258938000000001</v>
      </c>
      <c r="AF116">
        <v>18.306379</v>
      </c>
      <c r="AG116">
        <v>18.346488999999998</v>
      </c>
      <c r="AH116">
        <v>18.380383999999999</v>
      </c>
      <c r="AI116">
        <v>18.409164000000001</v>
      </c>
      <c r="AJ116" t="s">
        <v>117</v>
      </c>
      <c r="AL116" s="31"/>
    </row>
    <row r="117" spans="1:38">
      <c r="A117" s="163" t="s">
        <v>115</v>
      </c>
      <c r="B117" t="s">
        <v>380</v>
      </c>
      <c r="C117" t="s">
        <v>2560</v>
      </c>
      <c r="D117" t="s">
        <v>2561</v>
      </c>
      <c r="E117" t="s">
        <v>414</v>
      </c>
      <c r="G117">
        <v>0</v>
      </c>
      <c r="H117">
        <v>0</v>
      </c>
      <c r="I117">
        <v>10.500607</v>
      </c>
      <c r="J117">
        <v>10.659801</v>
      </c>
      <c r="K117">
        <v>10.764203999999999</v>
      </c>
      <c r="L117">
        <v>10.869498999999999</v>
      </c>
      <c r="M117">
        <v>10.965210000000001</v>
      </c>
      <c r="N117">
        <v>11.076699</v>
      </c>
      <c r="O117">
        <v>11.197986</v>
      </c>
      <c r="P117">
        <v>11.333318999999999</v>
      </c>
      <c r="Q117">
        <v>11.486076000000001</v>
      </c>
      <c r="R117">
        <v>11.655321000000001</v>
      </c>
      <c r="S117">
        <v>11.834339</v>
      </c>
      <c r="T117">
        <v>11.997350000000001</v>
      </c>
      <c r="U117">
        <v>12.160628000000001</v>
      </c>
      <c r="V117">
        <v>12.31541</v>
      </c>
      <c r="W117">
        <v>12.45102</v>
      </c>
      <c r="X117">
        <v>12.568764</v>
      </c>
      <c r="Y117">
        <v>12.669667</v>
      </c>
      <c r="Z117">
        <v>12.754915</v>
      </c>
      <c r="AA117">
        <v>12.825293</v>
      </c>
      <c r="AB117">
        <v>12.890333999999999</v>
      </c>
      <c r="AC117">
        <v>12.942886</v>
      </c>
      <c r="AD117">
        <v>12.985455</v>
      </c>
      <c r="AE117">
        <v>13.019958000000001</v>
      </c>
      <c r="AF117">
        <v>13.048401999999999</v>
      </c>
      <c r="AG117">
        <v>13.071823999999999</v>
      </c>
      <c r="AH117">
        <v>13.091234999999999</v>
      </c>
      <c r="AI117">
        <v>13.10303</v>
      </c>
      <c r="AJ117" t="s">
        <v>117</v>
      </c>
      <c r="AL117" s="31"/>
    </row>
    <row r="118" spans="1:38">
      <c r="A118" s="163" t="s">
        <v>258</v>
      </c>
      <c r="B118" t="s">
        <v>382</v>
      </c>
      <c r="C118" t="s">
        <v>2562</v>
      </c>
      <c r="D118" t="s">
        <v>2563</v>
      </c>
      <c r="E118" t="s">
        <v>414</v>
      </c>
      <c r="G118">
        <v>0</v>
      </c>
      <c r="H118">
        <v>0</v>
      </c>
      <c r="I118">
        <v>11.516576000000001</v>
      </c>
      <c r="J118">
        <v>11.516745</v>
      </c>
      <c r="K118">
        <v>11.516781999999999</v>
      </c>
      <c r="L118">
        <v>11.516798</v>
      </c>
      <c r="M118">
        <v>11.516812</v>
      </c>
      <c r="N118">
        <v>11.516826</v>
      </c>
      <c r="O118">
        <v>11.51684</v>
      </c>
      <c r="P118">
        <v>11.516855</v>
      </c>
      <c r="Q118">
        <v>11.516871999999999</v>
      </c>
      <c r="R118">
        <v>11.516886</v>
      </c>
      <c r="S118">
        <v>11.516901000000001</v>
      </c>
      <c r="T118">
        <v>11.516908000000001</v>
      </c>
      <c r="U118">
        <v>11.516905</v>
      </c>
      <c r="V118">
        <v>11.516907</v>
      </c>
      <c r="W118">
        <v>11.516909</v>
      </c>
      <c r="X118">
        <v>11.516912</v>
      </c>
      <c r="Y118">
        <v>11.516919</v>
      </c>
      <c r="Z118">
        <v>11.516923999999999</v>
      </c>
      <c r="AA118">
        <v>11.516925000000001</v>
      </c>
      <c r="AB118">
        <v>11.516932000000001</v>
      </c>
      <c r="AC118">
        <v>11.516935999999999</v>
      </c>
      <c r="AD118">
        <v>11.516940999999999</v>
      </c>
      <c r="AE118">
        <v>11.516942999999999</v>
      </c>
      <c r="AF118">
        <v>11.516949</v>
      </c>
      <c r="AG118">
        <v>11.516953000000001</v>
      </c>
      <c r="AH118">
        <v>11.516953000000001</v>
      </c>
      <c r="AI118">
        <v>11.516959</v>
      </c>
      <c r="AJ118" t="s">
        <v>117</v>
      </c>
      <c r="AL118" s="31"/>
    </row>
    <row r="119" spans="1:38">
      <c r="B119" t="s">
        <v>399</v>
      </c>
      <c r="C119" t="s">
        <v>2564</v>
      </c>
      <c r="D119" t="s">
        <v>2565</v>
      </c>
      <c r="G119">
        <v>8.2098399999999998</v>
      </c>
      <c r="H119">
        <v>8.3404410000000002</v>
      </c>
      <c r="I119">
        <v>8.4829690000000006</v>
      </c>
      <c r="J119">
        <v>8.6408909999999999</v>
      </c>
      <c r="K119">
        <v>8.8129430000000006</v>
      </c>
      <c r="L119">
        <v>9.0002259999999996</v>
      </c>
      <c r="M119">
        <v>9.1844359999999998</v>
      </c>
      <c r="N119">
        <v>9.3722469999999998</v>
      </c>
      <c r="O119">
        <v>9.5603230000000003</v>
      </c>
      <c r="P119">
        <v>9.7494200000000006</v>
      </c>
      <c r="Q119">
        <v>9.9342159999999993</v>
      </c>
      <c r="R119">
        <v>10.112831999999999</v>
      </c>
      <c r="S119">
        <v>10.281893999999999</v>
      </c>
      <c r="T119">
        <v>10.441013999999999</v>
      </c>
      <c r="U119">
        <v>10.590353</v>
      </c>
      <c r="V119">
        <v>10.726647</v>
      </c>
      <c r="W119">
        <v>10.856488000000001</v>
      </c>
      <c r="X119">
        <v>10.972559</v>
      </c>
      <c r="Y119">
        <v>11.083036</v>
      </c>
      <c r="Z119">
        <v>11.184754999999999</v>
      </c>
      <c r="AA119">
        <v>11.277801999999999</v>
      </c>
      <c r="AB119">
        <v>11.358744</v>
      </c>
      <c r="AC119">
        <v>11.428658</v>
      </c>
      <c r="AD119">
        <v>11.491809999999999</v>
      </c>
      <c r="AE119">
        <v>11.55086</v>
      </c>
      <c r="AF119">
        <v>11.605866000000001</v>
      </c>
      <c r="AG119">
        <v>11.656457</v>
      </c>
      <c r="AH119">
        <v>11.703754999999999</v>
      </c>
      <c r="AI119">
        <v>11.750068000000001</v>
      </c>
      <c r="AJ119" s="31">
        <v>1.2999999999999999E-2</v>
      </c>
      <c r="AL119" s="31"/>
    </row>
    <row r="120" spans="1:38">
      <c r="B120" t="s">
        <v>392</v>
      </c>
    </row>
    <row r="121" spans="1:38" s="1" customFormat="1">
      <c r="A121" s="199" t="s">
        <v>114</v>
      </c>
      <c r="B121" s="1" t="s">
        <v>327</v>
      </c>
      <c r="C121" s="1" t="s">
        <v>2566</v>
      </c>
      <c r="D121" s="1" t="s">
        <v>2567</v>
      </c>
      <c r="E121" s="1" t="s">
        <v>413</v>
      </c>
      <c r="G121" s="1">
        <v>6.174798</v>
      </c>
      <c r="H121" s="1">
        <v>6.2630949999999999</v>
      </c>
      <c r="I121" s="1">
        <v>6.3645230000000002</v>
      </c>
      <c r="J121" s="1">
        <v>6.4755140000000004</v>
      </c>
      <c r="K121" s="1">
        <v>6.5947199999999997</v>
      </c>
      <c r="L121" s="1">
        <v>6.7204090000000001</v>
      </c>
      <c r="M121" s="1">
        <v>6.8422190000000001</v>
      </c>
      <c r="N121" s="1">
        <v>6.9609690000000004</v>
      </c>
      <c r="O121" s="1">
        <v>7.0752560000000004</v>
      </c>
      <c r="P121" s="1">
        <v>7.1852980000000004</v>
      </c>
      <c r="Q121" s="1">
        <v>7.2900910000000003</v>
      </c>
      <c r="R121" s="1">
        <v>7.3855190000000004</v>
      </c>
      <c r="S121" s="1">
        <v>7.4707850000000002</v>
      </c>
      <c r="T121" s="1">
        <v>7.5460839999999996</v>
      </c>
      <c r="U121" s="1">
        <v>7.6121340000000002</v>
      </c>
      <c r="V121" s="1">
        <v>7.6693059999999997</v>
      </c>
      <c r="W121" s="1">
        <v>7.7178800000000001</v>
      </c>
      <c r="X121" s="1">
        <v>7.7600699999999998</v>
      </c>
      <c r="Y121" s="1">
        <v>7.7969379999999999</v>
      </c>
      <c r="Z121" s="1">
        <v>7.8299960000000004</v>
      </c>
      <c r="AA121" s="1">
        <v>7.8573079999999997</v>
      </c>
      <c r="AB121" s="1">
        <v>7.880395</v>
      </c>
      <c r="AC121" s="1">
        <v>7.8999480000000002</v>
      </c>
      <c r="AD121" s="1">
        <v>7.9169460000000003</v>
      </c>
      <c r="AE121" s="1">
        <v>7.9330990000000003</v>
      </c>
      <c r="AF121" s="1">
        <v>7.9487300000000003</v>
      </c>
      <c r="AG121" s="1">
        <v>7.9641529999999996</v>
      </c>
      <c r="AH121" s="1">
        <v>7.9801409999999997</v>
      </c>
      <c r="AI121" s="1">
        <v>7.9969340000000004</v>
      </c>
      <c r="AJ121" s="200">
        <v>8.9999999999999993E-3</v>
      </c>
      <c r="AL121" s="200"/>
    </row>
    <row r="122" spans="1:38">
      <c r="A122" s="163" t="s">
        <v>113</v>
      </c>
      <c r="B122" t="s">
        <v>313</v>
      </c>
      <c r="C122" t="s">
        <v>2568</v>
      </c>
      <c r="D122" t="s">
        <v>2569</v>
      </c>
      <c r="E122" t="s">
        <v>414</v>
      </c>
      <c r="G122">
        <v>5.6053519999999999</v>
      </c>
      <c r="H122">
        <v>5.6851630000000002</v>
      </c>
      <c r="I122">
        <v>5.7620750000000003</v>
      </c>
      <c r="J122">
        <v>5.8372330000000003</v>
      </c>
      <c r="K122">
        <v>5.9050890000000003</v>
      </c>
      <c r="L122">
        <v>5.9668659999999996</v>
      </c>
      <c r="M122">
        <v>6.0218819999999997</v>
      </c>
      <c r="N122">
        <v>6.0750270000000004</v>
      </c>
      <c r="O122">
        <v>6.1221620000000003</v>
      </c>
      <c r="P122">
        <v>6.1683779999999997</v>
      </c>
      <c r="Q122">
        <v>6.2146990000000004</v>
      </c>
      <c r="R122">
        <v>6.2603840000000002</v>
      </c>
      <c r="S122">
        <v>6.3023579999999999</v>
      </c>
      <c r="T122">
        <v>6.3409950000000004</v>
      </c>
      <c r="U122">
        <v>6.3776359999999999</v>
      </c>
      <c r="V122">
        <v>6.4116439999999999</v>
      </c>
      <c r="W122">
        <v>6.4439479999999998</v>
      </c>
      <c r="X122">
        <v>6.4750249999999996</v>
      </c>
      <c r="Y122">
        <v>6.5043160000000002</v>
      </c>
      <c r="Z122">
        <v>6.5290499999999998</v>
      </c>
      <c r="AA122">
        <v>6.5526530000000003</v>
      </c>
      <c r="AB122">
        <v>6.5760810000000003</v>
      </c>
      <c r="AC122">
        <v>6.5977519999999998</v>
      </c>
      <c r="AD122">
        <v>6.6134740000000001</v>
      </c>
      <c r="AE122">
        <v>6.6265970000000003</v>
      </c>
      <c r="AF122">
        <v>6.6380759999999999</v>
      </c>
      <c r="AG122">
        <v>6.6483280000000002</v>
      </c>
      <c r="AH122">
        <v>6.6579069999999998</v>
      </c>
      <c r="AI122">
        <v>6.6670059999999998</v>
      </c>
      <c r="AJ122" s="31">
        <v>6.0000000000000001E-3</v>
      </c>
      <c r="AL122" s="31"/>
    </row>
    <row r="123" spans="1:38">
      <c r="A123" s="163" t="s">
        <v>257</v>
      </c>
      <c r="B123" t="s">
        <v>308</v>
      </c>
      <c r="C123" t="s">
        <v>2570</v>
      </c>
      <c r="D123" t="s">
        <v>2571</v>
      </c>
      <c r="E123" t="s">
        <v>414</v>
      </c>
      <c r="G123">
        <v>6.0561619999999996</v>
      </c>
      <c r="H123">
        <v>6.0490139999999997</v>
      </c>
      <c r="I123">
        <v>6.0413300000000003</v>
      </c>
      <c r="J123">
        <v>6.0397550000000004</v>
      </c>
      <c r="K123">
        <v>6.0466559999999996</v>
      </c>
      <c r="L123">
        <v>6.0661889999999996</v>
      </c>
      <c r="M123">
        <v>6.0933279999999996</v>
      </c>
      <c r="N123">
        <v>6.1323319999999999</v>
      </c>
      <c r="O123">
        <v>6.1810369999999999</v>
      </c>
      <c r="P123">
        <v>6.2393669999999997</v>
      </c>
      <c r="Q123">
        <v>6.3051560000000002</v>
      </c>
      <c r="R123">
        <v>6.3731140000000002</v>
      </c>
      <c r="S123">
        <v>6.4338220000000002</v>
      </c>
      <c r="T123">
        <v>6.4864230000000003</v>
      </c>
      <c r="U123">
        <v>6.5340740000000004</v>
      </c>
      <c r="V123">
        <v>6.5780960000000004</v>
      </c>
      <c r="W123">
        <v>6.6189390000000001</v>
      </c>
      <c r="X123">
        <v>6.656015</v>
      </c>
      <c r="Y123">
        <v>6.6907750000000004</v>
      </c>
      <c r="Z123">
        <v>6.7222429999999997</v>
      </c>
      <c r="AA123">
        <v>6.7477010000000002</v>
      </c>
      <c r="AB123">
        <v>6.7691860000000004</v>
      </c>
      <c r="AC123">
        <v>6.7874949999999998</v>
      </c>
      <c r="AD123">
        <v>6.802632</v>
      </c>
      <c r="AE123">
        <v>6.8150360000000001</v>
      </c>
      <c r="AF123">
        <v>6.8253909999999998</v>
      </c>
      <c r="AG123">
        <v>6.8345450000000003</v>
      </c>
      <c r="AH123">
        <v>6.8446889999999998</v>
      </c>
      <c r="AI123">
        <v>6.8567840000000002</v>
      </c>
      <c r="AJ123" s="31">
        <v>4.0000000000000001E-3</v>
      </c>
      <c r="AL123" s="31"/>
    </row>
    <row r="124" spans="1:38">
      <c r="A124" s="163" t="s">
        <v>112</v>
      </c>
      <c r="B124" t="s">
        <v>307</v>
      </c>
      <c r="C124" t="s">
        <v>2572</v>
      </c>
      <c r="D124" t="s">
        <v>2573</v>
      </c>
      <c r="E124" t="s">
        <v>413</v>
      </c>
      <c r="G124">
        <v>5.905322</v>
      </c>
      <c r="H124">
        <v>5.9830639999999997</v>
      </c>
      <c r="I124">
        <v>6.0729699999999998</v>
      </c>
      <c r="J124">
        <v>6.1697509999999998</v>
      </c>
      <c r="K124">
        <v>6.2701130000000003</v>
      </c>
      <c r="L124">
        <v>6.3741599999999998</v>
      </c>
      <c r="M124">
        <v>6.4715020000000001</v>
      </c>
      <c r="N124">
        <v>6.5653430000000004</v>
      </c>
      <c r="O124">
        <v>6.6557139999999997</v>
      </c>
      <c r="P124">
        <v>6.7455530000000001</v>
      </c>
      <c r="Q124">
        <v>6.8333729999999999</v>
      </c>
      <c r="R124">
        <v>6.9156950000000004</v>
      </c>
      <c r="S124">
        <v>6.9910300000000003</v>
      </c>
      <c r="T124">
        <v>7.0602270000000003</v>
      </c>
      <c r="U124">
        <v>7.1236040000000003</v>
      </c>
      <c r="V124">
        <v>7.1804309999999996</v>
      </c>
      <c r="W124">
        <v>7.2303940000000004</v>
      </c>
      <c r="X124">
        <v>7.2732939999999999</v>
      </c>
      <c r="Y124">
        <v>7.3093329999999996</v>
      </c>
      <c r="Z124">
        <v>7.3391260000000003</v>
      </c>
      <c r="AA124">
        <v>7.3641690000000004</v>
      </c>
      <c r="AB124">
        <v>7.3857489999999997</v>
      </c>
      <c r="AC124">
        <v>7.4047210000000003</v>
      </c>
      <c r="AD124">
        <v>7.4218250000000001</v>
      </c>
      <c r="AE124">
        <v>7.4367340000000004</v>
      </c>
      <c r="AF124">
        <v>7.451314</v>
      </c>
      <c r="AG124">
        <v>7.4666230000000002</v>
      </c>
      <c r="AH124">
        <v>7.4822319999999998</v>
      </c>
      <c r="AI124">
        <v>7.498291</v>
      </c>
      <c r="AJ124" s="31">
        <v>8.9999999999999993E-3</v>
      </c>
      <c r="AL124" s="31"/>
    </row>
    <row r="125" spans="1:38">
      <c r="A125" s="163" t="s">
        <v>113</v>
      </c>
      <c r="B125" t="s">
        <v>378</v>
      </c>
      <c r="C125" t="s">
        <v>2574</v>
      </c>
      <c r="D125" t="s">
        <v>2575</v>
      </c>
      <c r="E125" t="s">
        <v>414</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117</v>
      </c>
    </row>
    <row r="126" spans="1:38">
      <c r="A126" s="163" t="s">
        <v>111</v>
      </c>
      <c r="B126" t="s">
        <v>379</v>
      </c>
      <c r="C126" t="s">
        <v>2576</v>
      </c>
      <c r="D126" t="s">
        <v>2577</v>
      </c>
      <c r="E126" t="s">
        <v>413</v>
      </c>
      <c r="G126">
        <v>12.511471999999999</v>
      </c>
      <c r="H126">
        <v>12.210798</v>
      </c>
      <c r="I126">
        <v>12.035378</v>
      </c>
      <c r="J126">
        <v>11.922769000000001</v>
      </c>
      <c r="K126">
        <v>11.842131</v>
      </c>
      <c r="L126">
        <v>11.780157000000001</v>
      </c>
      <c r="M126">
        <v>11.726812000000001</v>
      </c>
      <c r="N126">
        <v>11.681986</v>
      </c>
      <c r="O126">
        <v>11.643143999999999</v>
      </c>
      <c r="P126">
        <v>11.608420000000001</v>
      </c>
      <c r="Q126">
        <v>11.577750999999999</v>
      </c>
      <c r="R126">
        <v>11.55185</v>
      </c>
      <c r="S126">
        <v>11.532499</v>
      </c>
      <c r="T126">
        <v>11.522676000000001</v>
      </c>
      <c r="U126">
        <v>11.51253</v>
      </c>
      <c r="V126">
        <v>11.507656000000001</v>
      </c>
      <c r="W126">
        <v>11.514357</v>
      </c>
      <c r="X126">
        <v>11.526049</v>
      </c>
      <c r="Y126">
        <v>11.521922999999999</v>
      </c>
      <c r="Z126">
        <v>11.528378</v>
      </c>
      <c r="AA126">
        <v>11.553936999999999</v>
      </c>
      <c r="AB126">
        <v>11.578481999999999</v>
      </c>
      <c r="AC126">
        <v>11.590909</v>
      </c>
      <c r="AD126">
        <v>11.599613</v>
      </c>
      <c r="AE126">
        <v>11.605518999999999</v>
      </c>
      <c r="AF126">
        <v>11.609627</v>
      </c>
      <c r="AG126">
        <v>11.612548</v>
      </c>
      <c r="AH126">
        <v>11.614598000000001</v>
      </c>
      <c r="AI126">
        <v>11.615857</v>
      </c>
      <c r="AJ126" s="31">
        <v>-3.0000000000000001E-3</v>
      </c>
      <c r="AL126" s="31"/>
    </row>
    <row r="127" spans="1:38">
      <c r="A127" s="163" t="s">
        <v>115</v>
      </c>
      <c r="B127" t="s">
        <v>381</v>
      </c>
      <c r="C127" t="s">
        <v>2578</v>
      </c>
      <c r="D127" t="s">
        <v>2579</v>
      </c>
      <c r="E127" t="s">
        <v>413</v>
      </c>
      <c r="G127">
        <v>0</v>
      </c>
      <c r="H127">
        <v>0</v>
      </c>
      <c r="I127">
        <v>1.546108</v>
      </c>
      <c r="J127">
        <v>2.664183</v>
      </c>
      <c r="K127">
        <v>3.4990290000000002</v>
      </c>
      <c r="L127">
        <v>4.1596690000000001</v>
      </c>
      <c r="M127">
        <v>4.6990999999999996</v>
      </c>
      <c r="N127">
        <v>5.1562080000000003</v>
      </c>
      <c r="O127">
        <v>5.5611940000000004</v>
      </c>
      <c r="P127">
        <v>5.9406049999999997</v>
      </c>
      <c r="Q127">
        <v>6.3162120000000002</v>
      </c>
      <c r="R127">
        <v>6.6977019999999996</v>
      </c>
      <c r="S127">
        <v>7.0859899999999998</v>
      </c>
      <c r="T127">
        <v>7.4756780000000003</v>
      </c>
      <c r="U127">
        <v>7.8704789999999996</v>
      </c>
      <c r="V127">
        <v>8.2631910000000008</v>
      </c>
      <c r="W127">
        <v>8.6400120000000005</v>
      </c>
      <c r="X127">
        <v>8.9883590000000009</v>
      </c>
      <c r="Y127">
        <v>9.2928049999999995</v>
      </c>
      <c r="Z127">
        <v>9.5358350000000005</v>
      </c>
      <c r="AA127">
        <v>9.700844</v>
      </c>
      <c r="AB127">
        <v>9.9268219999999996</v>
      </c>
      <c r="AC127">
        <v>10.164901</v>
      </c>
      <c r="AD127">
        <v>10.319011</v>
      </c>
      <c r="AE127">
        <v>10.344773</v>
      </c>
      <c r="AF127">
        <v>10.42065</v>
      </c>
      <c r="AG127">
        <v>10.488389</v>
      </c>
      <c r="AH127">
        <v>10.548454</v>
      </c>
      <c r="AI127">
        <v>10.601648000000001</v>
      </c>
      <c r="AJ127" t="s">
        <v>117</v>
      </c>
      <c r="AL127" s="31"/>
    </row>
    <row r="128" spans="1:38">
      <c r="A128" s="163" t="s">
        <v>115</v>
      </c>
      <c r="B128" t="s">
        <v>380</v>
      </c>
      <c r="C128" t="s">
        <v>2580</v>
      </c>
      <c r="D128" t="s">
        <v>2581</v>
      </c>
      <c r="E128" t="s">
        <v>414</v>
      </c>
      <c r="G128">
        <v>0</v>
      </c>
      <c r="H128">
        <v>0</v>
      </c>
      <c r="I128">
        <v>1.475894</v>
      </c>
      <c r="J128">
        <v>2.5423819999999999</v>
      </c>
      <c r="K128">
        <v>3.3420420000000002</v>
      </c>
      <c r="L128">
        <v>3.9731420000000002</v>
      </c>
      <c r="M128">
        <v>4.4840580000000001</v>
      </c>
      <c r="N128">
        <v>4.9145440000000002</v>
      </c>
      <c r="O128">
        <v>5.2951240000000004</v>
      </c>
      <c r="P128">
        <v>5.6530180000000003</v>
      </c>
      <c r="Q128">
        <v>6.0081530000000001</v>
      </c>
      <c r="R128">
        <v>6.3713059999999997</v>
      </c>
      <c r="S128">
        <v>6.7437389999999997</v>
      </c>
      <c r="T128">
        <v>7.1219239999999999</v>
      </c>
      <c r="U128">
        <v>7.5077629999999997</v>
      </c>
      <c r="V128">
        <v>7.8949509999999998</v>
      </c>
      <c r="W128">
        <v>8.2699909999999992</v>
      </c>
      <c r="X128">
        <v>8.6198800000000002</v>
      </c>
      <c r="Y128">
        <v>8.9274210000000007</v>
      </c>
      <c r="Z128">
        <v>9.1725209999999997</v>
      </c>
      <c r="AA128">
        <v>9.3351539999999993</v>
      </c>
      <c r="AB128">
        <v>9.5703130000000005</v>
      </c>
      <c r="AC128">
        <v>9.8242899999999995</v>
      </c>
      <c r="AD128">
        <v>9.9863700000000009</v>
      </c>
      <c r="AE128">
        <v>10.00128</v>
      </c>
      <c r="AF128">
        <v>10.076916000000001</v>
      </c>
      <c r="AG128">
        <v>10.144606</v>
      </c>
      <c r="AH128">
        <v>10.20481</v>
      </c>
      <c r="AI128">
        <v>10.258661</v>
      </c>
      <c r="AJ128" t="s">
        <v>117</v>
      </c>
      <c r="AL128" s="31"/>
    </row>
    <row r="129" spans="1:38">
      <c r="A129" s="163" t="s">
        <v>258</v>
      </c>
      <c r="B129" t="s">
        <v>382</v>
      </c>
      <c r="C129" t="s">
        <v>2582</v>
      </c>
      <c r="D129" t="s">
        <v>2583</v>
      </c>
      <c r="E129" t="s">
        <v>413</v>
      </c>
      <c r="G129">
        <v>0</v>
      </c>
      <c r="H129">
        <v>0</v>
      </c>
      <c r="I129">
        <v>7.1006340000000003</v>
      </c>
      <c r="J129">
        <v>7.1057309999999996</v>
      </c>
      <c r="K129">
        <v>7.1073639999999996</v>
      </c>
      <c r="L129">
        <v>7.1081630000000002</v>
      </c>
      <c r="M129">
        <v>7.1086039999999997</v>
      </c>
      <c r="N129">
        <v>7.1088789999999999</v>
      </c>
      <c r="O129">
        <v>7.1090270000000002</v>
      </c>
      <c r="P129">
        <v>7.1090970000000002</v>
      </c>
      <c r="Q129">
        <v>7.1091550000000003</v>
      </c>
      <c r="R129">
        <v>7.1092209999999998</v>
      </c>
      <c r="S129">
        <v>7.1092950000000004</v>
      </c>
      <c r="T129">
        <v>7.1093820000000001</v>
      </c>
      <c r="U129">
        <v>7.1094809999999997</v>
      </c>
      <c r="V129">
        <v>7.1095889999999997</v>
      </c>
      <c r="W129">
        <v>7.1097070000000002</v>
      </c>
      <c r="X129">
        <v>7.1098350000000003</v>
      </c>
      <c r="Y129">
        <v>7.109972</v>
      </c>
      <c r="Z129">
        <v>7.1101159999999997</v>
      </c>
      <c r="AA129">
        <v>7.1102699999999999</v>
      </c>
      <c r="AB129">
        <v>7.1104589999999996</v>
      </c>
      <c r="AC129">
        <v>7.110671</v>
      </c>
      <c r="AD129">
        <v>7.1108859999999998</v>
      </c>
      <c r="AE129">
        <v>7.1110879999999996</v>
      </c>
      <c r="AF129">
        <v>7.1113179999999998</v>
      </c>
      <c r="AG129">
        <v>7.1115579999999996</v>
      </c>
      <c r="AH129">
        <v>7.111809</v>
      </c>
      <c r="AI129">
        <v>7.1120650000000003</v>
      </c>
      <c r="AJ129" t="s">
        <v>117</v>
      </c>
      <c r="AL129" s="31"/>
    </row>
    <row r="130" spans="1:38">
      <c r="B130" t="s">
        <v>400</v>
      </c>
      <c r="C130" t="s">
        <v>2584</v>
      </c>
      <c r="D130" t="s">
        <v>2585</v>
      </c>
      <c r="G130">
        <v>6.1709569999999996</v>
      </c>
      <c r="H130">
        <v>6.2590110000000001</v>
      </c>
      <c r="I130">
        <v>6.3601650000000003</v>
      </c>
      <c r="J130">
        <v>6.4708430000000003</v>
      </c>
      <c r="K130">
        <v>6.589664</v>
      </c>
      <c r="L130">
        <v>6.7149279999999996</v>
      </c>
      <c r="M130">
        <v>6.8362869999999996</v>
      </c>
      <c r="N130">
        <v>6.9546010000000003</v>
      </c>
      <c r="O130">
        <v>7.068473</v>
      </c>
      <c r="P130">
        <v>7.1781480000000002</v>
      </c>
      <c r="Q130">
        <v>7.282597</v>
      </c>
      <c r="R130">
        <v>7.3776999999999999</v>
      </c>
      <c r="S130">
        <v>7.4626390000000002</v>
      </c>
      <c r="T130">
        <v>7.5376300000000001</v>
      </c>
      <c r="U130">
        <v>7.6034009999999999</v>
      </c>
      <c r="V130">
        <v>7.6603089999999998</v>
      </c>
      <c r="W130">
        <v>7.7086389999999998</v>
      </c>
      <c r="X130">
        <v>7.750559</v>
      </c>
      <c r="Y130">
        <v>7.7871069999999998</v>
      </c>
      <c r="Z130">
        <v>7.819769</v>
      </c>
      <c r="AA130">
        <v>7.8466990000000001</v>
      </c>
      <c r="AB130">
        <v>7.8693970000000002</v>
      </c>
      <c r="AC130">
        <v>7.8885500000000004</v>
      </c>
      <c r="AD130">
        <v>7.9051289999999996</v>
      </c>
      <c r="AE130">
        <v>7.9208100000000004</v>
      </c>
      <c r="AF130">
        <v>7.9359409999999997</v>
      </c>
      <c r="AG130">
        <v>7.9508619999999999</v>
      </c>
      <c r="AH130">
        <v>7.9663209999999998</v>
      </c>
      <c r="AI130">
        <v>7.9825520000000001</v>
      </c>
      <c r="AJ130" s="31">
        <v>8.9999999999999993E-3</v>
      </c>
      <c r="AL130" s="31"/>
    </row>
    <row r="131" spans="1:38">
      <c r="B131" t="s">
        <v>401</v>
      </c>
      <c r="C131" t="s">
        <v>2586</v>
      </c>
      <c r="D131" t="s">
        <v>2587</v>
      </c>
      <c r="G131">
        <v>7.4724060000000003</v>
      </c>
      <c r="H131">
        <v>7.5785309999999999</v>
      </c>
      <c r="I131">
        <v>7.7053209999999996</v>
      </c>
      <c r="J131">
        <v>7.8485909999999999</v>
      </c>
      <c r="K131">
        <v>8.0023800000000005</v>
      </c>
      <c r="L131">
        <v>8.1636780000000009</v>
      </c>
      <c r="M131">
        <v>8.3212820000000001</v>
      </c>
      <c r="N131">
        <v>8.4797530000000005</v>
      </c>
      <c r="O131">
        <v>8.6382940000000001</v>
      </c>
      <c r="P131">
        <v>8.7959300000000002</v>
      </c>
      <c r="Q131">
        <v>8.9485519999999994</v>
      </c>
      <c r="R131">
        <v>9.0909969999999998</v>
      </c>
      <c r="S131">
        <v>9.2225169999999999</v>
      </c>
      <c r="T131">
        <v>9.3430680000000006</v>
      </c>
      <c r="U131">
        <v>9.4533190000000005</v>
      </c>
      <c r="V131">
        <v>9.5530659999999994</v>
      </c>
      <c r="W131">
        <v>9.6434460000000009</v>
      </c>
      <c r="X131">
        <v>9.7267150000000004</v>
      </c>
      <c r="Y131">
        <v>9.8045980000000004</v>
      </c>
      <c r="Z131">
        <v>9.8772749999999991</v>
      </c>
      <c r="AA131">
        <v>9.9424340000000004</v>
      </c>
      <c r="AB131">
        <v>10.001575000000001</v>
      </c>
      <c r="AC131">
        <v>10.055849</v>
      </c>
      <c r="AD131">
        <v>10.108461999999999</v>
      </c>
      <c r="AE131">
        <v>10.161237</v>
      </c>
      <c r="AF131">
        <v>10.213322</v>
      </c>
      <c r="AG131">
        <v>10.263771999999999</v>
      </c>
      <c r="AH131">
        <v>10.314520999999999</v>
      </c>
      <c r="AI131">
        <v>10.365862999999999</v>
      </c>
      <c r="AJ131" s="31">
        <v>1.2E-2</v>
      </c>
      <c r="AL131" s="31"/>
    </row>
    <row r="132" spans="1:38">
      <c r="B132" t="s">
        <v>402</v>
      </c>
    </row>
    <row r="133" spans="1:38">
      <c r="B133" t="s">
        <v>341</v>
      </c>
    </row>
    <row r="134" spans="1:38">
      <c r="A134" s="163" t="s">
        <v>114</v>
      </c>
      <c r="B134" t="s">
        <v>327</v>
      </c>
      <c r="C134" t="s">
        <v>2588</v>
      </c>
      <c r="D134" t="s">
        <v>2589</v>
      </c>
      <c r="E134" t="s">
        <v>416</v>
      </c>
      <c r="G134">
        <v>3.0155479999999999</v>
      </c>
      <c r="H134">
        <v>3.0975450000000002</v>
      </c>
      <c r="I134">
        <v>3.1834560000000001</v>
      </c>
      <c r="J134">
        <v>3.2715930000000002</v>
      </c>
      <c r="K134">
        <v>3.3587579999999999</v>
      </c>
      <c r="L134">
        <v>3.4430320000000001</v>
      </c>
      <c r="M134">
        <v>3.5241380000000002</v>
      </c>
      <c r="N134">
        <v>3.6023369999999999</v>
      </c>
      <c r="O134">
        <v>3.6774779999999998</v>
      </c>
      <c r="P134">
        <v>3.7492040000000002</v>
      </c>
      <c r="Q134">
        <v>3.8192210000000002</v>
      </c>
      <c r="R134">
        <v>3.8820770000000002</v>
      </c>
      <c r="S134">
        <v>3.9423219999999999</v>
      </c>
      <c r="T134">
        <v>4.0002969999999998</v>
      </c>
      <c r="U134">
        <v>4.0587710000000001</v>
      </c>
      <c r="V134">
        <v>4.1174879999999998</v>
      </c>
      <c r="W134">
        <v>4.1771779999999996</v>
      </c>
      <c r="X134">
        <v>4.2348249999999998</v>
      </c>
      <c r="Y134">
        <v>4.2897980000000002</v>
      </c>
      <c r="Z134">
        <v>4.3460570000000001</v>
      </c>
      <c r="AA134">
        <v>4.4020840000000003</v>
      </c>
      <c r="AB134">
        <v>4.4646600000000003</v>
      </c>
      <c r="AC134">
        <v>4.531682</v>
      </c>
      <c r="AD134">
        <v>4.5975450000000002</v>
      </c>
      <c r="AE134">
        <v>4.6616299999999997</v>
      </c>
      <c r="AF134">
        <v>4.7283970000000002</v>
      </c>
      <c r="AG134">
        <v>4.796106</v>
      </c>
      <c r="AH134">
        <v>4.8608450000000003</v>
      </c>
      <c r="AI134">
        <v>4.9257439999999999</v>
      </c>
      <c r="AJ134" s="31">
        <v>1.7999999999999999E-2</v>
      </c>
      <c r="AL134" s="31"/>
    </row>
    <row r="135" spans="1:38">
      <c r="A135" s="163" t="s">
        <v>113</v>
      </c>
      <c r="B135" t="s">
        <v>313</v>
      </c>
      <c r="C135" t="s">
        <v>2590</v>
      </c>
      <c r="D135" t="s">
        <v>2591</v>
      </c>
      <c r="E135" t="s">
        <v>416</v>
      </c>
      <c r="G135">
        <v>1.3121959999999999</v>
      </c>
      <c r="H135">
        <v>1.390077</v>
      </c>
      <c r="I135">
        <v>1.475538</v>
      </c>
      <c r="J135">
        <v>1.5668089999999999</v>
      </c>
      <c r="K135">
        <v>1.6607769999999999</v>
      </c>
      <c r="L135">
        <v>1.755242</v>
      </c>
      <c r="M135">
        <v>1.8484970000000001</v>
      </c>
      <c r="N135">
        <v>1.9400980000000001</v>
      </c>
      <c r="O135">
        <v>2.0310440000000001</v>
      </c>
      <c r="P135">
        <v>2.1199050000000002</v>
      </c>
      <c r="Q135">
        <v>2.2087729999999999</v>
      </c>
      <c r="R135">
        <v>2.2942230000000001</v>
      </c>
      <c r="S135">
        <v>2.378069</v>
      </c>
      <c r="T135">
        <v>2.4599419999999999</v>
      </c>
      <c r="U135">
        <v>2.5430779999999999</v>
      </c>
      <c r="V135">
        <v>2.6269550000000002</v>
      </c>
      <c r="W135">
        <v>2.7103890000000002</v>
      </c>
      <c r="X135">
        <v>2.793024</v>
      </c>
      <c r="Y135">
        <v>2.8754759999999999</v>
      </c>
      <c r="Z135">
        <v>2.9603380000000001</v>
      </c>
      <c r="AA135">
        <v>3.0429689999999998</v>
      </c>
      <c r="AB135">
        <v>3.128209</v>
      </c>
      <c r="AC135">
        <v>3.2178049999999998</v>
      </c>
      <c r="AD135">
        <v>3.3088250000000001</v>
      </c>
      <c r="AE135">
        <v>3.3999440000000001</v>
      </c>
      <c r="AF135">
        <v>3.492642</v>
      </c>
      <c r="AG135">
        <v>3.5847199999999999</v>
      </c>
      <c r="AH135">
        <v>3.6734100000000001</v>
      </c>
      <c r="AI135">
        <v>3.7600479999999998</v>
      </c>
      <c r="AJ135" s="31">
        <v>3.7999999999999999E-2</v>
      </c>
      <c r="AL135" s="31"/>
    </row>
    <row r="136" spans="1:38">
      <c r="A136" s="163" t="s">
        <v>257</v>
      </c>
      <c r="B136" t="s">
        <v>308</v>
      </c>
      <c r="C136" t="s">
        <v>2592</v>
      </c>
      <c r="D136" t="s">
        <v>2593</v>
      </c>
      <c r="E136" t="s">
        <v>416</v>
      </c>
      <c r="G136">
        <v>1.18E-4</v>
      </c>
      <c r="H136">
        <v>3.9100000000000002E-4</v>
      </c>
      <c r="I136">
        <v>6.7400000000000001E-4</v>
      </c>
      <c r="J136">
        <v>9.5699999999999995E-4</v>
      </c>
      <c r="K136">
        <v>1.2470000000000001E-3</v>
      </c>
      <c r="L136">
        <v>1.542E-3</v>
      </c>
      <c r="M136">
        <v>1.843E-3</v>
      </c>
      <c r="N136">
        <v>2.1510000000000001E-3</v>
      </c>
      <c r="O136">
        <v>2.4689999999999998E-3</v>
      </c>
      <c r="P136">
        <v>2.7989999999999998E-3</v>
      </c>
      <c r="Q136">
        <v>3.143E-3</v>
      </c>
      <c r="R136">
        <v>3.5010000000000002E-3</v>
      </c>
      <c r="S136">
        <v>3.859E-3</v>
      </c>
      <c r="T136">
        <v>4.2300000000000003E-3</v>
      </c>
      <c r="U136">
        <v>4.6340000000000001E-3</v>
      </c>
      <c r="V136">
        <v>5.071E-3</v>
      </c>
      <c r="W136">
        <v>5.5459999999999997E-3</v>
      </c>
      <c r="X136">
        <v>6.0610000000000004E-3</v>
      </c>
      <c r="Y136">
        <v>6.6210000000000001E-3</v>
      </c>
      <c r="Z136">
        <v>7.228E-3</v>
      </c>
      <c r="AA136">
        <v>7.8829999999999994E-3</v>
      </c>
      <c r="AB136">
        <v>8.5920000000000007E-3</v>
      </c>
      <c r="AC136">
        <v>9.3589999999999993E-3</v>
      </c>
      <c r="AD136">
        <v>1.0192E-2</v>
      </c>
      <c r="AE136">
        <v>1.1091E-2</v>
      </c>
      <c r="AF136">
        <v>1.2054E-2</v>
      </c>
      <c r="AG136">
        <v>1.3077999999999999E-2</v>
      </c>
      <c r="AH136">
        <v>1.4161E-2</v>
      </c>
      <c r="AI136">
        <v>1.5303000000000001E-2</v>
      </c>
      <c r="AJ136" s="31">
        <v>0.19</v>
      </c>
      <c r="AL136" s="31"/>
    </row>
    <row r="137" spans="1:38">
      <c r="A137" s="163" t="s">
        <v>112</v>
      </c>
      <c r="B137" t="s">
        <v>307</v>
      </c>
      <c r="C137" t="s">
        <v>2594</v>
      </c>
      <c r="D137" t="s">
        <v>2595</v>
      </c>
      <c r="E137" t="s">
        <v>416</v>
      </c>
      <c r="G137">
        <v>8.1099999999999998E-4</v>
      </c>
      <c r="H137">
        <v>8.0800000000000002E-4</v>
      </c>
      <c r="I137">
        <v>8.0500000000000005E-4</v>
      </c>
      <c r="J137">
        <v>8.0099999999999995E-4</v>
      </c>
      <c r="K137">
        <v>7.9600000000000005E-4</v>
      </c>
      <c r="L137">
        <v>7.9100000000000004E-4</v>
      </c>
      <c r="M137">
        <v>7.8399999999999997E-4</v>
      </c>
      <c r="N137">
        <v>7.7800000000000005E-4</v>
      </c>
      <c r="O137">
        <v>7.6999999999999996E-4</v>
      </c>
      <c r="P137">
        <v>7.6199999999999998E-4</v>
      </c>
      <c r="Q137">
        <v>7.5299999999999998E-4</v>
      </c>
      <c r="R137">
        <v>7.4299999999999995E-4</v>
      </c>
      <c r="S137">
        <v>7.3300000000000004E-4</v>
      </c>
      <c r="T137">
        <v>7.2199999999999999E-4</v>
      </c>
      <c r="U137">
        <v>7.1100000000000004E-4</v>
      </c>
      <c r="V137">
        <v>6.9899999999999997E-4</v>
      </c>
      <c r="W137">
        <v>6.8599999999999998E-4</v>
      </c>
      <c r="X137">
        <v>6.7299999999999999E-4</v>
      </c>
      <c r="Y137">
        <v>6.6E-4</v>
      </c>
      <c r="Z137">
        <v>6.4599999999999998E-4</v>
      </c>
      <c r="AA137">
        <v>6.3199999999999997E-4</v>
      </c>
      <c r="AB137">
        <v>6.1700000000000004E-4</v>
      </c>
      <c r="AC137">
        <v>6.02E-4</v>
      </c>
      <c r="AD137">
        <v>5.8699999999999996E-4</v>
      </c>
      <c r="AE137">
        <v>5.6400000000000005E-4</v>
      </c>
      <c r="AF137">
        <v>5.2999999999999998E-4</v>
      </c>
      <c r="AG137">
        <v>4.8200000000000001E-4</v>
      </c>
      <c r="AH137">
        <v>4.2700000000000002E-4</v>
      </c>
      <c r="AI137">
        <v>3.5799999999999997E-4</v>
      </c>
      <c r="AJ137" s="31">
        <v>-2.9000000000000001E-2</v>
      </c>
      <c r="AL137" s="31"/>
    </row>
    <row r="138" spans="1:38">
      <c r="A138" s="163" t="s">
        <v>113</v>
      </c>
      <c r="B138" t="s">
        <v>378</v>
      </c>
      <c r="C138" t="s">
        <v>2596</v>
      </c>
      <c r="D138" t="s">
        <v>2597</v>
      </c>
      <c r="E138" t="s">
        <v>416</v>
      </c>
      <c r="G138">
        <v>0.228495</v>
      </c>
      <c r="H138">
        <v>0.23946799999999999</v>
      </c>
      <c r="I138">
        <v>0.25094</v>
      </c>
      <c r="J138">
        <v>0.26208999999999999</v>
      </c>
      <c r="K138">
        <v>0.27283400000000002</v>
      </c>
      <c r="L138">
        <v>0.28325600000000001</v>
      </c>
      <c r="M138">
        <v>0.29306500000000002</v>
      </c>
      <c r="N138">
        <v>0.30256499999999997</v>
      </c>
      <c r="O138">
        <v>0.311807</v>
      </c>
      <c r="P138">
        <v>0.32098700000000002</v>
      </c>
      <c r="Q138">
        <v>0.32999000000000001</v>
      </c>
      <c r="R138">
        <v>0.33899699999999999</v>
      </c>
      <c r="S138">
        <v>0.34797400000000001</v>
      </c>
      <c r="T138">
        <v>0.35700599999999999</v>
      </c>
      <c r="U138">
        <v>0.36603000000000002</v>
      </c>
      <c r="V138">
        <v>0.37504999999999999</v>
      </c>
      <c r="W138">
        <v>0.38404199999999999</v>
      </c>
      <c r="X138">
        <v>0.39302700000000002</v>
      </c>
      <c r="Y138">
        <v>0.402001</v>
      </c>
      <c r="Z138">
        <v>0.41092400000000001</v>
      </c>
      <c r="AA138">
        <v>0.419794</v>
      </c>
      <c r="AB138">
        <v>0.42865399999999998</v>
      </c>
      <c r="AC138">
        <v>0.43625900000000001</v>
      </c>
      <c r="AD138">
        <v>0.44089800000000001</v>
      </c>
      <c r="AE138">
        <v>0.44327499999999997</v>
      </c>
      <c r="AF138">
        <v>0.44412699999999999</v>
      </c>
      <c r="AG138">
        <v>0.44450499999999998</v>
      </c>
      <c r="AH138">
        <v>0.44182100000000002</v>
      </c>
      <c r="AI138">
        <v>0.43831300000000001</v>
      </c>
      <c r="AJ138" s="31">
        <v>2.4E-2</v>
      </c>
      <c r="AL138" s="31"/>
    </row>
    <row r="139" spans="1:38">
      <c r="A139" s="163" t="s">
        <v>111</v>
      </c>
      <c r="B139" t="s">
        <v>379</v>
      </c>
      <c r="C139" t="s">
        <v>2598</v>
      </c>
      <c r="D139" t="s">
        <v>2599</v>
      </c>
      <c r="E139" t="s">
        <v>416</v>
      </c>
      <c r="G139">
        <v>6.7000000000000002E-5</v>
      </c>
      <c r="H139">
        <v>6.6000000000000005E-5</v>
      </c>
      <c r="I139">
        <v>6.4999999999999994E-5</v>
      </c>
      <c r="J139">
        <v>6.4999999999999994E-5</v>
      </c>
      <c r="K139">
        <v>6.3999999999999997E-5</v>
      </c>
      <c r="L139">
        <v>6.3E-5</v>
      </c>
      <c r="M139">
        <v>6.2000000000000003E-5</v>
      </c>
      <c r="N139">
        <v>6.0999999999999999E-5</v>
      </c>
      <c r="O139">
        <v>6.0000000000000002E-5</v>
      </c>
      <c r="P139">
        <v>5.8999999999999998E-5</v>
      </c>
      <c r="Q139">
        <v>5.8E-5</v>
      </c>
      <c r="R139">
        <v>5.7000000000000003E-5</v>
      </c>
      <c r="S139">
        <v>5.5999999999999999E-5</v>
      </c>
      <c r="T139">
        <v>5.5000000000000002E-5</v>
      </c>
      <c r="U139">
        <v>5.3999999999999998E-5</v>
      </c>
      <c r="V139">
        <v>5.3000000000000001E-5</v>
      </c>
      <c r="W139">
        <v>5.1E-5</v>
      </c>
      <c r="X139">
        <v>5.0000000000000002E-5</v>
      </c>
      <c r="Y139">
        <v>4.8999999999999998E-5</v>
      </c>
      <c r="Z139">
        <v>4.6999999999999997E-5</v>
      </c>
      <c r="AA139">
        <v>4.6E-5</v>
      </c>
      <c r="AB139">
        <v>4.5000000000000003E-5</v>
      </c>
      <c r="AC139">
        <v>3.6000000000000001E-5</v>
      </c>
      <c r="AD139">
        <v>2.5000000000000001E-5</v>
      </c>
      <c r="AE139">
        <v>1.8E-5</v>
      </c>
      <c r="AF139">
        <v>1.2E-5</v>
      </c>
      <c r="AG139">
        <v>9.0000000000000002E-6</v>
      </c>
      <c r="AH139">
        <v>6.0000000000000002E-6</v>
      </c>
      <c r="AI139">
        <v>3.9999999999999998E-6</v>
      </c>
      <c r="AJ139" s="31">
        <v>-9.4E-2</v>
      </c>
      <c r="AL139" s="31"/>
    </row>
    <row r="140" spans="1:38">
      <c r="A140" s="163" t="s">
        <v>115</v>
      </c>
      <c r="B140" t="s">
        <v>381</v>
      </c>
      <c r="C140" t="s">
        <v>2600</v>
      </c>
      <c r="D140" t="s">
        <v>2601</v>
      </c>
      <c r="E140" t="s">
        <v>416</v>
      </c>
      <c r="G140">
        <v>0</v>
      </c>
      <c r="H140">
        <v>3.1599999999999998E-4</v>
      </c>
      <c r="I140">
        <v>6.4700000000000001E-4</v>
      </c>
      <c r="J140">
        <v>9.8799999999999995E-4</v>
      </c>
      <c r="K140">
        <v>1.3370000000000001E-3</v>
      </c>
      <c r="L140">
        <v>1.6949999999999999E-3</v>
      </c>
      <c r="M140">
        <v>2.0669999999999998E-3</v>
      </c>
      <c r="N140">
        <v>2.4559999999999998E-3</v>
      </c>
      <c r="O140">
        <v>2.8660000000000001E-3</v>
      </c>
      <c r="P140">
        <v>3.3E-3</v>
      </c>
      <c r="Q140">
        <v>3.7629999999999999E-3</v>
      </c>
      <c r="R140">
        <v>4.2560000000000002E-3</v>
      </c>
      <c r="S140">
        <v>4.7840000000000001E-3</v>
      </c>
      <c r="T140">
        <v>5.3569999999999998E-3</v>
      </c>
      <c r="U140">
        <v>5.9829999999999996E-3</v>
      </c>
      <c r="V140">
        <v>6.6709999999999998E-3</v>
      </c>
      <c r="W140">
        <v>7.4289999999999998E-3</v>
      </c>
      <c r="X140">
        <v>8.2660000000000008E-3</v>
      </c>
      <c r="Y140">
        <v>9.1909999999999995E-3</v>
      </c>
      <c r="Z140">
        <v>1.0203E-2</v>
      </c>
      <c r="AA140">
        <v>1.1304E-2</v>
      </c>
      <c r="AB140">
        <v>1.2494999999999999E-2</v>
      </c>
      <c r="AC140">
        <v>1.3772E-2</v>
      </c>
      <c r="AD140">
        <v>1.5141E-2</v>
      </c>
      <c r="AE140">
        <v>1.6594999999999999E-2</v>
      </c>
      <c r="AF140">
        <v>1.8123E-2</v>
      </c>
      <c r="AG140">
        <v>1.9715E-2</v>
      </c>
      <c r="AH140">
        <v>2.1368000000000002E-2</v>
      </c>
      <c r="AI140">
        <v>2.308E-2</v>
      </c>
      <c r="AJ140" t="s">
        <v>117</v>
      </c>
      <c r="AL140" s="31"/>
    </row>
    <row r="141" spans="1:38">
      <c r="A141" s="163" t="s">
        <v>115</v>
      </c>
      <c r="B141" t="s">
        <v>380</v>
      </c>
      <c r="C141" t="s">
        <v>2602</v>
      </c>
      <c r="D141" t="s">
        <v>2603</v>
      </c>
      <c r="E141" t="s">
        <v>416</v>
      </c>
      <c r="G141">
        <v>0</v>
      </c>
      <c r="H141">
        <v>3.2899999999999997E-4</v>
      </c>
      <c r="I141">
        <v>6.7400000000000001E-4</v>
      </c>
      <c r="J141">
        <v>1.024E-3</v>
      </c>
      <c r="K141">
        <v>1.377E-3</v>
      </c>
      <c r="L141">
        <v>1.7340000000000001E-3</v>
      </c>
      <c r="M141">
        <v>2.0950000000000001E-3</v>
      </c>
      <c r="N141">
        <v>2.467E-3</v>
      </c>
      <c r="O141">
        <v>2.856E-3</v>
      </c>
      <c r="P141">
        <v>3.2680000000000001E-3</v>
      </c>
      <c r="Q141">
        <v>3.7100000000000002E-3</v>
      </c>
      <c r="R141">
        <v>4.1869999999999997E-3</v>
      </c>
      <c r="S141">
        <v>4.705E-3</v>
      </c>
      <c r="T141">
        <v>5.2760000000000003E-3</v>
      </c>
      <c r="U141">
        <v>5.9090000000000002E-3</v>
      </c>
      <c r="V141">
        <v>6.6140000000000001E-3</v>
      </c>
      <c r="W141">
        <v>7.4009999999999996E-3</v>
      </c>
      <c r="X141">
        <v>8.2810000000000002E-3</v>
      </c>
      <c r="Y141">
        <v>9.2630000000000004E-3</v>
      </c>
      <c r="Z141">
        <v>1.0349000000000001E-2</v>
      </c>
      <c r="AA141">
        <v>1.1542999999999999E-2</v>
      </c>
      <c r="AB141">
        <v>1.2847000000000001E-2</v>
      </c>
      <c r="AC141">
        <v>1.4251E-2</v>
      </c>
      <c r="AD141">
        <v>1.5765000000000001E-2</v>
      </c>
      <c r="AE141">
        <v>1.7374000000000001E-2</v>
      </c>
      <c r="AF141">
        <v>1.9071000000000001E-2</v>
      </c>
      <c r="AG141">
        <v>2.0840999999999998E-2</v>
      </c>
      <c r="AH141">
        <v>2.2685E-2</v>
      </c>
      <c r="AI141">
        <v>2.4594000000000001E-2</v>
      </c>
      <c r="AJ141" t="s">
        <v>117</v>
      </c>
      <c r="AL141" s="31"/>
    </row>
    <row r="142" spans="1:38">
      <c r="A142" s="163" t="s">
        <v>258</v>
      </c>
      <c r="B142" t="s">
        <v>382</v>
      </c>
      <c r="C142" t="s">
        <v>2604</v>
      </c>
      <c r="D142" t="s">
        <v>2605</v>
      </c>
      <c r="E142" t="s">
        <v>416</v>
      </c>
      <c r="G142">
        <v>0</v>
      </c>
      <c r="H142">
        <v>0</v>
      </c>
      <c r="I142">
        <v>0</v>
      </c>
      <c r="J142">
        <v>0</v>
      </c>
      <c r="K142">
        <v>0</v>
      </c>
      <c r="L142">
        <v>0</v>
      </c>
      <c r="M142">
        <v>9.9999999999999995E-7</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1.9999999999999999E-6</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t="s">
        <v>117</v>
      </c>
      <c r="AL142" s="31"/>
    </row>
    <row r="143" spans="1:38">
      <c r="B143" t="s">
        <v>390</v>
      </c>
      <c r="C143" t="s">
        <v>2606</v>
      </c>
      <c r="D143" t="s">
        <v>2607</v>
      </c>
      <c r="E143" t="s">
        <v>416</v>
      </c>
      <c r="G143">
        <v>4.5572350000000004</v>
      </c>
      <c r="H143">
        <v>4.7290020000000004</v>
      </c>
      <c r="I143">
        <v>4.9127999999999998</v>
      </c>
      <c r="J143">
        <v>5.1043260000000004</v>
      </c>
      <c r="K143">
        <v>5.2971899999999996</v>
      </c>
      <c r="L143">
        <v>5.487355</v>
      </c>
      <c r="M143">
        <v>5.6725500000000002</v>
      </c>
      <c r="N143">
        <v>5.8529099999999996</v>
      </c>
      <c r="O143">
        <v>6.02935</v>
      </c>
      <c r="P143">
        <v>6.2002790000000001</v>
      </c>
      <c r="Q143">
        <v>6.3694100000000002</v>
      </c>
      <c r="R143">
        <v>6.5280370000000003</v>
      </c>
      <c r="S143">
        <v>6.6825029999999996</v>
      </c>
      <c r="T143">
        <v>6.8328829999999998</v>
      </c>
      <c r="U143">
        <v>6.9851679999999998</v>
      </c>
      <c r="V143">
        <v>7.1385949999999996</v>
      </c>
      <c r="W143">
        <v>7.2927179999999998</v>
      </c>
      <c r="X143">
        <v>7.444204</v>
      </c>
      <c r="Y143">
        <v>7.5930559999999998</v>
      </c>
      <c r="Z143">
        <v>7.7457929999999999</v>
      </c>
      <c r="AA143">
        <v>7.8962500000000002</v>
      </c>
      <c r="AB143">
        <v>8.0561190000000007</v>
      </c>
      <c r="AC143">
        <v>8.2237679999999997</v>
      </c>
      <c r="AD143">
        <v>8.3889849999999999</v>
      </c>
      <c r="AE143">
        <v>8.5504960000000008</v>
      </c>
      <c r="AF143">
        <v>8.7149520000000003</v>
      </c>
      <c r="AG143">
        <v>8.8794520000000006</v>
      </c>
      <c r="AH143">
        <v>9.0347190000000008</v>
      </c>
      <c r="AI143">
        <v>9.1874509999999994</v>
      </c>
      <c r="AJ143" s="31">
        <v>2.5000000000000001E-2</v>
      </c>
      <c r="AL143" s="31"/>
    </row>
    <row r="144" spans="1:38">
      <c r="B144" t="s">
        <v>342</v>
      </c>
    </row>
    <row r="145" spans="1:38">
      <c r="A145" s="163" t="s">
        <v>114</v>
      </c>
      <c r="B145" t="s">
        <v>327</v>
      </c>
      <c r="C145" t="s">
        <v>2608</v>
      </c>
      <c r="D145" t="s">
        <v>2609</v>
      </c>
      <c r="E145" t="s">
        <v>416</v>
      </c>
      <c r="G145">
        <v>2.2437369999999999</v>
      </c>
      <c r="H145">
        <v>2.286295</v>
      </c>
      <c r="I145">
        <v>2.3282590000000001</v>
      </c>
      <c r="J145">
        <v>2.3705020000000001</v>
      </c>
      <c r="K145">
        <v>2.414231</v>
      </c>
      <c r="L145">
        <v>2.4601289999999998</v>
      </c>
      <c r="M145">
        <v>2.5065369999999998</v>
      </c>
      <c r="N145">
        <v>2.5488789999999999</v>
      </c>
      <c r="O145">
        <v>2.5876809999999999</v>
      </c>
      <c r="P145">
        <v>2.6220119999999998</v>
      </c>
      <c r="Q145">
        <v>2.655789</v>
      </c>
      <c r="R145">
        <v>2.685311</v>
      </c>
      <c r="S145">
        <v>2.7116950000000002</v>
      </c>
      <c r="T145">
        <v>2.7389969999999999</v>
      </c>
      <c r="U145">
        <v>2.7686130000000002</v>
      </c>
      <c r="V145">
        <v>2.7995800000000002</v>
      </c>
      <c r="W145">
        <v>2.8301050000000001</v>
      </c>
      <c r="X145">
        <v>2.8587389999999999</v>
      </c>
      <c r="Y145">
        <v>2.8855249999999999</v>
      </c>
      <c r="Z145">
        <v>2.9108130000000001</v>
      </c>
      <c r="AA145">
        <v>2.9366029999999999</v>
      </c>
      <c r="AB145">
        <v>2.96862</v>
      </c>
      <c r="AC145">
        <v>3.0048659999999998</v>
      </c>
      <c r="AD145">
        <v>3.0403660000000001</v>
      </c>
      <c r="AE145">
        <v>3.0729690000000001</v>
      </c>
      <c r="AF145">
        <v>3.1057389999999998</v>
      </c>
      <c r="AG145">
        <v>3.1385649999999998</v>
      </c>
      <c r="AH145">
        <v>3.1691940000000001</v>
      </c>
      <c r="AI145">
        <v>3.1979829999999998</v>
      </c>
      <c r="AJ145" s="31">
        <v>1.2999999999999999E-2</v>
      </c>
      <c r="AL145" s="31"/>
    </row>
    <row r="146" spans="1:38">
      <c r="A146" s="163" t="s">
        <v>113</v>
      </c>
      <c r="B146" t="s">
        <v>313</v>
      </c>
      <c r="C146" t="s">
        <v>2610</v>
      </c>
      <c r="D146" t="s">
        <v>2611</v>
      </c>
      <c r="E146" t="s">
        <v>416</v>
      </c>
      <c r="G146">
        <v>1.5028010000000001</v>
      </c>
      <c r="H146">
        <v>1.5106599999999999</v>
      </c>
      <c r="I146">
        <v>1.521682</v>
      </c>
      <c r="J146">
        <v>1.536027</v>
      </c>
      <c r="K146">
        <v>1.553299</v>
      </c>
      <c r="L146">
        <v>1.5740670000000001</v>
      </c>
      <c r="M146">
        <v>1.595553</v>
      </c>
      <c r="N146">
        <v>1.615586</v>
      </c>
      <c r="O146">
        <v>1.634533</v>
      </c>
      <c r="P146">
        <v>1.6496409999999999</v>
      </c>
      <c r="Q146">
        <v>1.6660779999999999</v>
      </c>
      <c r="R146">
        <v>1.679308</v>
      </c>
      <c r="S146">
        <v>1.691457</v>
      </c>
      <c r="T146">
        <v>1.7060569999999999</v>
      </c>
      <c r="U146">
        <v>1.72157</v>
      </c>
      <c r="V146">
        <v>1.7378290000000001</v>
      </c>
      <c r="W146">
        <v>1.753844</v>
      </c>
      <c r="X146">
        <v>1.770923</v>
      </c>
      <c r="Y146">
        <v>1.786276</v>
      </c>
      <c r="Z146">
        <v>1.802689</v>
      </c>
      <c r="AA146">
        <v>1.8201099999999999</v>
      </c>
      <c r="AB146">
        <v>1.840473</v>
      </c>
      <c r="AC146">
        <v>1.862393</v>
      </c>
      <c r="AD146">
        <v>1.8824430000000001</v>
      </c>
      <c r="AE146">
        <v>1.900587</v>
      </c>
      <c r="AF146">
        <v>1.9178740000000001</v>
      </c>
      <c r="AG146">
        <v>1.9347449999999999</v>
      </c>
      <c r="AH146">
        <v>1.9508810000000001</v>
      </c>
      <c r="AI146">
        <v>1.9650270000000001</v>
      </c>
      <c r="AJ146" s="31">
        <v>0.01</v>
      </c>
      <c r="AL146" s="31"/>
    </row>
    <row r="147" spans="1:38">
      <c r="A147" s="163" t="s">
        <v>257</v>
      </c>
      <c r="B147" t="s">
        <v>308</v>
      </c>
      <c r="C147" t="s">
        <v>2612</v>
      </c>
      <c r="D147" t="s">
        <v>2613</v>
      </c>
      <c r="E147" t="s">
        <v>416</v>
      </c>
      <c r="G147">
        <v>2.4919999999999999E-3</v>
      </c>
      <c r="H147">
        <v>2.5119999999999999E-3</v>
      </c>
      <c r="I147">
        <v>2.565E-3</v>
      </c>
      <c r="J147">
        <v>2.6389999999999999E-3</v>
      </c>
      <c r="K147">
        <v>2.7409999999999999E-3</v>
      </c>
      <c r="L147">
        <v>2.8609999999999998E-3</v>
      </c>
      <c r="M147">
        <v>2.9970000000000001E-3</v>
      </c>
      <c r="N147">
        <v>3.1280000000000001E-3</v>
      </c>
      <c r="O147">
        <v>3.2650000000000001E-3</v>
      </c>
      <c r="P147">
        <v>3.4060000000000002E-3</v>
      </c>
      <c r="Q147">
        <v>3.5660000000000002E-3</v>
      </c>
      <c r="R147">
        <v>3.7569999999999999E-3</v>
      </c>
      <c r="S147">
        <v>3.9490000000000003E-3</v>
      </c>
      <c r="T147">
        <v>4.1520000000000003E-3</v>
      </c>
      <c r="U147">
        <v>4.3949999999999996E-3</v>
      </c>
      <c r="V147">
        <v>4.6769999999999997E-3</v>
      </c>
      <c r="W147">
        <v>4.9950000000000003E-3</v>
      </c>
      <c r="X147">
        <v>5.3480000000000003E-3</v>
      </c>
      <c r="Y147">
        <v>5.7359999999999998E-3</v>
      </c>
      <c r="Z147">
        <v>6.1580000000000003E-3</v>
      </c>
      <c r="AA147">
        <v>6.6080000000000002E-3</v>
      </c>
      <c r="AB147">
        <v>7.0899999999999999E-3</v>
      </c>
      <c r="AC147">
        <v>7.5950000000000002E-3</v>
      </c>
      <c r="AD147">
        <v>8.116E-3</v>
      </c>
      <c r="AE147">
        <v>8.6529999999999992E-3</v>
      </c>
      <c r="AF147">
        <v>9.2040000000000004E-3</v>
      </c>
      <c r="AG147">
        <v>9.7710000000000002E-3</v>
      </c>
      <c r="AH147">
        <v>1.0267999999999999E-2</v>
      </c>
      <c r="AI147">
        <v>1.0788000000000001E-2</v>
      </c>
      <c r="AJ147" s="31">
        <v>5.3999999999999999E-2</v>
      </c>
      <c r="AL147" s="31"/>
    </row>
    <row r="148" spans="1:38">
      <c r="A148" s="163" t="s">
        <v>112</v>
      </c>
      <c r="B148" t="s">
        <v>307</v>
      </c>
      <c r="C148" t="s">
        <v>2614</v>
      </c>
      <c r="D148" t="s">
        <v>2615</v>
      </c>
      <c r="E148" t="s">
        <v>416</v>
      </c>
      <c r="G148">
        <v>2.4350000000000001E-3</v>
      </c>
      <c r="H148">
        <v>2.467E-3</v>
      </c>
      <c r="I148">
        <v>2.4859999999999999E-3</v>
      </c>
      <c r="J148">
        <v>2.493E-3</v>
      </c>
      <c r="K148">
        <v>2.4880000000000002E-3</v>
      </c>
      <c r="L148">
        <v>2.4729999999999999E-3</v>
      </c>
      <c r="M148">
        <v>2.4499999999999999E-3</v>
      </c>
      <c r="N148">
        <v>2.4160000000000002E-3</v>
      </c>
      <c r="O148">
        <v>2.3749999999999999E-3</v>
      </c>
      <c r="P148">
        <v>2.3249999999999998E-3</v>
      </c>
      <c r="Q148">
        <v>2.2680000000000001E-3</v>
      </c>
      <c r="R148">
        <v>2.2060000000000001E-3</v>
      </c>
      <c r="S148">
        <v>2.137E-3</v>
      </c>
      <c r="T148">
        <v>2.062E-3</v>
      </c>
      <c r="U148">
        <v>1.977E-3</v>
      </c>
      <c r="V148">
        <v>1.89E-3</v>
      </c>
      <c r="W148">
        <v>1.802E-3</v>
      </c>
      <c r="X148">
        <v>1.719E-3</v>
      </c>
      <c r="Y148">
        <v>1.6410000000000001E-3</v>
      </c>
      <c r="Z148">
        <v>1.5510000000000001E-3</v>
      </c>
      <c r="AA148">
        <v>1.47E-3</v>
      </c>
      <c r="AB148">
        <v>1.3649999999999999E-3</v>
      </c>
      <c r="AC148">
        <v>1.2509999999999999E-3</v>
      </c>
      <c r="AD148">
        <v>1.158E-3</v>
      </c>
      <c r="AE148">
        <v>1.077E-3</v>
      </c>
      <c r="AF148">
        <v>9.9200000000000004E-4</v>
      </c>
      <c r="AG148">
        <v>9.0200000000000002E-4</v>
      </c>
      <c r="AH148">
        <v>8.1999999999999998E-4</v>
      </c>
      <c r="AI148">
        <v>7.5000000000000002E-4</v>
      </c>
      <c r="AJ148" s="31">
        <v>-4.1000000000000002E-2</v>
      </c>
      <c r="AL148" s="31"/>
    </row>
    <row r="149" spans="1:38">
      <c r="A149" s="163" t="s">
        <v>113</v>
      </c>
      <c r="B149" t="s">
        <v>378</v>
      </c>
      <c r="C149" t="s">
        <v>2616</v>
      </c>
      <c r="D149" t="s">
        <v>2617</v>
      </c>
      <c r="E149" t="s">
        <v>416</v>
      </c>
      <c r="G149">
        <v>3.3721000000000001E-2</v>
      </c>
      <c r="H149">
        <v>3.7009E-2</v>
      </c>
      <c r="I149">
        <v>4.0771000000000002E-2</v>
      </c>
      <c r="J149">
        <v>4.4796000000000002E-2</v>
      </c>
      <c r="K149">
        <v>4.9252999999999998E-2</v>
      </c>
      <c r="L149">
        <v>5.4266000000000002E-2</v>
      </c>
      <c r="M149">
        <v>5.9671000000000002E-2</v>
      </c>
      <c r="N149">
        <v>6.5405000000000005E-2</v>
      </c>
      <c r="O149">
        <v>7.1421999999999999E-2</v>
      </c>
      <c r="P149">
        <v>7.7891000000000002E-2</v>
      </c>
      <c r="Q149">
        <v>8.4977999999999998E-2</v>
      </c>
      <c r="R149">
        <v>9.2817999999999998E-2</v>
      </c>
      <c r="S149">
        <v>0.101296</v>
      </c>
      <c r="T149">
        <v>0.11043600000000001</v>
      </c>
      <c r="U149">
        <v>0.120042</v>
      </c>
      <c r="V149">
        <v>0.13008800000000001</v>
      </c>
      <c r="W149">
        <v>0.140457</v>
      </c>
      <c r="X149">
        <v>0.15113299999999999</v>
      </c>
      <c r="Y149">
        <v>0.16206599999999999</v>
      </c>
      <c r="Z149">
        <v>0.17324300000000001</v>
      </c>
      <c r="AA149">
        <v>0.184556</v>
      </c>
      <c r="AB149">
        <v>0.19605900000000001</v>
      </c>
      <c r="AC149">
        <v>0.20741200000000001</v>
      </c>
      <c r="AD149">
        <v>0.21848600000000001</v>
      </c>
      <c r="AE149">
        <v>0.22906399999999999</v>
      </c>
      <c r="AF149">
        <v>0.239314</v>
      </c>
      <c r="AG149">
        <v>0.24909800000000001</v>
      </c>
      <c r="AH149">
        <v>0.25861600000000001</v>
      </c>
      <c r="AI149">
        <v>0.26780399999999999</v>
      </c>
      <c r="AJ149" s="31">
        <v>7.6999999999999999E-2</v>
      </c>
      <c r="AL149" s="31"/>
    </row>
    <row r="150" spans="1:38">
      <c r="A150" s="163" t="s">
        <v>111</v>
      </c>
      <c r="B150" t="s">
        <v>379</v>
      </c>
      <c r="C150" t="s">
        <v>2618</v>
      </c>
      <c r="D150" t="s">
        <v>2619</v>
      </c>
      <c r="E150" t="s">
        <v>416</v>
      </c>
      <c r="G150">
        <v>2.4399999999999999E-4</v>
      </c>
      <c r="H150">
        <v>3.0200000000000002E-4</v>
      </c>
      <c r="I150">
        <v>3.5399999999999999E-4</v>
      </c>
      <c r="J150">
        <v>3.9800000000000002E-4</v>
      </c>
      <c r="K150">
        <v>4.3800000000000002E-4</v>
      </c>
      <c r="L150">
        <v>4.7199999999999998E-4</v>
      </c>
      <c r="M150">
        <v>5.0199999999999995E-4</v>
      </c>
      <c r="N150">
        <v>5.2599999999999999E-4</v>
      </c>
      <c r="O150">
        <v>5.4500000000000002E-4</v>
      </c>
      <c r="P150">
        <v>5.5900000000000004E-4</v>
      </c>
      <c r="Q150">
        <v>5.6899999999999995E-4</v>
      </c>
      <c r="R150">
        <v>5.7600000000000001E-4</v>
      </c>
      <c r="S150">
        <v>5.7899999999999998E-4</v>
      </c>
      <c r="T150">
        <v>5.7899999999999998E-4</v>
      </c>
      <c r="U150">
        <v>5.7700000000000004E-4</v>
      </c>
      <c r="V150">
        <v>5.71E-4</v>
      </c>
      <c r="W150">
        <v>5.6300000000000002E-4</v>
      </c>
      <c r="X150">
        <v>5.53E-4</v>
      </c>
      <c r="Y150">
        <v>5.4100000000000003E-4</v>
      </c>
      <c r="Z150">
        <v>5.2800000000000004E-4</v>
      </c>
      <c r="AA150">
        <v>5.13E-4</v>
      </c>
      <c r="AB150">
        <v>4.9700000000000005E-4</v>
      </c>
      <c r="AC150">
        <v>4.8000000000000001E-4</v>
      </c>
      <c r="AD150">
        <v>4.6200000000000001E-4</v>
      </c>
      <c r="AE150">
        <v>4.44E-4</v>
      </c>
      <c r="AF150">
        <v>4.26E-4</v>
      </c>
      <c r="AG150">
        <v>4.08E-4</v>
      </c>
      <c r="AH150">
        <v>3.8900000000000002E-4</v>
      </c>
      <c r="AI150">
        <v>3.7100000000000002E-4</v>
      </c>
      <c r="AJ150" s="31">
        <v>1.4999999999999999E-2</v>
      </c>
      <c r="AL150" s="31"/>
    </row>
    <row r="151" spans="1:38">
      <c r="A151" s="163" t="s">
        <v>115</v>
      </c>
      <c r="B151" t="s">
        <v>381</v>
      </c>
      <c r="C151" t="s">
        <v>2620</v>
      </c>
      <c r="D151" t="s">
        <v>2621</v>
      </c>
      <c r="E151" t="s">
        <v>416</v>
      </c>
      <c r="G151">
        <v>0</v>
      </c>
      <c r="H151">
        <v>0</v>
      </c>
      <c r="I151">
        <v>2.2499999999999999E-4</v>
      </c>
      <c r="J151">
        <v>4.5199999999999998E-4</v>
      </c>
      <c r="K151">
        <v>6.8199999999999999E-4</v>
      </c>
      <c r="L151">
        <v>9.2100000000000005E-4</v>
      </c>
      <c r="M151">
        <v>1.1659999999999999E-3</v>
      </c>
      <c r="N151">
        <v>1.413E-3</v>
      </c>
      <c r="O151">
        <v>1.6570000000000001E-3</v>
      </c>
      <c r="P151">
        <v>1.9009999999999999E-3</v>
      </c>
      <c r="Q151">
        <v>2.1510000000000001E-3</v>
      </c>
      <c r="R151">
        <v>2.4130000000000002E-3</v>
      </c>
      <c r="S151">
        <v>2.6849999999999999E-3</v>
      </c>
      <c r="T151">
        <v>2.9680000000000002E-3</v>
      </c>
      <c r="U151">
        <v>3.264E-3</v>
      </c>
      <c r="V151">
        <v>3.5739999999999999E-3</v>
      </c>
      <c r="W151">
        <v>3.8990000000000001E-3</v>
      </c>
      <c r="X151">
        <v>4.241E-3</v>
      </c>
      <c r="Y151">
        <v>4.6030000000000003E-3</v>
      </c>
      <c r="Z151">
        <v>4.9880000000000002E-3</v>
      </c>
      <c r="AA151">
        <v>5.3949999999999996E-3</v>
      </c>
      <c r="AB151">
        <v>5.8279999999999998E-3</v>
      </c>
      <c r="AC151">
        <v>6.2830000000000004E-3</v>
      </c>
      <c r="AD151">
        <v>6.7559999999999999E-3</v>
      </c>
      <c r="AE151">
        <v>7.2459999999999998E-3</v>
      </c>
      <c r="AF151">
        <v>7.757E-3</v>
      </c>
      <c r="AG151">
        <v>8.2869999999999992E-3</v>
      </c>
      <c r="AH151">
        <v>8.8350000000000008E-3</v>
      </c>
      <c r="AI151">
        <v>9.3989999999999994E-3</v>
      </c>
      <c r="AJ151" t="s">
        <v>117</v>
      </c>
      <c r="AL151" s="31"/>
    </row>
    <row r="152" spans="1:38">
      <c r="A152" s="163" t="s">
        <v>115</v>
      </c>
      <c r="B152" t="s">
        <v>380</v>
      </c>
      <c r="C152" t="s">
        <v>2622</v>
      </c>
      <c r="D152" t="s">
        <v>2623</v>
      </c>
      <c r="E152" t="s">
        <v>416</v>
      </c>
      <c r="G152">
        <v>0</v>
      </c>
      <c r="H152">
        <v>0</v>
      </c>
      <c r="I152">
        <v>2.1900000000000001E-4</v>
      </c>
      <c r="J152">
        <v>4.35E-4</v>
      </c>
      <c r="K152">
        <v>6.5200000000000002E-4</v>
      </c>
      <c r="L152">
        <v>8.7200000000000005E-4</v>
      </c>
      <c r="M152">
        <v>1.096E-3</v>
      </c>
      <c r="N152">
        <v>1.3179999999999999E-3</v>
      </c>
      <c r="O152">
        <v>1.539E-3</v>
      </c>
      <c r="P152">
        <v>1.7639999999999999E-3</v>
      </c>
      <c r="Q152">
        <v>2.0010000000000002E-3</v>
      </c>
      <c r="R152">
        <v>2.2560000000000002E-3</v>
      </c>
      <c r="S152">
        <v>2.529E-3</v>
      </c>
      <c r="T152">
        <v>2.8219999999999999E-3</v>
      </c>
      <c r="U152">
        <v>3.1380000000000002E-3</v>
      </c>
      <c r="V152">
        <v>3.48E-3</v>
      </c>
      <c r="W152">
        <v>3.8500000000000001E-3</v>
      </c>
      <c r="X152">
        <v>4.2529999999999998E-3</v>
      </c>
      <c r="Y152">
        <v>4.6940000000000003E-3</v>
      </c>
      <c r="Z152">
        <v>5.1770000000000002E-3</v>
      </c>
      <c r="AA152">
        <v>5.7060000000000001E-3</v>
      </c>
      <c r="AB152">
        <v>6.2849999999999998E-3</v>
      </c>
      <c r="AC152">
        <v>6.9100000000000003E-3</v>
      </c>
      <c r="AD152">
        <v>7.5719999999999997E-3</v>
      </c>
      <c r="AE152">
        <v>8.2699999999999996E-3</v>
      </c>
      <c r="AF152">
        <v>9.0060000000000001E-3</v>
      </c>
      <c r="AG152">
        <v>9.7789999999999995E-3</v>
      </c>
      <c r="AH152">
        <v>1.0584E-2</v>
      </c>
      <c r="AI152">
        <v>1.1415E-2</v>
      </c>
      <c r="AJ152" t="s">
        <v>117</v>
      </c>
      <c r="AL152" s="31"/>
    </row>
    <row r="153" spans="1:38">
      <c r="A153" s="163" t="s">
        <v>258</v>
      </c>
      <c r="B153" t="s">
        <v>382</v>
      </c>
      <c r="C153" t="s">
        <v>2624</v>
      </c>
      <c r="D153" t="s">
        <v>2625</v>
      </c>
      <c r="E153" t="s">
        <v>416</v>
      </c>
      <c r="G153">
        <v>0</v>
      </c>
      <c r="H153">
        <v>0</v>
      </c>
      <c r="I153">
        <v>3.7599999999999998E-4</v>
      </c>
      <c r="J153">
        <v>7.5799999999999999E-4</v>
      </c>
      <c r="K153">
        <v>1.1509999999999999E-3</v>
      </c>
      <c r="L153">
        <v>1.5610000000000001E-3</v>
      </c>
      <c r="M153">
        <v>1.9840000000000001E-3</v>
      </c>
      <c r="N153">
        <v>2.4109999999999999E-3</v>
      </c>
      <c r="O153">
        <v>2.8349999999999998E-3</v>
      </c>
      <c r="P153">
        <v>3.2590000000000002E-3</v>
      </c>
      <c r="Q153">
        <v>3.692E-3</v>
      </c>
      <c r="R153">
        <v>4.1390000000000003E-3</v>
      </c>
      <c r="S153">
        <v>4.6020000000000002E-3</v>
      </c>
      <c r="T153">
        <v>5.084E-3</v>
      </c>
      <c r="U153">
        <v>5.5890000000000002E-3</v>
      </c>
      <c r="V153">
        <v>6.1209999999999997E-3</v>
      </c>
      <c r="W153">
        <v>6.6839999999999998E-3</v>
      </c>
      <c r="X153">
        <v>7.2820000000000003E-3</v>
      </c>
      <c r="Y153">
        <v>7.9209999999999992E-3</v>
      </c>
      <c r="Z153">
        <v>8.6079999999999993E-3</v>
      </c>
      <c r="AA153">
        <v>9.3430000000000006E-3</v>
      </c>
      <c r="AB153">
        <v>1.0130999999999999E-2</v>
      </c>
      <c r="AC153">
        <v>1.0968E-2</v>
      </c>
      <c r="AD153">
        <v>1.1842999999999999E-2</v>
      </c>
      <c r="AE153">
        <v>1.2758E-2</v>
      </c>
      <c r="AF153">
        <v>1.3715E-2</v>
      </c>
      <c r="AG153">
        <v>1.4716E-2</v>
      </c>
      <c r="AH153">
        <v>1.5751999999999999E-2</v>
      </c>
      <c r="AI153">
        <v>1.6823000000000001E-2</v>
      </c>
      <c r="AJ153" t="s">
        <v>117</v>
      </c>
      <c r="AL153" s="31"/>
    </row>
    <row r="154" spans="1:38">
      <c r="B154" t="s">
        <v>391</v>
      </c>
      <c r="C154" t="s">
        <v>2626</v>
      </c>
      <c r="D154" t="s">
        <v>2627</v>
      </c>
      <c r="E154" t="s">
        <v>416</v>
      </c>
      <c r="G154">
        <v>3.7854269999999999</v>
      </c>
      <c r="H154">
        <v>3.8392460000000002</v>
      </c>
      <c r="I154">
        <v>3.896935</v>
      </c>
      <c r="J154">
        <v>3.9585020000000002</v>
      </c>
      <c r="K154">
        <v>4.0249319999999997</v>
      </c>
      <c r="L154">
        <v>4.097626</v>
      </c>
      <c r="M154">
        <v>4.1719590000000002</v>
      </c>
      <c r="N154">
        <v>4.2410829999999997</v>
      </c>
      <c r="O154">
        <v>4.3058509999999997</v>
      </c>
      <c r="P154">
        <v>4.3627609999999999</v>
      </c>
      <c r="Q154">
        <v>4.4210929999999999</v>
      </c>
      <c r="R154">
        <v>4.4727800000000002</v>
      </c>
      <c r="S154">
        <v>4.5209279999999996</v>
      </c>
      <c r="T154">
        <v>4.5731520000000003</v>
      </c>
      <c r="U154">
        <v>4.6291640000000003</v>
      </c>
      <c r="V154">
        <v>4.6878130000000002</v>
      </c>
      <c r="W154">
        <v>4.7462020000000003</v>
      </c>
      <c r="X154">
        <v>4.8041939999999999</v>
      </c>
      <c r="Y154">
        <v>4.8590020000000003</v>
      </c>
      <c r="Z154">
        <v>4.9137469999999999</v>
      </c>
      <c r="AA154">
        <v>4.9703020000000002</v>
      </c>
      <c r="AB154">
        <v>5.0363410000000002</v>
      </c>
      <c r="AC154">
        <v>5.1081560000000001</v>
      </c>
      <c r="AD154">
        <v>5.1772010000000002</v>
      </c>
      <c r="AE154">
        <v>5.2410680000000003</v>
      </c>
      <c r="AF154">
        <v>5.3040250000000002</v>
      </c>
      <c r="AG154">
        <v>5.3662710000000002</v>
      </c>
      <c r="AH154">
        <v>5.4253349999999996</v>
      </c>
      <c r="AI154">
        <v>5.4803610000000003</v>
      </c>
      <c r="AJ154" s="31">
        <v>1.2999999999999999E-2</v>
      </c>
      <c r="AL154" s="31"/>
    </row>
    <row r="155" spans="1:38">
      <c r="B155" t="s">
        <v>392</v>
      </c>
    </row>
    <row r="156" spans="1:38">
      <c r="A156" s="163" t="s">
        <v>114</v>
      </c>
      <c r="B156" t="s">
        <v>327</v>
      </c>
      <c r="C156" t="s">
        <v>2628</v>
      </c>
      <c r="D156" t="s">
        <v>2629</v>
      </c>
      <c r="E156" t="s">
        <v>416</v>
      </c>
      <c r="G156">
        <v>5.2064019999999998</v>
      </c>
      <c r="H156">
        <v>5.2888780000000004</v>
      </c>
      <c r="I156">
        <v>5.3703010000000004</v>
      </c>
      <c r="J156">
        <v>5.4525410000000001</v>
      </c>
      <c r="K156">
        <v>5.5382790000000002</v>
      </c>
      <c r="L156">
        <v>5.627815</v>
      </c>
      <c r="M156">
        <v>5.7139410000000002</v>
      </c>
      <c r="N156">
        <v>5.7869250000000001</v>
      </c>
      <c r="O156">
        <v>5.8481120000000004</v>
      </c>
      <c r="P156">
        <v>5.9006040000000004</v>
      </c>
      <c r="Q156">
        <v>5.9465589999999997</v>
      </c>
      <c r="R156">
        <v>5.9845050000000004</v>
      </c>
      <c r="S156">
        <v>6.0113009999999996</v>
      </c>
      <c r="T156">
        <v>6.0395349999999999</v>
      </c>
      <c r="U156">
        <v>6.0732929999999996</v>
      </c>
      <c r="V156">
        <v>6.1074250000000001</v>
      </c>
      <c r="W156">
        <v>6.1398859999999997</v>
      </c>
      <c r="X156">
        <v>6.1630339999999997</v>
      </c>
      <c r="Y156">
        <v>6.179583</v>
      </c>
      <c r="Z156">
        <v>6.1844590000000004</v>
      </c>
      <c r="AA156">
        <v>6.1998239999999996</v>
      </c>
      <c r="AB156">
        <v>6.2213029999999998</v>
      </c>
      <c r="AC156">
        <v>6.2479550000000001</v>
      </c>
      <c r="AD156">
        <v>6.2727950000000003</v>
      </c>
      <c r="AE156">
        <v>6.2884719999999996</v>
      </c>
      <c r="AF156">
        <v>6.2973910000000002</v>
      </c>
      <c r="AG156">
        <v>6.3017019999999997</v>
      </c>
      <c r="AH156">
        <v>6.2968999999999999</v>
      </c>
      <c r="AI156">
        <v>6.2831700000000001</v>
      </c>
      <c r="AJ156" s="31">
        <v>7.0000000000000001E-3</v>
      </c>
      <c r="AL156" s="31"/>
    </row>
    <row r="157" spans="1:38">
      <c r="A157" s="163" t="s">
        <v>113</v>
      </c>
      <c r="B157" t="s">
        <v>313</v>
      </c>
      <c r="C157" t="s">
        <v>2630</v>
      </c>
      <c r="D157" t="s">
        <v>2631</v>
      </c>
      <c r="E157" t="s">
        <v>416</v>
      </c>
      <c r="G157">
        <v>4.3720000000000002E-2</v>
      </c>
      <c r="H157">
        <v>3.9244000000000001E-2</v>
      </c>
      <c r="I157">
        <v>3.5563999999999998E-2</v>
      </c>
      <c r="J157">
        <v>3.2551999999999998E-2</v>
      </c>
      <c r="K157">
        <v>3.0339000000000001E-2</v>
      </c>
      <c r="L157">
        <v>2.8802999999999999E-2</v>
      </c>
      <c r="M157">
        <v>2.7737999999999999E-2</v>
      </c>
      <c r="N157">
        <v>2.6907E-2</v>
      </c>
      <c r="O157">
        <v>2.6339000000000001E-2</v>
      </c>
      <c r="P157">
        <v>2.5862E-2</v>
      </c>
      <c r="Q157">
        <v>2.5571E-2</v>
      </c>
      <c r="R157">
        <v>2.5485000000000001E-2</v>
      </c>
      <c r="S157">
        <v>2.5562000000000001E-2</v>
      </c>
      <c r="T157">
        <v>2.5825000000000001E-2</v>
      </c>
      <c r="U157">
        <v>2.6147E-2</v>
      </c>
      <c r="V157">
        <v>2.6608E-2</v>
      </c>
      <c r="W157">
        <v>2.7149E-2</v>
      </c>
      <c r="X157">
        <v>2.7682999999999999E-2</v>
      </c>
      <c r="Y157">
        <v>2.8167000000000001E-2</v>
      </c>
      <c r="Z157">
        <v>2.8698999999999999E-2</v>
      </c>
      <c r="AA157">
        <v>2.913E-2</v>
      </c>
      <c r="AB157">
        <v>2.9527000000000001E-2</v>
      </c>
      <c r="AC157">
        <v>2.9994E-2</v>
      </c>
      <c r="AD157">
        <v>3.0487E-2</v>
      </c>
      <c r="AE157">
        <v>3.0977000000000001E-2</v>
      </c>
      <c r="AF157">
        <v>3.1455999999999998E-2</v>
      </c>
      <c r="AG157">
        <v>3.1931000000000001E-2</v>
      </c>
      <c r="AH157">
        <v>3.2369000000000002E-2</v>
      </c>
      <c r="AI157">
        <v>3.2777000000000001E-2</v>
      </c>
      <c r="AJ157" s="31">
        <v>-0.01</v>
      </c>
      <c r="AL157" s="31"/>
    </row>
    <row r="158" spans="1:38">
      <c r="A158" s="163" t="s">
        <v>257</v>
      </c>
      <c r="B158" t="s">
        <v>308</v>
      </c>
      <c r="C158" t="s">
        <v>2632</v>
      </c>
      <c r="D158" t="s">
        <v>2633</v>
      </c>
      <c r="E158" t="s">
        <v>416</v>
      </c>
      <c r="G158">
        <v>3.2079999999999999E-3</v>
      </c>
      <c r="H158">
        <v>3.1340000000000001E-3</v>
      </c>
      <c r="I158">
        <v>3.0799999999999998E-3</v>
      </c>
      <c r="J158">
        <v>3.0439999999999998E-3</v>
      </c>
      <c r="K158">
        <v>3.052E-3</v>
      </c>
      <c r="L158">
        <v>3.0769999999999999E-3</v>
      </c>
      <c r="M158">
        <v>3.0990000000000002E-3</v>
      </c>
      <c r="N158">
        <v>3.0829999999999998E-3</v>
      </c>
      <c r="O158">
        <v>3.075E-3</v>
      </c>
      <c r="P158">
        <v>3.068E-3</v>
      </c>
      <c r="Q158">
        <v>3.058E-3</v>
      </c>
      <c r="R158">
        <v>3.0829999999999998E-3</v>
      </c>
      <c r="S158">
        <v>3.1280000000000001E-3</v>
      </c>
      <c r="T158">
        <v>3.1879999999999999E-3</v>
      </c>
      <c r="U158">
        <v>3.2569999999999999E-3</v>
      </c>
      <c r="V158">
        <v>3.3300000000000001E-3</v>
      </c>
      <c r="W158">
        <v>3.405E-3</v>
      </c>
      <c r="X158">
        <v>3.4789999999999999E-3</v>
      </c>
      <c r="Y158">
        <v>3.5530000000000002E-3</v>
      </c>
      <c r="Z158">
        <v>3.6229999999999999E-3</v>
      </c>
      <c r="AA158">
        <v>3.6909999999999998E-3</v>
      </c>
      <c r="AB158">
        <v>3.7550000000000001E-3</v>
      </c>
      <c r="AC158">
        <v>3.8159999999999999E-3</v>
      </c>
      <c r="AD158">
        <v>3.8709999999999999E-3</v>
      </c>
      <c r="AE158">
        <v>3.921E-3</v>
      </c>
      <c r="AF158">
        <v>3.967E-3</v>
      </c>
      <c r="AG158">
        <v>4.0090000000000004E-3</v>
      </c>
      <c r="AH158">
        <v>4.0270000000000002E-3</v>
      </c>
      <c r="AI158">
        <v>4.0179999999999999E-3</v>
      </c>
      <c r="AJ158" s="31">
        <v>8.0000000000000002E-3</v>
      </c>
      <c r="AL158" s="31"/>
    </row>
    <row r="159" spans="1:38">
      <c r="A159" s="163" t="s">
        <v>112</v>
      </c>
      <c r="B159" t="s">
        <v>307</v>
      </c>
      <c r="C159" t="s">
        <v>2634</v>
      </c>
      <c r="D159" t="s">
        <v>2635</v>
      </c>
      <c r="E159" t="s">
        <v>416</v>
      </c>
      <c r="G159">
        <v>4.9806000000000003E-2</v>
      </c>
      <c r="H159">
        <v>5.3505999999999998E-2</v>
      </c>
      <c r="I159">
        <v>5.7007000000000002E-2</v>
      </c>
      <c r="J159">
        <v>6.0267000000000001E-2</v>
      </c>
      <c r="K159">
        <v>6.3335000000000002E-2</v>
      </c>
      <c r="L159">
        <v>6.6187999999999997E-2</v>
      </c>
      <c r="M159">
        <v>6.8793000000000007E-2</v>
      </c>
      <c r="N159">
        <v>7.1056999999999995E-2</v>
      </c>
      <c r="O159">
        <v>7.2950000000000001E-2</v>
      </c>
      <c r="P159">
        <v>7.4646000000000004E-2</v>
      </c>
      <c r="Q159">
        <v>7.6287999999999995E-2</v>
      </c>
      <c r="R159">
        <v>7.7964000000000006E-2</v>
      </c>
      <c r="S159">
        <v>7.9705999999999999E-2</v>
      </c>
      <c r="T159">
        <v>8.1534999999999996E-2</v>
      </c>
      <c r="U159">
        <v>8.3455000000000001E-2</v>
      </c>
      <c r="V159">
        <v>8.5483000000000003E-2</v>
      </c>
      <c r="W159">
        <v>8.7620000000000003E-2</v>
      </c>
      <c r="X159">
        <v>8.9883000000000005E-2</v>
      </c>
      <c r="Y159">
        <v>9.2301999999999995E-2</v>
      </c>
      <c r="Z159">
        <v>9.4889000000000001E-2</v>
      </c>
      <c r="AA159">
        <v>9.7609000000000001E-2</v>
      </c>
      <c r="AB159">
        <v>0.100438</v>
      </c>
      <c r="AC159">
        <v>0.103409</v>
      </c>
      <c r="AD159">
        <v>0.106421</v>
      </c>
      <c r="AE159">
        <v>0.109391</v>
      </c>
      <c r="AF159">
        <v>0.112428</v>
      </c>
      <c r="AG159">
        <v>0.11534700000000001</v>
      </c>
      <c r="AH159">
        <v>0.11822199999999999</v>
      </c>
      <c r="AI159">
        <v>0.12117</v>
      </c>
      <c r="AJ159" s="31">
        <v>3.2000000000000001E-2</v>
      </c>
      <c r="AL159" s="31"/>
    </row>
    <row r="160" spans="1:38">
      <c r="A160" s="163" t="s">
        <v>113</v>
      </c>
      <c r="B160" t="s">
        <v>378</v>
      </c>
      <c r="C160" t="s">
        <v>2636</v>
      </c>
      <c r="D160" t="s">
        <v>2637</v>
      </c>
      <c r="E160" t="s">
        <v>416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t="s">
        <v>117</v>
      </c>
    </row>
    <row r="161" spans="1:38">
      <c r="A161" s="163" t="s">
        <v>111</v>
      </c>
      <c r="B161" t="s">
        <v>379</v>
      </c>
      <c r="C161" t="s">
        <v>2638</v>
      </c>
      <c r="D161" t="s">
        <v>2639</v>
      </c>
      <c r="E161" t="s">
        <v>416</v>
      </c>
      <c r="G161">
        <v>2.13E-4</v>
      </c>
      <c r="H161">
        <v>2.5500000000000002E-4</v>
      </c>
      <c r="I161">
        <v>2.92E-4</v>
      </c>
      <c r="J161">
        <v>3.2400000000000001E-4</v>
      </c>
      <c r="K161">
        <v>3.5199999999999999E-4</v>
      </c>
      <c r="L161">
        <v>3.77E-4</v>
      </c>
      <c r="M161">
        <v>3.9899999999999999E-4</v>
      </c>
      <c r="N161">
        <v>4.17E-4</v>
      </c>
      <c r="O161">
        <v>4.3100000000000001E-4</v>
      </c>
      <c r="P161">
        <v>4.4200000000000001E-4</v>
      </c>
      <c r="Q161">
        <v>4.5100000000000001E-4</v>
      </c>
      <c r="R161">
        <v>4.57E-4</v>
      </c>
      <c r="S161">
        <v>4.6200000000000001E-4</v>
      </c>
      <c r="T161">
        <v>4.64E-4</v>
      </c>
      <c r="U161">
        <v>4.64E-4</v>
      </c>
      <c r="V161">
        <v>4.6299999999999998E-4</v>
      </c>
      <c r="W161">
        <v>4.5899999999999999E-4</v>
      </c>
      <c r="X161">
        <v>4.55E-4</v>
      </c>
      <c r="Y161">
        <v>4.4900000000000002E-4</v>
      </c>
      <c r="Z161">
        <v>4.4200000000000001E-4</v>
      </c>
      <c r="AA161">
        <v>4.3399999999999998E-4</v>
      </c>
      <c r="AB161">
        <v>4.2499999999999998E-4</v>
      </c>
      <c r="AC161">
        <v>4.15E-4</v>
      </c>
      <c r="AD161">
        <v>4.0400000000000001E-4</v>
      </c>
      <c r="AE161">
        <v>3.9300000000000001E-4</v>
      </c>
      <c r="AF161">
        <v>3.8200000000000002E-4</v>
      </c>
      <c r="AG161">
        <v>3.6999999999999999E-4</v>
      </c>
      <c r="AH161">
        <v>3.5799999999999997E-4</v>
      </c>
      <c r="AI161">
        <v>3.4600000000000001E-4</v>
      </c>
      <c r="AJ161" s="31">
        <v>1.7000000000000001E-2</v>
      </c>
      <c r="AL161" s="31"/>
    </row>
    <row r="162" spans="1:38">
      <c r="A162" s="163" t="s">
        <v>115</v>
      </c>
      <c r="B162" t="s">
        <v>381</v>
      </c>
      <c r="C162" t="s">
        <v>2640</v>
      </c>
      <c r="D162" t="s">
        <v>2641</v>
      </c>
      <c r="E162" t="s">
        <v>416</v>
      </c>
      <c r="G162">
        <v>0</v>
      </c>
      <c r="H162">
        <v>0</v>
      </c>
      <c r="I162">
        <v>1.2400000000000001E-4</v>
      </c>
      <c r="J162">
        <v>2.4699999999999999E-4</v>
      </c>
      <c r="K162">
        <v>3.7100000000000002E-4</v>
      </c>
      <c r="L162">
        <v>4.9700000000000005E-4</v>
      </c>
      <c r="M162">
        <v>6.2600000000000004E-4</v>
      </c>
      <c r="N162">
        <v>7.54E-4</v>
      </c>
      <c r="O162">
        <v>8.8099999999999995E-4</v>
      </c>
      <c r="P162">
        <v>1.0059999999999999E-3</v>
      </c>
      <c r="Q162">
        <v>1.134E-3</v>
      </c>
      <c r="R162">
        <v>1.266E-3</v>
      </c>
      <c r="S162">
        <v>1.403E-3</v>
      </c>
      <c r="T162">
        <v>1.5430000000000001E-3</v>
      </c>
      <c r="U162">
        <v>1.689E-3</v>
      </c>
      <c r="V162">
        <v>1.8400000000000001E-3</v>
      </c>
      <c r="W162">
        <v>1.9970000000000001E-3</v>
      </c>
      <c r="X162">
        <v>2.1589999999999999E-3</v>
      </c>
      <c r="Y162">
        <v>2.33E-3</v>
      </c>
      <c r="Z162">
        <v>2.5089999999999999E-3</v>
      </c>
      <c r="AA162">
        <v>2.6970000000000002E-3</v>
      </c>
      <c r="AB162">
        <v>2.8969999999999998E-3</v>
      </c>
      <c r="AC162">
        <v>3.1080000000000001E-3</v>
      </c>
      <c r="AD162">
        <v>3.3279999999999998E-3</v>
      </c>
      <c r="AE162">
        <v>3.5590000000000001E-3</v>
      </c>
      <c r="AF162">
        <v>3.803E-3</v>
      </c>
      <c r="AG162">
        <v>4.0629999999999998E-3</v>
      </c>
      <c r="AH162">
        <v>4.3379999999999998E-3</v>
      </c>
      <c r="AI162">
        <v>4.6299999999999996E-3</v>
      </c>
      <c r="AJ162" t="s">
        <v>117</v>
      </c>
      <c r="AL162" s="31"/>
    </row>
    <row r="163" spans="1:38">
      <c r="A163" s="163" t="s">
        <v>115</v>
      </c>
      <c r="B163" t="s">
        <v>380</v>
      </c>
      <c r="C163" t="s">
        <v>2642</v>
      </c>
      <c r="D163" t="s">
        <v>2643</v>
      </c>
      <c r="E163" t="s">
        <v>416</v>
      </c>
      <c r="G163">
        <v>0</v>
      </c>
      <c r="H163">
        <v>0</v>
      </c>
      <c r="I163">
        <v>2.7500000000000002E-4</v>
      </c>
      <c r="J163">
        <v>5.44E-4</v>
      </c>
      <c r="K163">
        <v>8.0999999999999996E-4</v>
      </c>
      <c r="L163">
        <v>1.0790000000000001E-3</v>
      </c>
      <c r="M163">
        <v>1.348E-3</v>
      </c>
      <c r="N163">
        <v>1.6100000000000001E-3</v>
      </c>
      <c r="O163">
        <v>1.866E-3</v>
      </c>
      <c r="P163">
        <v>2.117E-3</v>
      </c>
      <c r="Q163">
        <v>2.3709999999999998E-3</v>
      </c>
      <c r="R163">
        <v>2.6310000000000001E-3</v>
      </c>
      <c r="S163">
        <v>2.8960000000000001E-3</v>
      </c>
      <c r="T163">
        <v>3.166E-3</v>
      </c>
      <c r="U163">
        <v>3.4429999999999999E-3</v>
      </c>
      <c r="V163">
        <v>3.7269999999999998E-3</v>
      </c>
      <c r="W163">
        <v>4.0179999999999999E-3</v>
      </c>
      <c r="X163">
        <v>4.3169999999999997E-3</v>
      </c>
      <c r="Y163">
        <v>4.6259999999999999E-3</v>
      </c>
      <c r="Z163">
        <v>4.9480000000000001E-3</v>
      </c>
      <c r="AA163">
        <v>5.2830000000000004E-3</v>
      </c>
      <c r="AB163">
        <v>5.6319999999999999E-3</v>
      </c>
      <c r="AC163">
        <v>5.9940000000000002E-3</v>
      </c>
      <c r="AD163">
        <v>6.3629999999999997E-3</v>
      </c>
      <c r="AE163">
        <v>6.7409999999999996E-3</v>
      </c>
      <c r="AF163">
        <v>7.1279999999999998E-3</v>
      </c>
      <c r="AG163">
        <v>7.5269999999999998E-3</v>
      </c>
      <c r="AH163">
        <v>7.9330000000000008E-3</v>
      </c>
      <c r="AI163">
        <v>8.3479999999999995E-3</v>
      </c>
      <c r="AJ163" t="s">
        <v>117</v>
      </c>
      <c r="AL163" s="31"/>
    </row>
    <row r="164" spans="1:38">
      <c r="A164" s="163" t="s">
        <v>258</v>
      </c>
      <c r="B164" t="s">
        <v>382</v>
      </c>
      <c r="C164" t="s">
        <v>2644</v>
      </c>
      <c r="D164" t="s">
        <v>2645</v>
      </c>
      <c r="E164" t="s">
        <v>416</v>
      </c>
      <c r="G164">
        <v>0</v>
      </c>
      <c r="H164">
        <v>0</v>
      </c>
      <c r="I164">
        <v>4.0999999999999999E-4</v>
      </c>
      <c r="J164">
        <v>8.1999999999999998E-4</v>
      </c>
      <c r="K164">
        <v>1.2359999999999999E-3</v>
      </c>
      <c r="L164">
        <v>1.6659999999999999E-3</v>
      </c>
      <c r="M164">
        <v>2.1020000000000001E-3</v>
      </c>
      <c r="N164">
        <v>2.5360000000000001E-3</v>
      </c>
      <c r="O164">
        <v>2.9610000000000001E-3</v>
      </c>
      <c r="P164">
        <v>3.3800000000000002E-3</v>
      </c>
      <c r="Q164">
        <v>3.7989999999999999E-3</v>
      </c>
      <c r="R164">
        <v>4.2220000000000001E-3</v>
      </c>
      <c r="S164">
        <v>4.6490000000000004E-3</v>
      </c>
      <c r="T164">
        <v>5.0800000000000003E-3</v>
      </c>
      <c r="U164">
        <v>5.5160000000000001E-3</v>
      </c>
      <c r="V164">
        <v>5.9569999999999996E-3</v>
      </c>
      <c r="W164">
        <v>6.404E-3</v>
      </c>
      <c r="X164">
        <v>6.8560000000000001E-3</v>
      </c>
      <c r="Y164">
        <v>7.3169999999999997E-3</v>
      </c>
      <c r="Z164">
        <v>7.7889999999999999E-3</v>
      </c>
      <c r="AA164">
        <v>8.2699999999999996E-3</v>
      </c>
      <c r="AB164">
        <v>8.7650000000000002E-3</v>
      </c>
      <c r="AC164">
        <v>9.2700000000000005E-3</v>
      </c>
      <c r="AD164">
        <v>9.783E-3</v>
      </c>
      <c r="AE164">
        <v>1.0307E-2</v>
      </c>
      <c r="AF164">
        <v>1.0848999999999999E-2</v>
      </c>
      <c r="AG164">
        <v>1.1415E-2</v>
      </c>
      <c r="AH164">
        <v>1.2005E-2</v>
      </c>
      <c r="AI164">
        <v>1.2626E-2</v>
      </c>
      <c r="AJ164" t="s">
        <v>117</v>
      </c>
      <c r="AL164" s="31"/>
    </row>
    <row r="165" spans="1:38">
      <c r="B165" t="s">
        <v>393</v>
      </c>
      <c r="C165" t="s">
        <v>2646</v>
      </c>
      <c r="D165" t="s">
        <v>2647</v>
      </c>
      <c r="E165" t="s">
        <v>416</v>
      </c>
      <c r="G165">
        <v>5.3033510000000001</v>
      </c>
      <c r="H165">
        <v>5.3850160000000002</v>
      </c>
      <c r="I165">
        <v>5.4670500000000004</v>
      </c>
      <c r="J165">
        <v>5.5503419999999997</v>
      </c>
      <c r="K165">
        <v>5.6377740000000003</v>
      </c>
      <c r="L165">
        <v>5.7295040000000004</v>
      </c>
      <c r="M165">
        <v>5.8180490000000002</v>
      </c>
      <c r="N165">
        <v>5.8932869999999999</v>
      </c>
      <c r="O165">
        <v>5.9566129999999999</v>
      </c>
      <c r="P165">
        <v>6.011126</v>
      </c>
      <c r="Q165">
        <v>6.0592329999999999</v>
      </c>
      <c r="R165">
        <v>6.0996160000000001</v>
      </c>
      <c r="S165">
        <v>6.1291029999999997</v>
      </c>
      <c r="T165">
        <v>6.1603370000000002</v>
      </c>
      <c r="U165">
        <v>6.1972659999999999</v>
      </c>
      <c r="V165">
        <v>6.2348379999999999</v>
      </c>
      <c r="W165">
        <v>6.2709359999999998</v>
      </c>
      <c r="X165">
        <v>6.2978690000000004</v>
      </c>
      <c r="Y165">
        <v>6.318327</v>
      </c>
      <c r="Z165">
        <v>6.3273599999999997</v>
      </c>
      <c r="AA165">
        <v>6.3469429999999996</v>
      </c>
      <c r="AB165">
        <v>6.3727369999999999</v>
      </c>
      <c r="AC165">
        <v>6.4039590000000004</v>
      </c>
      <c r="AD165">
        <v>6.4334600000000002</v>
      </c>
      <c r="AE165">
        <v>6.4537589999999998</v>
      </c>
      <c r="AF165">
        <v>6.4674019999999999</v>
      </c>
      <c r="AG165">
        <v>6.4763640000000002</v>
      </c>
      <c r="AH165">
        <v>6.476153</v>
      </c>
      <c r="AI165">
        <v>6.4670829999999997</v>
      </c>
      <c r="AJ165" s="31">
        <v>7.0000000000000001E-3</v>
      </c>
      <c r="AL165" s="31"/>
    </row>
    <row r="166" spans="1:38">
      <c r="B166" t="s">
        <v>403</v>
      </c>
      <c r="C166" t="s">
        <v>2648</v>
      </c>
      <c r="D166" t="s">
        <v>2649</v>
      </c>
      <c r="E166" t="s">
        <v>416</v>
      </c>
      <c r="G166">
        <v>13.646018</v>
      </c>
      <c r="H166">
        <v>13.95327</v>
      </c>
      <c r="I166">
        <v>14.276797999999999</v>
      </c>
      <c r="J166">
        <v>14.613163</v>
      </c>
      <c r="K166">
        <v>14.959908</v>
      </c>
      <c r="L166">
        <v>15.314479</v>
      </c>
      <c r="M166">
        <v>15.662544</v>
      </c>
      <c r="N166">
        <v>15.987280999999999</v>
      </c>
      <c r="O166">
        <v>16.291819</v>
      </c>
      <c r="P166">
        <v>16.574141999999998</v>
      </c>
      <c r="Q166">
        <v>16.849737000000001</v>
      </c>
      <c r="R166">
        <v>17.100439000000001</v>
      </c>
      <c r="S166">
        <v>17.332543999999999</v>
      </c>
      <c r="T166">
        <v>17.566399000000001</v>
      </c>
      <c r="U166">
        <v>17.811584</v>
      </c>
      <c r="V166">
        <v>18.061226000000001</v>
      </c>
      <c r="W166">
        <v>18.309864000000001</v>
      </c>
      <c r="X166">
        <v>18.546267</v>
      </c>
      <c r="Y166">
        <v>18.770368999999999</v>
      </c>
      <c r="Z166">
        <v>18.986908</v>
      </c>
      <c r="AA166">
        <v>19.213488000000002</v>
      </c>
      <c r="AB166">
        <v>19.465219000000001</v>
      </c>
      <c r="AC166">
        <v>19.735880000000002</v>
      </c>
      <c r="AD166">
        <v>19.999655000000001</v>
      </c>
      <c r="AE166">
        <v>20.24531</v>
      </c>
      <c r="AF166">
        <v>20.486383</v>
      </c>
      <c r="AG166">
        <v>20.722092</v>
      </c>
      <c r="AH166">
        <v>20.936222000000001</v>
      </c>
      <c r="AI166">
        <v>21.134900999999999</v>
      </c>
      <c r="AJ166" s="31">
        <v>1.6E-2</v>
      </c>
      <c r="AL166" s="31"/>
    </row>
    <row r="167" spans="1:38">
      <c r="B167" t="s">
        <v>215</v>
      </c>
    </row>
    <row r="168" spans="1:38">
      <c r="B168" t="s">
        <v>397</v>
      </c>
    </row>
    <row r="169" spans="1:38">
      <c r="B169" t="s">
        <v>341</v>
      </c>
    </row>
    <row r="170" spans="1:38">
      <c r="B170" t="s">
        <v>327</v>
      </c>
      <c r="C170" t="s">
        <v>2650</v>
      </c>
      <c r="D170" t="s">
        <v>2651</v>
      </c>
      <c r="E170" t="s">
        <v>413</v>
      </c>
      <c r="G170">
        <v>17.217651</v>
      </c>
      <c r="H170">
        <v>17.743234999999999</v>
      </c>
      <c r="I170">
        <v>18.596025000000001</v>
      </c>
      <c r="J170">
        <v>19.408501000000001</v>
      </c>
      <c r="K170">
        <v>19.821732999999998</v>
      </c>
      <c r="L170">
        <v>20.081854</v>
      </c>
      <c r="M170">
        <v>20.115541</v>
      </c>
      <c r="N170">
        <v>20.175732</v>
      </c>
      <c r="O170">
        <v>20.175187999999999</v>
      </c>
      <c r="P170">
        <v>20.160620000000002</v>
      </c>
      <c r="Q170">
        <v>20.126877</v>
      </c>
      <c r="R170">
        <v>20.083185</v>
      </c>
      <c r="S170">
        <v>20.045784000000001</v>
      </c>
      <c r="T170">
        <v>20.013750000000002</v>
      </c>
      <c r="U170">
        <v>19.985996</v>
      </c>
      <c r="V170">
        <v>19.962015000000001</v>
      </c>
      <c r="W170">
        <v>19.941241999999999</v>
      </c>
      <c r="X170">
        <v>19.923152999999999</v>
      </c>
      <c r="Y170">
        <v>19.907523999999999</v>
      </c>
      <c r="Z170">
        <v>19.893719000000001</v>
      </c>
      <c r="AA170">
        <v>19.881819</v>
      </c>
      <c r="AB170">
        <v>19.871511000000002</v>
      </c>
      <c r="AC170">
        <v>19.862354</v>
      </c>
      <c r="AD170">
        <v>19.854208</v>
      </c>
      <c r="AE170">
        <v>19.847239999999999</v>
      </c>
      <c r="AF170">
        <v>19.841653999999998</v>
      </c>
      <c r="AG170">
        <v>19.799841000000001</v>
      </c>
      <c r="AH170">
        <v>19.799527999999999</v>
      </c>
      <c r="AI170">
        <v>19.801586</v>
      </c>
      <c r="AJ170" s="31">
        <v>5.0000000000000001E-3</v>
      </c>
      <c r="AL170" s="31"/>
    </row>
    <row r="171" spans="1:38">
      <c r="B171" t="s">
        <v>313</v>
      </c>
      <c r="C171" t="s">
        <v>2652</v>
      </c>
      <c r="D171" t="s">
        <v>2653</v>
      </c>
      <c r="E171" t="s">
        <v>414</v>
      </c>
      <c r="G171">
        <v>12.59516</v>
      </c>
      <c r="H171">
        <v>13.424738</v>
      </c>
      <c r="I171">
        <v>13.843267000000001</v>
      </c>
      <c r="J171">
        <v>14.275459</v>
      </c>
      <c r="K171">
        <v>14.428558000000001</v>
      </c>
      <c r="L171">
        <v>14.685053</v>
      </c>
      <c r="M171">
        <v>14.690815000000001</v>
      </c>
      <c r="N171">
        <v>14.856868</v>
      </c>
      <c r="O171">
        <v>14.931994</v>
      </c>
      <c r="P171">
        <v>14.986435</v>
      </c>
      <c r="Q171">
        <v>14.919237000000001</v>
      </c>
      <c r="R171">
        <v>15.001118999999999</v>
      </c>
      <c r="S171">
        <v>15.069096999999999</v>
      </c>
      <c r="T171">
        <v>15.113496</v>
      </c>
      <c r="U171">
        <v>15.145144</v>
      </c>
      <c r="V171">
        <v>15.166649</v>
      </c>
      <c r="W171">
        <v>15.177457</v>
      </c>
      <c r="X171">
        <v>15.176923</v>
      </c>
      <c r="Y171">
        <v>15.17581</v>
      </c>
      <c r="Z171">
        <v>15.174847</v>
      </c>
      <c r="AA171">
        <v>15.174041000000001</v>
      </c>
      <c r="AB171">
        <v>15.173346</v>
      </c>
      <c r="AC171">
        <v>15.172763</v>
      </c>
      <c r="AD171">
        <v>15.172198</v>
      </c>
      <c r="AE171">
        <v>15.171754</v>
      </c>
      <c r="AF171">
        <v>15.171353999999999</v>
      </c>
      <c r="AG171">
        <v>15.171044</v>
      </c>
      <c r="AH171">
        <v>15.170722</v>
      </c>
      <c r="AI171">
        <v>15.170489999999999</v>
      </c>
      <c r="AJ171" s="31">
        <v>7.0000000000000001E-3</v>
      </c>
      <c r="AL171" s="31"/>
    </row>
    <row r="172" spans="1:38">
      <c r="B172" t="s">
        <v>308</v>
      </c>
      <c r="C172" t="s">
        <v>2654</v>
      </c>
      <c r="D172" t="s">
        <v>2655</v>
      </c>
      <c r="E172" t="s">
        <v>414</v>
      </c>
      <c r="G172">
        <v>12.370099</v>
      </c>
      <c r="H172">
        <v>12.423861</v>
      </c>
      <c r="I172">
        <v>12.630001999999999</v>
      </c>
      <c r="J172">
        <v>12.778555000000001</v>
      </c>
      <c r="K172">
        <v>12.863218</v>
      </c>
      <c r="L172">
        <v>13.019094000000001</v>
      </c>
      <c r="M172">
        <v>13.145066</v>
      </c>
      <c r="N172">
        <v>13.360619</v>
      </c>
      <c r="O172">
        <v>13.615053</v>
      </c>
      <c r="P172">
        <v>13.851718</v>
      </c>
      <c r="Q172">
        <v>14.074310000000001</v>
      </c>
      <c r="R172">
        <v>14.236444000000001</v>
      </c>
      <c r="S172">
        <v>14.328803000000001</v>
      </c>
      <c r="T172">
        <v>14.355442</v>
      </c>
      <c r="U172">
        <v>14.372279000000001</v>
      </c>
      <c r="V172">
        <v>14.372299</v>
      </c>
      <c r="W172">
        <v>14.369871</v>
      </c>
      <c r="X172">
        <v>14.368024999999999</v>
      </c>
      <c r="Y172">
        <v>14.366300000000001</v>
      </c>
      <c r="Z172">
        <v>14.365119999999999</v>
      </c>
      <c r="AA172">
        <v>14.364024000000001</v>
      </c>
      <c r="AB172">
        <v>14.363379999999999</v>
      </c>
      <c r="AC172">
        <v>14.362422</v>
      </c>
      <c r="AD172">
        <v>14.361484000000001</v>
      </c>
      <c r="AE172">
        <v>14.3536</v>
      </c>
      <c r="AF172">
        <v>14.353339</v>
      </c>
      <c r="AG172">
        <v>14.353724</v>
      </c>
      <c r="AH172">
        <v>14.355268000000001</v>
      </c>
      <c r="AI172">
        <v>14.357434</v>
      </c>
      <c r="AJ172" s="31">
        <v>5.0000000000000001E-3</v>
      </c>
      <c r="AL172" s="31"/>
    </row>
    <row r="173" spans="1:38">
      <c r="B173" t="s">
        <v>307</v>
      </c>
      <c r="C173" t="s">
        <v>2656</v>
      </c>
      <c r="D173" t="s">
        <v>2657</v>
      </c>
      <c r="E173" t="s">
        <v>414</v>
      </c>
      <c r="G173">
        <v>12.486860999999999</v>
      </c>
      <c r="H173">
        <v>12.486863</v>
      </c>
      <c r="I173">
        <v>12.48686</v>
      </c>
      <c r="J173">
        <v>12.486863</v>
      </c>
      <c r="K173">
        <v>12.486863</v>
      </c>
      <c r="L173">
        <v>12.486863</v>
      </c>
      <c r="M173">
        <v>12.486860999999999</v>
      </c>
      <c r="N173">
        <v>12.486864000000001</v>
      </c>
      <c r="O173">
        <v>12.486863</v>
      </c>
      <c r="P173">
        <v>12.486863</v>
      </c>
      <c r="Q173">
        <v>12.486863</v>
      </c>
      <c r="R173">
        <v>12.486863</v>
      </c>
      <c r="S173">
        <v>12.486860999999999</v>
      </c>
      <c r="T173">
        <v>12.486860999999999</v>
      </c>
      <c r="U173">
        <v>12.486860999999999</v>
      </c>
      <c r="V173">
        <v>12.486863</v>
      </c>
      <c r="W173">
        <v>12.48686</v>
      </c>
      <c r="X173">
        <v>12.48686</v>
      </c>
      <c r="Y173">
        <v>12.486860999999999</v>
      </c>
      <c r="Z173">
        <v>12.48686</v>
      </c>
      <c r="AA173">
        <v>12.486863</v>
      </c>
      <c r="AB173">
        <v>12.486863</v>
      </c>
      <c r="AC173">
        <v>12.486860999999999</v>
      </c>
      <c r="AD173">
        <v>12.486863</v>
      </c>
      <c r="AE173">
        <v>12.48686</v>
      </c>
      <c r="AF173">
        <v>12.486863</v>
      </c>
      <c r="AG173">
        <v>12.486860999999999</v>
      </c>
      <c r="AH173">
        <v>12.486863</v>
      </c>
      <c r="AI173">
        <v>12.486863</v>
      </c>
      <c r="AJ173" s="31">
        <v>0</v>
      </c>
      <c r="AL173" s="31"/>
    </row>
    <row r="174" spans="1:38">
      <c r="B174" t="s">
        <v>378</v>
      </c>
      <c r="C174" t="s">
        <v>2658</v>
      </c>
      <c r="D174" t="s">
        <v>2659</v>
      </c>
      <c r="E174" t="s">
        <v>414</v>
      </c>
      <c r="G174">
        <v>12.846411</v>
      </c>
      <c r="H174">
        <v>13.218121999999999</v>
      </c>
      <c r="I174">
        <v>13.627822999999999</v>
      </c>
      <c r="J174">
        <v>14.042638999999999</v>
      </c>
      <c r="K174">
        <v>14.186604000000001</v>
      </c>
      <c r="L174">
        <v>14.434004</v>
      </c>
      <c r="M174">
        <v>14.442583000000001</v>
      </c>
      <c r="N174">
        <v>14.608980000000001</v>
      </c>
      <c r="O174">
        <v>14.684302000000001</v>
      </c>
      <c r="P174">
        <v>14.735426</v>
      </c>
      <c r="Q174">
        <v>14.661357000000001</v>
      </c>
      <c r="R174">
        <v>14.739395</v>
      </c>
      <c r="S174">
        <v>14.804073000000001</v>
      </c>
      <c r="T174">
        <v>14.848421</v>
      </c>
      <c r="U174">
        <v>14.881249</v>
      </c>
      <c r="V174">
        <v>14.904825000000001</v>
      </c>
      <c r="W174">
        <v>14.916617</v>
      </c>
      <c r="X174">
        <v>14.917142</v>
      </c>
      <c r="Y174">
        <v>14.915953</v>
      </c>
      <c r="Z174">
        <v>14.915247000000001</v>
      </c>
      <c r="AA174">
        <v>14.914173</v>
      </c>
      <c r="AB174">
        <v>14.913214999999999</v>
      </c>
      <c r="AC174">
        <v>14.911542000000001</v>
      </c>
      <c r="AD174">
        <v>14.911346999999999</v>
      </c>
      <c r="AE174">
        <v>14.910938</v>
      </c>
      <c r="AF174">
        <v>14.912041</v>
      </c>
      <c r="AG174">
        <v>14.912226</v>
      </c>
      <c r="AH174">
        <v>14.913921999999999</v>
      </c>
      <c r="AI174">
        <v>14.914241000000001</v>
      </c>
      <c r="AJ174" s="31">
        <v>5.0000000000000001E-3</v>
      </c>
      <c r="AL174" s="31"/>
    </row>
    <row r="175" spans="1:38">
      <c r="B175" t="s">
        <v>379</v>
      </c>
      <c r="C175" t="s">
        <v>2660</v>
      </c>
      <c r="D175" t="s">
        <v>2661</v>
      </c>
      <c r="E175" t="s">
        <v>413</v>
      </c>
      <c r="G175">
        <v>27.219131000000001</v>
      </c>
      <c r="H175">
        <v>27.246206000000001</v>
      </c>
      <c r="I175">
        <v>27.281466000000002</v>
      </c>
      <c r="J175">
        <v>27.325966000000001</v>
      </c>
      <c r="K175">
        <v>27.380199000000001</v>
      </c>
      <c r="L175">
        <v>27.443327</v>
      </c>
      <c r="M175">
        <v>27.474117</v>
      </c>
      <c r="N175">
        <v>27.529731999999999</v>
      </c>
      <c r="O175">
        <v>27.583223</v>
      </c>
      <c r="P175">
        <v>27.632815999999998</v>
      </c>
      <c r="Q175">
        <v>27.676708000000001</v>
      </c>
      <c r="R175">
        <v>27.703455000000002</v>
      </c>
      <c r="S175">
        <v>27.712814000000002</v>
      </c>
      <c r="T175">
        <v>27.721041</v>
      </c>
      <c r="U175">
        <v>27.722708000000001</v>
      </c>
      <c r="V175">
        <v>27.722674999999999</v>
      </c>
      <c r="W175">
        <v>27.722640999999999</v>
      </c>
      <c r="X175">
        <v>27.722618000000001</v>
      </c>
      <c r="Y175">
        <v>27.722601000000001</v>
      </c>
      <c r="Z175">
        <v>27.722587999999998</v>
      </c>
      <c r="AA175">
        <v>27.722577999999999</v>
      </c>
      <c r="AB175">
        <v>27.722570000000001</v>
      </c>
      <c r="AC175">
        <v>27.722560999999999</v>
      </c>
      <c r="AD175">
        <v>27.722559</v>
      </c>
      <c r="AE175">
        <v>27.722549000000001</v>
      </c>
      <c r="AF175">
        <v>27.722548</v>
      </c>
      <c r="AG175">
        <v>27.722542000000001</v>
      </c>
      <c r="AH175">
        <v>27.722543999999999</v>
      </c>
      <c r="AI175">
        <v>27.722542000000001</v>
      </c>
      <c r="AJ175" s="31">
        <v>1E-3</v>
      </c>
      <c r="AL175" s="31"/>
    </row>
    <row r="176" spans="1:38">
      <c r="B176" t="s">
        <v>381</v>
      </c>
      <c r="C176" t="s">
        <v>2662</v>
      </c>
      <c r="D176" t="s">
        <v>2663</v>
      </c>
      <c r="E176" t="s">
        <v>413</v>
      </c>
      <c r="G176">
        <v>0</v>
      </c>
      <c r="H176">
        <v>23.149469</v>
      </c>
      <c r="I176">
        <v>23.788757</v>
      </c>
      <c r="J176">
        <v>24.201412000000001</v>
      </c>
      <c r="K176">
        <v>24.593264000000001</v>
      </c>
      <c r="L176">
        <v>25.140753</v>
      </c>
      <c r="M176">
        <v>25.620788999999998</v>
      </c>
      <c r="N176">
        <v>26.339625999999999</v>
      </c>
      <c r="O176">
        <v>27.120087000000002</v>
      </c>
      <c r="P176">
        <v>27.894962</v>
      </c>
      <c r="Q176">
        <v>28.583632999999999</v>
      </c>
      <c r="R176">
        <v>28.93169</v>
      </c>
      <c r="S176">
        <v>29.087039999999998</v>
      </c>
      <c r="T176">
        <v>29.106612999999999</v>
      </c>
      <c r="U176">
        <v>29.125404</v>
      </c>
      <c r="V176">
        <v>29.129776</v>
      </c>
      <c r="W176">
        <v>29.124500000000001</v>
      </c>
      <c r="X176">
        <v>29.119802</v>
      </c>
      <c r="Y176">
        <v>29.115503</v>
      </c>
      <c r="Z176">
        <v>29.111118000000001</v>
      </c>
      <c r="AA176">
        <v>29.106992999999999</v>
      </c>
      <c r="AB176">
        <v>29.103442999999999</v>
      </c>
      <c r="AC176">
        <v>29.100300000000001</v>
      </c>
      <c r="AD176">
        <v>29.097477000000001</v>
      </c>
      <c r="AE176">
        <v>29.095098</v>
      </c>
      <c r="AF176">
        <v>29.093209999999999</v>
      </c>
      <c r="AG176">
        <v>29.091781999999998</v>
      </c>
      <c r="AH176">
        <v>29.083096000000001</v>
      </c>
      <c r="AI176">
        <v>29.086570999999999</v>
      </c>
      <c r="AJ176" t="s">
        <v>117</v>
      </c>
      <c r="AL176" s="31"/>
    </row>
    <row r="177" spans="2:38">
      <c r="B177" t="s">
        <v>380</v>
      </c>
      <c r="C177" t="s">
        <v>2664</v>
      </c>
      <c r="D177" t="s">
        <v>2665</v>
      </c>
      <c r="E177" t="s">
        <v>414</v>
      </c>
      <c r="G177">
        <v>0</v>
      </c>
      <c r="H177">
        <v>18.959845000000001</v>
      </c>
      <c r="I177">
        <v>19.230974</v>
      </c>
      <c r="J177">
        <v>19.473016999999999</v>
      </c>
      <c r="K177">
        <v>19.562275</v>
      </c>
      <c r="L177">
        <v>19.736988</v>
      </c>
      <c r="M177">
        <v>19.864495999999999</v>
      </c>
      <c r="N177">
        <v>20.069866000000001</v>
      </c>
      <c r="O177">
        <v>20.301096000000001</v>
      </c>
      <c r="P177">
        <v>20.525687999999999</v>
      </c>
      <c r="Q177">
        <v>20.728285</v>
      </c>
      <c r="R177">
        <v>20.866682000000001</v>
      </c>
      <c r="S177">
        <v>20.968336000000001</v>
      </c>
      <c r="T177">
        <v>21.002409</v>
      </c>
      <c r="U177">
        <v>21.046901999999999</v>
      </c>
      <c r="V177">
        <v>21.067965999999998</v>
      </c>
      <c r="W177">
        <v>21.064533000000001</v>
      </c>
      <c r="X177">
        <v>21.062408000000001</v>
      </c>
      <c r="Y177">
        <v>21.060576999999999</v>
      </c>
      <c r="Z177">
        <v>21.057089000000001</v>
      </c>
      <c r="AA177">
        <v>21.059256000000001</v>
      </c>
      <c r="AB177">
        <v>21.063654</v>
      </c>
      <c r="AC177">
        <v>21.017776000000001</v>
      </c>
      <c r="AD177">
        <v>21.046399999999998</v>
      </c>
      <c r="AE177">
        <v>21.070132999999998</v>
      </c>
      <c r="AF177">
        <v>21.104872</v>
      </c>
      <c r="AG177">
        <v>21.148212000000001</v>
      </c>
      <c r="AH177">
        <v>21.199916999999999</v>
      </c>
      <c r="AI177">
        <v>21.257977</v>
      </c>
      <c r="AJ177" t="s">
        <v>117</v>
      </c>
      <c r="AL177" s="31"/>
    </row>
    <row r="178" spans="2:38">
      <c r="B178" t="s">
        <v>382</v>
      </c>
      <c r="C178" t="s">
        <v>2666</v>
      </c>
      <c r="D178" t="s">
        <v>2667</v>
      </c>
      <c r="E178" t="s">
        <v>413</v>
      </c>
      <c r="G178">
        <v>0</v>
      </c>
      <c r="H178">
        <v>0</v>
      </c>
      <c r="I178">
        <v>18.589186000000002</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t="s">
        <v>117</v>
      </c>
      <c r="AL178" s="31"/>
    </row>
    <row r="179" spans="2:38">
      <c r="B179" t="s">
        <v>398</v>
      </c>
      <c r="C179" t="s">
        <v>2668</v>
      </c>
      <c r="D179" t="s">
        <v>2669</v>
      </c>
      <c r="G179">
        <v>15.487391000000001</v>
      </c>
      <c r="H179">
        <v>16.165934</v>
      </c>
      <c r="I179">
        <v>16.852744999999999</v>
      </c>
      <c r="J179">
        <v>17.521813999999999</v>
      </c>
      <c r="K179">
        <v>17.836521000000001</v>
      </c>
      <c r="L179">
        <v>18.110120999999999</v>
      </c>
      <c r="M179">
        <v>18.140739</v>
      </c>
      <c r="N179">
        <v>18.257238000000001</v>
      </c>
      <c r="O179">
        <v>18.297186</v>
      </c>
      <c r="P179">
        <v>18.318868999999999</v>
      </c>
      <c r="Q179">
        <v>18.275967000000001</v>
      </c>
      <c r="R179">
        <v>18.290842000000001</v>
      </c>
      <c r="S179">
        <v>18.302257999999998</v>
      </c>
      <c r="T179">
        <v>18.305890999999999</v>
      </c>
      <c r="U179">
        <v>18.306034</v>
      </c>
      <c r="V179">
        <v>18.303612000000001</v>
      </c>
      <c r="W179">
        <v>18.298258000000001</v>
      </c>
      <c r="X179">
        <v>18.289453999999999</v>
      </c>
      <c r="Y179">
        <v>18.281590000000001</v>
      </c>
      <c r="Z179">
        <v>18.27459</v>
      </c>
      <c r="AA179">
        <v>18.26857</v>
      </c>
      <c r="AB179">
        <v>18.263286999999998</v>
      </c>
      <c r="AC179">
        <v>18.258537</v>
      </c>
      <c r="AD179">
        <v>18.25423</v>
      </c>
      <c r="AE179">
        <v>18.250519000000001</v>
      </c>
      <c r="AF179">
        <v>18.247578000000001</v>
      </c>
      <c r="AG179">
        <v>18.222587999999998</v>
      </c>
      <c r="AH179">
        <v>18.222778000000002</v>
      </c>
      <c r="AI179">
        <v>18.224402999999999</v>
      </c>
      <c r="AJ179" s="31">
        <v>6.0000000000000001E-3</v>
      </c>
      <c r="AL179" s="31"/>
    </row>
    <row r="180" spans="2:38">
      <c r="B180" t="s">
        <v>342</v>
      </c>
    </row>
    <row r="181" spans="2:38">
      <c r="B181" t="s">
        <v>327</v>
      </c>
      <c r="C181" t="s">
        <v>2670</v>
      </c>
      <c r="D181" t="s">
        <v>2671</v>
      </c>
      <c r="E181" t="s">
        <v>413</v>
      </c>
      <c r="G181">
        <v>10.573097000000001</v>
      </c>
      <c r="H181">
        <v>11.142485000000001</v>
      </c>
      <c r="I181">
        <v>11.550504999999999</v>
      </c>
      <c r="J181">
        <v>11.977176</v>
      </c>
      <c r="K181">
        <v>12.42301</v>
      </c>
      <c r="L181">
        <v>12.830263</v>
      </c>
      <c r="M181">
        <v>12.987424000000001</v>
      </c>
      <c r="N181">
        <v>13.305011</v>
      </c>
      <c r="O181">
        <v>13.589658</v>
      </c>
      <c r="P181">
        <v>13.852079</v>
      </c>
      <c r="Q181">
        <v>13.977544999999999</v>
      </c>
      <c r="R181">
        <v>13.952327</v>
      </c>
      <c r="S181">
        <v>13.932137000000001</v>
      </c>
      <c r="T181">
        <v>13.905892</v>
      </c>
      <c r="U181">
        <v>13.899329</v>
      </c>
      <c r="V181">
        <v>13.892861</v>
      </c>
      <c r="W181">
        <v>13.886645</v>
      </c>
      <c r="X181">
        <v>13.880846999999999</v>
      </c>
      <c r="Y181">
        <v>13.875050999999999</v>
      </c>
      <c r="Z181">
        <v>13.869313</v>
      </c>
      <c r="AA181">
        <v>13.864424</v>
      </c>
      <c r="AB181">
        <v>13.860239</v>
      </c>
      <c r="AC181">
        <v>13.8566</v>
      </c>
      <c r="AD181">
        <v>13.853432</v>
      </c>
      <c r="AE181">
        <v>13.850702</v>
      </c>
      <c r="AF181">
        <v>13.848376999999999</v>
      </c>
      <c r="AG181">
        <v>13.846394</v>
      </c>
      <c r="AH181">
        <v>13.844652999999999</v>
      </c>
      <c r="AI181">
        <v>13.843116999999999</v>
      </c>
      <c r="AJ181" s="31">
        <v>0.01</v>
      </c>
      <c r="AL181" s="31"/>
    </row>
    <row r="182" spans="2:38">
      <c r="B182" t="s">
        <v>313</v>
      </c>
      <c r="C182" t="s">
        <v>2672</v>
      </c>
      <c r="D182" t="s">
        <v>2673</v>
      </c>
      <c r="E182" t="s">
        <v>414</v>
      </c>
      <c r="G182">
        <v>7.5911910000000002</v>
      </c>
      <c r="H182">
        <v>7.6611630000000002</v>
      </c>
      <c r="I182">
        <v>7.8782069999999997</v>
      </c>
      <c r="J182">
        <v>8.1282580000000006</v>
      </c>
      <c r="K182">
        <v>8.4002669999999995</v>
      </c>
      <c r="L182">
        <v>8.6649030000000007</v>
      </c>
      <c r="M182">
        <v>8.7525060000000003</v>
      </c>
      <c r="N182">
        <v>8.9603819999999992</v>
      </c>
      <c r="O182">
        <v>9.1422589999999992</v>
      </c>
      <c r="P182">
        <v>9.3097940000000001</v>
      </c>
      <c r="Q182">
        <v>9.4206289999999999</v>
      </c>
      <c r="R182">
        <v>9.4643309999999996</v>
      </c>
      <c r="S182">
        <v>9.4966589999999993</v>
      </c>
      <c r="T182">
        <v>9.5174789999999998</v>
      </c>
      <c r="U182">
        <v>9.5179650000000002</v>
      </c>
      <c r="V182">
        <v>9.5173430000000003</v>
      </c>
      <c r="W182">
        <v>9.5168689999999998</v>
      </c>
      <c r="X182">
        <v>9.5165019999999991</v>
      </c>
      <c r="Y182">
        <v>9.5162209999999998</v>
      </c>
      <c r="Z182">
        <v>9.516</v>
      </c>
      <c r="AA182">
        <v>9.5158260000000006</v>
      </c>
      <c r="AB182">
        <v>9.5156919999999996</v>
      </c>
      <c r="AC182">
        <v>9.5155860000000008</v>
      </c>
      <c r="AD182">
        <v>9.5155010000000004</v>
      </c>
      <c r="AE182">
        <v>9.5154379999999996</v>
      </c>
      <c r="AF182">
        <v>9.51539</v>
      </c>
      <c r="AG182">
        <v>9.5153510000000008</v>
      </c>
      <c r="AH182">
        <v>9.5153219999999994</v>
      </c>
      <c r="AI182">
        <v>9.5152990000000006</v>
      </c>
      <c r="AJ182" s="31">
        <v>8.0000000000000002E-3</v>
      </c>
      <c r="AL182" s="31"/>
    </row>
    <row r="183" spans="2:38">
      <c r="B183" t="s">
        <v>308</v>
      </c>
      <c r="C183" t="s">
        <v>2674</v>
      </c>
      <c r="D183" t="s">
        <v>2675</v>
      </c>
      <c r="E183" t="s">
        <v>414</v>
      </c>
      <c r="G183">
        <v>7.1242470000000004</v>
      </c>
      <c r="H183">
        <v>7.2168130000000001</v>
      </c>
      <c r="I183">
        <v>7.3563900000000002</v>
      </c>
      <c r="J183">
        <v>7.5275650000000001</v>
      </c>
      <c r="K183">
        <v>7.7367249999999999</v>
      </c>
      <c r="L183">
        <v>7.9800310000000003</v>
      </c>
      <c r="M183">
        <v>8.1323980000000002</v>
      </c>
      <c r="N183">
        <v>8.3864009999999993</v>
      </c>
      <c r="O183">
        <v>8.6378269999999997</v>
      </c>
      <c r="P183">
        <v>8.8904259999999997</v>
      </c>
      <c r="Q183">
        <v>9.1115209999999998</v>
      </c>
      <c r="R183">
        <v>9.2799289999999992</v>
      </c>
      <c r="S183">
        <v>9.3770019999999992</v>
      </c>
      <c r="T183">
        <v>9.4107590000000005</v>
      </c>
      <c r="U183">
        <v>9.4246560000000006</v>
      </c>
      <c r="V183">
        <v>9.4245020000000004</v>
      </c>
      <c r="W183">
        <v>9.4241159999999997</v>
      </c>
      <c r="X183">
        <v>9.4238</v>
      </c>
      <c r="Y183">
        <v>9.4235679999999995</v>
      </c>
      <c r="Z183">
        <v>9.4233779999999996</v>
      </c>
      <c r="AA183">
        <v>9.4232479999999992</v>
      </c>
      <c r="AB183">
        <v>9.4231280000000002</v>
      </c>
      <c r="AC183">
        <v>9.4230619999999998</v>
      </c>
      <c r="AD183">
        <v>9.423019</v>
      </c>
      <c r="AE183">
        <v>9.4229979999999998</v>
      </c>
      <c r="AF183">
        <v>9.4229979999999998</v>
      </c>
      <c r="AG183">
        <v>9.4230040000000006</v>
      </c>
      <c r="AH183">
        <v>9.4230070000000001</v>
      </c>
      <c r="AI183">
        <v>9.4230029999999996</v>
      </c>
      <c r="AJ183" s="31">
        <v>0.01</v>
      </c>
      <c r="AL183" s="31"/>
    </row>
    <row r="184" spans="2:38">
      <c r="B184" t="s">
        <v>307</v>
      </c>
      <c r="C184" t="s">
        <v>2676</v>
      </c>
      <c r="D184" t="s">
        <v>2677</v>
      </c>
      <c r="E184" t="s">
        <v>414</v>
      </c>
      <c r="G184">
        <v>7.292211</v>
      </c>
      <c r="H184">
        <v>7.4884079999999997</v>
      </c>
      <c r="I184">
        <v>7.6983680000000003</v>
      </c>
      <c r="J184">
        <v>7.9397979999999997</v>
      </c>
      <c r="K184">
        <v>8.1937759999999997</v>
      </c>
      <c r="L184">
        <v>8.4428420000000006</v>
      </c>
      <c r="M184">
        <v>8.5494730000000008</v>
      </c>
      <c r="N184">
        <v>8.7347490000000008</v>
      </c>
      <c r="O184">
        <v>8.8995069999999998</v>
      </c>
      <c r="P184">
        <v>9.0537989999999997</v>
      </c>
      <c r="Q184">
        <v>9.1548890000000007</v>
      </c>
      <c r="R184">
        <v>9.1676400000000005</v>
      </c>
      <c r="S184">
        <v>9.1625399999999999</v>
      </c>
      <c r="T184">
        <v>9.1586540000000003</v>
      </c>
      <c r="U184">
        <v>9.1556639999999998</v>
      </c>
      <c r="V184">
        <v>9.1533379999999998</v>
      </c>
      <c r="W184">
        <v>9.1515199999999997</v>
      </c>
      <c r="X184">
        <v>9.1500839999999997</v>
      </c>
      <c r="Y184">
        <v>9.1489410000000007</v>
      </c>
      <c r="Z184">
        <v>9.1480250000000005</v>
      </c>
      <c r="AA184">
        <v>9.1472890000000007</v>
      </c>
      <c r="AB184">
        <v>9.1466879999999993</v>
      </c>
      <c r="AC184">
        <v>9.1461900000000007</v>
      </c>
      <c r="AD184">
        <v>9.1457750000000004</v>
      </c>
      <c r="AE184">
        <v>9.1454409999999999</v>
      </c>
      <c r="AF184">
        <v>9.1451709999999995</v>
      </c>
      <c r="AG184">
        <v>9.1449479999999994</v>
      </c>
      <c r="AH184">
        <v>9.1447570000000002</v>
      </c>
      <c r="AI184">
        <v>9.1445919999999994</v>
      </c>
      <c r="AJ184" s="31">
        <v>8.0000000000000002E-3</v>
      </c>
      <c r="AL184" s="31"/>
    </row>
    <row r="185" spans="2:38">
      <c r="B185" t="s">
        <v>378</v>
      </c>
      <c r="C185" t="s">
        <v>2678</v>
      </c>
      <c r="D185" t="s">
        <v>2679</v>
      </c>
      <c r="E185" t="s">
        <v>415</v>
      </c>
      <c r="G185">
        <v>7.268243</v>
      </c>
      <c r="H185">
        <v>7.4635480000000003</v>
      </c>
      <c r="I185">
        <v>7.6750480000000003</v>
      </c>
      <c r="J185">
        <v>7.9198219999999999</v>
      </c>
      <c r="K185">
        <v>8.185416</v>
      </c>
      <c r="L185">
        <v>8.4430309999999995</v>
      </c>
      <c r="M185">
        <v>8.5276650000000007</v>
      </c>
      <c r="N185">
        <v>8.7294079999999994</v>
      </c>
      <c r="O185">
        <v>8.9058630000000001</v>
      </c>
      <c r="P185">
        <v>9.0684369999999994</v>
      </c>
      <c r="Q185">
        <v>9.1760070000000002</v>
      </c>
      <c r="R185">
        <v>9.2184139999999992</v>
      </c>
      <c r="S185">
        <v>9.2498050000000003</v>
      </c>
      <c r="T185">
        <v>9.2703319999999998</v>
      </c>
      <c r="U185">
        <v>9.2718019999999992</v>
      </c>
      <c r="V185">
        <v>9.2710109999999997</v>
      </c>
      <c r="W185">
        <v>9.2704079999999998</v>
      </c>
      <c r="X185">
        <v>9.269933</v>
      </c>
      <c r="Y185">
        <v>9.2696070000000006</v>
      </c>
      <c r="Z185">
        <v>9.2693589999999997</v>
      </c>
      <c r="AA185">
        <v>9.2692110000000003</v>
      </c>
      <c r="AB185">
        <v>9.2690979999999996</v>
      </c>
      <c r="AC185">
        <v>9.2690529999999995</v>
      </c>
      <c r="AD185">
        <v>9.2689599999999999</v>
      </c>
      <c r="AE185">
        <v>9.2688970000000008</v>
      </c>
      <c r="AF185">
        <v>9.2687869999999997</v>
      </c>
      <c r="AG185">
        <v>9.2687290000000004</v>
      </c>
      <c r="AH185">
        <v>9.2686460000000004</v>
      </c>
      <c r="AI185">
        <v>9.2686039999999998</v>
      </c>
      <c r="AJ185" s="31">
        <v>8.9999999999999993E-3</v>
      </c>
      <c r="AL185" s="31"/>
    </row>
    <row r="186" spans="2:38">
      <c r="B186" t="s">
        <v>379</v>
      </c>
      <c r="C186" t="s">
        <v>2680</v>
      </c>
      <c r="D186" t="s">
        <v>2681</v>
      </c>
      <c r="E186" t="s">
        <v>414</v>
      </c>
      <c r="G186">
        <v>17.261649999999999</v>
      </c>
      <c r="H186">
        <v>17.508261000000001</v>
      </c>
      <c r="I186">
        <v>17.854417999999999</v>
      </c>
      <c r="J186">
        <v>18.277363000000001</v>
      </c>
      <c r="K186">
        <v>18.790918000000001</v>
      </c>
      <c r="L186">
        <v>19.316697999999999</v>
      </c>
      <c r="M186">
        <v>19.565182</v>
      </c>
      <c r="N186">
        <v>20.084275999999999</v>
      </c>
      <c r="O186">
        <v>20.588906999999999</v>
      </c>
      <c r="P186">
        <v>21.061657</v>
      </c>
      <c r="Q186">
        <v>21.391763999999998</v>
      </c>
      <c r="R186">
        <v>21.534663999999999</v>
      </c>
      <c r="S186">
        <v>21.618568</v>
      </c>
      <c r="T186">
        <v>21.688912999999999</v>
      </c>
      <c r="U186">
        <v>21.743261</v>
      </c>
      <c r="V186">
        <v>21.778696</v>
      </c>
      <c r="W186">
        <v>21.801825000000001</v>
      </c>
      <c r="X186">
        <v>21.804839999999999</v>
      </c>
      <c r="Y186">
        <v>21.806774000000001</v>
      </c>
      <c r="Z186">
        <v>21.808716</v>
      </c>
      <c r="AA186">
        <v>21.810666999999999</v>
      </c>
      <c r="AB186">
        <v>21.812643000000001</v>
      </c>
      <c r="AC186">
        <v>21.814662999999999</v>
      </c>
      <c r="AD186">
        <v>21.816706</v>
      </c>
      <c r="AE186">
        <v>21.818787</v>
      </c>
      <c r="AF186">
        <v>21.821026</v>
      </c>
      <c r="AG186">
        <v>21.823440999999999</v>
      </c>
      <c r="AH186">
        <v>21.825979</v>
      </c>
      <c r="AI186">
        <v>21.828533</v>
      </c>
      <c r="AJ186" s="31">
        <v>8.0000000000000002E-3</v>
      </c>
      <c r="AL186" s="31"/>
    </row>
    <row r="187" spans="2:38">
      <c r="B187" t="s">
        <v>381</v>
      </c>
      <c r="C187" t="s">
        <v>2682</v>
      </c>
      <c r="D187" t="s">
        <v>2683</v>
      </c>
      <c r="E187" t="s">
        <v>414</v>
      </c>
      <c r="G187">
        <v>0</v>
      </c>
      <c r="H187">
        <v>0</v>
      </c>
      <c r="I187">
        <v>14.553951</v>
      </c>
      <c r="J187">
        <v>15.06725</v>
      </c>
      <c r="K187">
        <v>15.341901</v>
      </c>
      <c r="L187">
        <v>15.710222999999999</v>
      </c>
      <c r="M187">
        <v>15.970879</v>
      </c>
      <c r="N187">
        <v>16.342666999999999</v>
      </c>
      <c r="O187">
        <v>16.697527000000001</v>
      </c>
      <c r="P187">
        <v>17.096664000000001</v>
      </c>
      <c r="Q187">
        <v>17.514284</v>
      </c>
      <c r="R187">
        <v>17.923280999999999</v>
      </c>
      <c r="S187">
        <v>18.248905000000001</v>
      </c>
      <c r="T187">
        <v>18.335930000000001</v>
      </c>
      <c r="U187">
        <v>18.547796000000002</v>
      </c>
      <c r="V187">
        <v>18.661673</v>
      </c>
      <c r="W187">
        <v>18.668140000000001</v>
      </c>
      <c r="X187">
        <v>18.668623</v>
      </c>
      <c r="Y187">
        <v>18.665022</v>
      </c>
      <c r="Z187">
        <v>18.661655</v>
      </c>
      <c r="AA187">
        <v>18.658579</v>
      </c>
      <c r="AB187">
        <v>18.654143999999999</v>
      </c>
      <c r="AC187">
        <v>18.648935000000002</v>
      </c>
      <c r="AD187">
        <v>18.644413</v>
      </c>
      <c r="AE187">
        <v>18.640536999999998</v>
      </c>
      <c r="AF187">
        <v>18.637250999999999</v>
      </c>
      <c r="AG187">
        <v>18.63447</v>
      </c>
      <c r="AH187">
        <v>18.632059000000002</v>
      </c>
      <c r="AI187">
        <v>18.629958999999999</v>
      </c>
      <c r="AJ187" t="s">
        <v>117</v>
      </c>
      <c r="AL187" s="31"/>
    </row>
    <row r="188" spans="2:38">
      <c r="B188" t="s">
        <v>380</v>
      </c>
      <c r="C188" t="s">
        <v>2684</v>
      </c>
      <c r="D188" t="s">
        <v>2685</v>
      </c>
      <c r="E188" t="s">
        <v>414</v>
      </c>
      <c r="G188">
        <v>0</v>
      </c>
      <c r="H188">
        <v>0</v>
      </c>
      <c r="I188">
        <v>10.500607</v>
      </c>
      <c r="J188">
        <v>10.816065</v>
      </c>
      <c r="K188">
        <v>10.962262000000001</v>
      </c>
      <c r="L188">
        <v>11.156472000000001</v>
      </c>
      <c r="M188">
        <v>11.301285999999999</v>
      </c>
      <c r="N188">
        <v>11.561089000000001</v>
      </c>
      <c r="O188">
        <v>11.822108999999999</v>
      </c>
      <c r="P188">
        <v>12.112679</v>
      </c>
      <c r="Q188">
        <v>12.419242000000001</v>
      </c>
      <c r="R188">
        <v>12.713984999999999</v>
      </c>
      <c r="S188">
        <v>12.972481999999999</v>
      </c>
      <c r="T188">
        <v>13.026942</v>
      </c>
      <c r="U188">
        <v>13.184941</v>
      </c>
      <c r="V188">
        <v>13.26976</v>
      </c>
      <c r="W188">
        <v>13.268578</v>
      </c>
      <c r="X188">
        <v>13.262771000000001</v>
      </c>
      <c r="Y188">
        <v>13.254457</v>
      </c>
      <c r="Z188">
        <v>13.247040999999999</v>
      </c>
      <c r="AA188">
        <v>13.24062</v>
      </c>
      <c r="AB188">
        <v>13.234921999999999</v>
      </c>
      <c r="AC188">
        <v>13.230038</v>
      </c>
      <c r="AD188">
        <v>13.225935</v>
      </c>
      <c r="AE188">
        <v>13.222815000000001</v>
      </c>
      <c r="AF188">
        <v>13.220615</v>
      </c>
      <c r="AG188">
        <v>13.219594000000001</v>
      </c>
      <c r="AH188">
        <v>13.219208999999999</v>
      </c>
      <c r="AI188">
        <v>13.183807</v>
      </c>
      <c r="AJ188" t="s">
        <v>117</v>
      </c>
      <c r="AL188" s="31"/>
    </row>
    <row r="189" spans="2:38">
      <c r="B189" t="s">
        <v>382</v>
      </c>
      <c r="C189" t="s">
        <v>2686</v>
      </c>
      <c r="D189" t="s">
        <v>2687</v>
      </c>
      <c r="E189" t="s">
        <v>414</v>
      </c>
      <c r="G189">
        <v>0</v>
      </c>
      <c r="H189">
        <v>0</v>
      </c>
      <c r="I189">
        <v>11.516576000000001</v>
      </c>
      <c r="J189">
        <v>11.5169</v>
      </c>
      <c r="K189">
        <v>11.51685</v>
      </c>
      <c r="L189">
        <v>11.516837000000001</v>
      </c>
      <c r="M189">
        <v>11.516859</v>
      </c>
      <c r="N189">
        <v>11.51688</v>
      </c>
      <c r="O189">
        <v>11.516907</v>
      </c>
      <c r="P189">
        <v>11.516935</v>
      </c>
      <c r="Q189">
        <v>11.516961999999999</v>
      </c>
      <c r="R189">
        <v>11.516977000000001</v>
      </c>
      <c r="S189">
        <v>11.516978999999999</v>
      </c>
      <c r="T189">
        <v>11.51695</v>
      </c>
      <c r="U189">
        <v>11.51689</v>
      </c>
      <c r="V189">
        <v>11.516907</v>
      </c>
      <c r="W189">
        <v>11.516923999999999</v>
      </c>
      <c r="X189">
        <v>11.516938</v>
      </c>
      <c r="Y189">
        <v>11.516947999999999</v>
      </c>
      <c r="Z189">
        <v>11.516954999999999</v>
      </c>
      <c r="AA189">
        <v>11.516959999999999</v>
      </c>
      <c r="AB189">
        <v>11.516964</v>
      </c>
      <c r="AC189">
        <v>11.516964</v>
      </c>
      <c r="AD189">
        <v>11.516968</v>
      </c>
      <c r="AE189">
        <v>11.516969</v>
      </c>
      <c r="AF189">
        <v>11.516973</v>
      </c>
      <c r="AG189">
        <v>11.516973999999999</v>
      </c>
      <c r="AH189">
        <v>11.516978</v>
      </c>
      <c r="AI189">
        <v>11.516980999999999</v>
      </c>
      <c r="AJ189" t="s">
        <v>117</v>
      </c>
      <c r="AL189" s="31"/>
    </row>
    <row r="190" spans="2:38">
      <c r="B190" t="s">
        <v>399</v>
      </c>
      <c r="C190" t="s">
        <v>2688</v>
      </c>
      <c r="D190" t="s">
        <v>2689</v>
      </c>
      <c r="G190">
        <v>9.5247820000000001</v>
      </c>
      <c r="H190">
        <v>9.8885430000000003</v>
      </c>
      <c r="I190">
        <v>10.224921</v>
      </c>
      <c r="J190">
        <v>10.587244999999999</v>
      </c>
      <c r="K190">
        <v>10.97054</v>
      </c>
      <c r="L190">
        <v>11.328587000000001</v>
      </c>
      <c r="M190">
        <v>11.461983</v>
      </c>
      <c r="N190">
        <v>11.742497999999999</v>
      </c>
      <c r="O190">
        <v>11.992036000000001</v>
      </c>
      <c r="P190">
        <v>12.222080999999999</v>
      </c>
      <c r="Q190">
        <v>12.347753000000001</v>
      </c>
      <c r="R190">
        <v>12.356037000000001</v>
      </c>
      <c r="S190">
        <v>12.361373</v>
      </c>
      <c r="T190">
        <v>12.357457</v>
      </c>
      <c r="U190">
        <v>12.355285</v>
      </c>
      <c r="V190">
        <v>12.352421</v>
      </c>
      <c r="W190">
        <v>12.349617</v>
      </c>
      <c r="X190">
        <v>12.34694</v>
      </c>
      <c r="Y190">
        <v>12.344196</v>
      </c>
      <c r="Z190">
        <v>12.341397000000001</v>
      </c>
      <c r="AA190">
        <v>12.33905</v>
      </c>
      <c r="AB190">
        <v>12.337028</v>
      </c>
      <c r="AC190">
        <v>12.335281999999999</v>
      </c>
      <c r="AD190">
        <v>12.333774</v>
      </c>
      <c r="AE190">
        <v>12.332497999999999</v>
      </c>
      <c r="AF190">
        <v>12.33145</v>
      </c>
      <c r="AG190">
        <v>12.330605</v>
      </c>
      <c r="AH190">
        <v>12.329912999999999</v>
      </c>
      <c r="AI190">
        <v>12.329328</v>
      </c>
      <c r="AJ190" s="31">
        <v>8.9999999999999993E-3</v>
      </c>
      <c r="AL190" s="31"/>
    </row>
    <row r="191" spans="2:38">
      <c r="B191" t="s">
        <v>392</v>
      </c>
    </row>
    <row r="192" spans="2:38">
      <c r="B192" t="s">
        <v>327</v>
      </c>
      <c r="C192" t="s">
        <v>2690</v>
      </c>
      <c r="D192" t="s">
        <v>2691</v>
      </c>
      <c r="E192" t="s">
        <v>413</v>
      </c>
      <c r="G192">
        <v>6.6741390000000003</v>
      </c>
      <c r="H192">
        <v>6.8852849999999997</v>
      </c>
      <c r="I192">
        <v>7.1006530000000003</v>
      </c>
      <c r="J192">
        <v>7.3028760000000004</v>
      </c>
      <c r="K192">
        <v>7.4948119999999996</v>
      </c>
      <c r="L192">
        <v>7.663227</v>
      </c>
      <c r="M192">
        <v>7.7350300000000001</v>
      </c>
      <c r="N192">
        <v>7.8437489999999999</v>
      </c>
      <c r="O192">
        <v>7.9559100000000003</v>
      </c>
      <c r="P192">
        <v>8.0614980000000003</v>
      </c>
      <c r="Q192">
        <v>8.1245209999999997</v>
      </c>
      <c r="R192">
        <v>8.1302219999999998</v>
      </c>
      <c r="S192">
        <v>8.1312309999999997</v>
      </c>
      <c r="T192">
        <v>8.1314919999999997</v>
      </c>
      <c r="U192">
        <v>8.1320390000000007</v>
      </c>
      <c r="V192">
        <v>8.132225</v>
      </c>
      <c r="W192">
        <v>8.1321949999999994</v>
      </c>
      <c r="X192">
        <v>8.1307700000000001</v>
      </c>
      <c r="Y192">
        <v>8.1306799999999999</v>
      </c>
      <c r="Z192">
        <v>8.1299430000000008</v>
      </c>
      <c r="AA192">
        <v>8.1248360000000002</v>
      </c>
      <c r="AB192">
        <v>8.1218679999999992</v>
      </c>
      <c r="AC192">
        <v>8.1227850000000004</v>
      </c>
      <c r="AD192">
        <v>8.1243200000000009</v>
      </c>
      <c r="AE192">
        <v>8.1272590000000005</v>
      </c>
      <c r="AF192">
        <v>8.1302529999999997</v>
      </c>
      <c r="AG192">
        <v>8.1340679999999992</v>
      </c>
      <c r="AH192">
        <v>8.1372649999999993</v>
      </c>
      <c r="AI192">
        <v>8.1407100000000003</v>
      </c>
      <c r="AJ192" s="31">
        <v>7.0000000000000001E-3</v>
      </c>
      <c r="AL192" s="31"/>
    </row>
    <row r="193" spans="2:38">
      <c r="B193" t="s">
        <v>313</v>
      </c>
      <c r="C193" t="s">
        <v>2692</v>
      </c>
      <c r="D193" t="s">
        <v>2693</v>
      </c>
      <c r="E193" t="s">
        <v>414</v>
      </c>
      <c r="G193">
        <v>6.9596289999999996</v>
      </c>
      <c r="H193">
        <v>5.9529370000000004</v>
      </c>
      <c r="I193">
        <v>6.0073610000000004</v>
      </c>
      <c r="J193">
        <v>6.0720479999999997</v>
      </c>
      <c r="K193">
        <v>6.1373980000000001</v>
      </c>
      <c r="L193">
        <v>6.2228519999999996</v>
      </c>
      <c r="M193">
        <v>6.2788729999999999</v>
      </c>
      <c r="N193">
        <v>6.3708169999999997</v>
      </c>
      <c r="O193">
        <v>6.4585290000000004</v>
      </c>
      <c r="P193">
        <v>6.5475839999999996</v>
      </c>
      <c r="Q193">
        <v>6.6296109999999997</v>
      </c>
      <c r="R193">
        <v>6.6995250000000004</v>
      </c>
      <c r="S193">
        <v>6.7108980000000003</v>
      </c>
      <c r="T193">
        <v>6.7106630000000003</v>
      </c>
      <c r="U193">
        <v>6.7066330000000001</v>
      </c>
      <c r="V193">
        <v>6.7053219999999998</v>
      </c>
      <c r="W193">
        <v>6.7082680000000003</v>
      </c>
      <c r="X193">
        <v>6.711773</v>
      </c>
      <c r="Y193">
        <v>6.7035689999999999</v>
      </c>
      <c r="Z193">
        <v>6.7096999999999998</v>
      </c>
      <c r="AA193">
        <v>6.7159459999999997</v>
      </c>
      <c r="AB193">
        <v>6.7233270000000003</v>
      </c>
      <c r="AC193">
        <v>6.7327940000000002</v>
      </c>
      <c r="AD193">
        <v>6.7314930000000004</v>
      </c>
      <c r="AE193">
        <v>6.7413860000000003</v>
      </c>
      <c r="AF193">
        <v>6.7536569999999996</v>
      </c>
      <c r="AG193">
        <v>6.7673569999999996</v>
      </c>
      <c r="AH193">
        <v>6.7780480000000001</v>
      </c>
      <c r="AI193">
        <v>6.7935040000000004</v>
      </c>
      <c r="AJ193" s="31">
        <v>-1E-3</v>
      </c>
      <c r="AL193" s="31"/>
    </row>
    <row r="194" spans="2:38">
      <c r="B194" t="s">
        <v>308</v>
      </c>
      <c r="C194" t="s">
        <v>2694</v>
      </c>
      <c r="D194" t="s">
        <v>2695</v>
      </c>
      <c r="E194" t="s">
        <v>414</v>
      </c>
      <c r="G194">
        <v>6.8185469999999997</v>
      </c>
      <c r="H194">
        <v>5.9032249999999999</v>
      </c>
      <c r="I194">
        <v>5.9652900000000004</v>
      </c>
      <c r="J194">
        <v>6.0359860000000003</v>
      </c>
      <c r="K194">
        <v>6.1126189999999996</v>
      </c>
      <c r="L194">
        <v>6.2137469999999997</v>
      </c>
      <c r="M194">
        <v>6.279903</v>
      </c>
      <c r="N194">
        <v>6.3897709999999996</v>
      </c>
      <c r="O194">
        <v>6.5028079999999999</v>
      </c>
      <c r="P194">
        <v>6.6191000000000004</v>
      </c>
      <c r="Q194">
        <v>6.7335399999999996</v>
      </c>
      <c r="R194">
        <v>6.8337839999999996</v>
      </c>
      <c r="S194">
        <v>6.8738299999999999</v>
      </c>
      <c r="T194">
        <v>6.8977680000000001</v>
      </c>
      <c r="U194">
        <v>6.9141079999999997</v>
      </c>
      <c r="V194">
        <v>6.9316990000000001</v>
      </c>
      <c r="W194">
        <v>6.9468240000000003</v>
      </c>
      <c r="X194">
        <v>6.9481419999999998</v>
      </c>
      <c r="Y194">
        <v>6.9544230000000002</v>
      </c>
      <c r="Z194">
        <v>6.9588419999999998</v>
      </c>
      <c r="AA194">
        <v>6.9626419999999998</v>
      </c>
      <c r="AB194">
        <v>6.9627559999999997</v>
      </c>
      <c r="AC194">
        <v>6.967187</v>
      </c>
      <c r="AD194">
        <v>6.9683719999999996</v>
      </c>
      <c r="AE194">
        <v>6.9689730000000001</v>
      </c>
      <c r="AF194">
        <v>6.9715740000000004</v>
      </c>
      <c r="AG194">
        <v>6.9744000000000002</v>
      </c>
      <c r="AH194">
        <v>6.9764480000000004</v>
      </c>
      <c r="AI194">
        <v>6.9796610000000001</v>
      </c>
      <c r="AJ194" s="31">
        <v>1E-3</v>
      </c>
      <c r="AL194" s="31"/>
    </row>
    <row r="195" spans="2:38">
      <c r="B195" t="s">
        <v>307</v>
      </c>
      <c r="C195" t="s">
        <v>2696</v>
      </c>
      <c r="D195" t="s">
        <v>2697</v>
      </c>
      <c r="E195" t="s">
        <v>413</v>
      </c>
      <c r="G195">
        <v>6.2555990000000001</v>
      </c>
      <c r="H195">
        <v>6.4593990000000003</v>
      </c>
      <c r="I195">
        <v>6.6792319999999998</v>
      </c>
      <c r="J195">
        <v>6.8722630000000002</v>
      </c>
      <c r="K195">
        <v>7.0303750000000003</v>
      </c>
      <c r="L195">
        <v>7.197673</v>
      </c>
      <c r="M195">
        <v>7.2429790000000001</v>
      </c>
      <c r="N195">
        <v>7.3378269999999999</v>
      </c>
      <c r="O195">
        <v>7.4347209999999997</v>
      </c>
      <c r="P195">
        <v>7.5286330000000001</v>
      </c>
      <c r="Q195">
        <v>7.5792349999999997</v>
      </c>
      <c r="R195">
        <v>7.5904689999999997</v>
      </c>
      <c r="S195">
        <v>7.592085</v>
      </c>
      <c r="T195">
        <v>7.5954969999999999</v>
      </c>
      <c r="U195">
        <v>7.5945070000000001</v>
      </c>
      <c r="V195">
        <v>7.5939490000000003</v>
      </c>
      <c r="W195">
        <v>7.5919169999999996</v>
      </c>
      <c r="X195">
        <v>7.5879479999999999</v>
      </c>
      <c r="Y195">
        <v>7.5832319999999998</v>
      </c>
      <c r="Z195">
        <v>7.5789249999999999</v>
      </c>
      <c r="AA195">
        <v>7.5766530000000003</v>
      </c>
      <c r="AB195">
        <v>7.5721049999999996</v>
      </c>
      <c r="AC195">
        <v>7.5735400000000004</v>
      </c>
      <c r="AD195">
        <v>7.5757190000000003</v>
      </c>
      <c r="AE195">
        <v>7.5675840000000001</v>
      </c>
      <c r="AF195">
        <v>7.5741889999999996</v>
      </c>
      <c r="AG195">
        <v>7.5766689999999999</v>
      </c>
      <c r="AH195">
        <v>7.5783950000000004</v>
      </c>
      <c r="AI195">
        <v>7.5872270000000004</v>
      </c>
      <c r="AJ195" s="31">
        <v>7.0000000000000001E-3</v>
      </c>
      <c r="AL195" s="31"/>
    </row>
    <row r="196" spans="2:38">
      <c r="B196" t="s">
        <v>378</v>
      </c>
      <c r="C196" t="s">
        <v>2698</v>
      </c>
      <c r="D196" t="s">
        <v>2699</v>
      </c>
      <c r="E196" t="s">
        <v>414</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t="s">
        <v>117</v>
      </c>
    </row>
    <row r="197" spans="2:38">
      <c r="B197" t="s">
        <v>379</v>
      </c>
      <c r="C197" t="s">
        <v>2700</v>
      </c>
      <c r="D197" t="s">
        <v>2701</v>
      </c>
      <c r="E197" t="s">
        <v>413</v>
      </c>
      <c r="G197">
        <v>10.834061999999999</v>
      </c>
      <c r="H197">
        <v>10.882393</v>
      </c>
      <c r="I197">
        <v>10.964416999999999</v>
      </c>
      <c r="J197">
        <v>11.061455</v>
      </c>
      <c r="K197">
        <v>11.153900999999999</v>
      </c>
      <c r="L197">
        <v>11.253285</v>
      </c>
      <c r="M197">
        <v>11.296942</v>
      </c>
      <c r="N197">
        <v>11.379332</v>
      </c>
      <c r="O197">
        <v>11.454438</v>
      </c>
      <c r="P197">
        <v>11.507104</v>
      </c>
      <c r="Q197">
        <v>11.546773</v>
      </c>
      <c r="R197">
        <v>11.565410999999999</v>
      </c>
      <c r="S197">
        <v>11.569518</v>
      </c>
      <c r="T197">
        <v>11.570686</v>
      </c>
      <c r="U197">
        <v>11.571607</v>
      </c>
      <c r="V197">
        <v>11.572569</v>
      </c>
      <c r="W197">
        <v>11.573530999999999</v>
      </c>
      <c r="X197">
        <v>11.574866</v>
      </c>
      <c r="Y197">
        <v>11.57612</v>
      </c>
      <c r="Z197">
        <v>11.575917</v>
      </c>
      <c r="AA197">
        <v>11.578455</v>
      </c>
      <c r="AB197">
        <v>11.581327</v>
      </c>
      <c r="AC197">
        <v>11.584543</v>
      </c>
      <c r="AD197">
        <v>11.58811</v>
      </c>
      <c r="AE197">
        <v>11.592025</v>
      </c>
      <c r="AF197">
        <v>11.596264</v>
      </c>
      <c r="AG197">
        <v>11.600784000000001</v>
      </c>
      <c r="AH197">
        <v>11.605504</v>
      </c>
      <c r="AI197">
        <v>11.610388</v>
      </c>
      <c r="AJ197" s="31">
        <v>2E-3</v>
      </c>
      <c r="AL197" s="31"/>
    </row>
    <row r="198" spans="2:38">
      <c r="B198" t="s">
        <v>381</v>
      </c>
      <c r="C198" t="s">
        <v>2702</v>
      </c>
      <c r="D198" t="s">
        <v>2703</v>
      </c>
      <c r="E198" t="s">
        <v>413</v>
      </c>
      <c r="G198">
        <v>0</v>
      </c>
      <c r="H198">
        <v>0</v>
      </c>
      <c r="I198">
        <v>1.546108</v>
      </c>
      <c r="J198">
        <v>9.1605530000000002</v>
      </c>
      <c r="K198">
        <v>9.3005800000000001</v>
      </c>
      <c r="L198">
        <v>9.4671909999999997</v>
      </c>
      <c r="M198">
        <v>9.5727759999999993</v>
      </c>
      <c r="N198">
        <v>9.7524759999999997</v>
      </c>
      <c r="O198">
        <v>9.9656310000000001</v>
      </c>
      <c r="P198">
        <v>10.195888999999999</v>
      </c>
      <c r="Q198">
        <v>10.426992</v>
      </c>
      <c r="R198">
        <v>10.635256999999999</v>
      </c>
      <c r="S198">
        <v>10.808609000000001</v>
      </c>
      <c r="T198">
        <v>10.854663</v>
      </c>
      <c r="U198">
        <v>10.974729</v>
      </c>
      <c r="V198">
        <v>11.053928000000001</v>
      </c>
      <c r="W198">
        <v>11.057185</v>
      </c>
      <c r="X198">
        <v>11.058393000000001</v>
      </c>
      <c r="Y198">
        <v>11.058843</v>
      </c>
      <c r="Z198">
        <v>11.059227999999999</v>
      </c>
      <c r="AA198">
        <v>11.059545999999999</v>
      </c>
      <c r="AB198">
        <v>11.059043000000001</v>
      </c>
      <c r="AC198">
        <v>11.057752000000001</v>
      </c>
      <c r="AD198">
        <v>11.056799</v>
      </c>
      <c r="AE198">
        <v>11.056058999999999</v>
      </c>
      <c r="AF198">
        <v>11.055630000000001</v>
      </c>
      <c r="AG198">
        <v>11.055448999999999</v>
      </c>
      <c r="AH198">
        <v>11.055422999999999</v>
      </c>
      <c r="AI198">
        <v>11.055533</v>
      </c>
      <c r="AJ198" t="s">
        <v>117</v>
      </c>
      <c r="AL198" s="31"/>
    </row>
    <row r="199" spans="2:38">
      <c r="B199" t="s">
        <v>380</v>
      </c>
      <c r="C199" t="s">
        <v>2704</v>
      </c>
      <c r="D199" t="s">
        <v>2705</v>
      </c>
      <c r="E199" t="s">
        <v>414</v>
      </c>
      <c r="G199">
        <v>0</v>
      </c>
      <c r="H199">
        <v>0</v>
      </c>
      <c r="I199">
        <v>1.475894</v>
      </c>
      <c r="J199">
        <v>9.1378389999999996</v>
      </c>
      <c r="K199">
        <v>9.2392439999999993</v>
      </c>
      <c r="L199">
        <v>9.3649430000000002</v>
      </c>
      <c r="M199">
        <v>9.4529390000000006</v>
      </c>
      <c r="N199">
        <v>9.6037499999999998</v>
      </c>
      <c r="O199">
        <v>9.7867789999999992</v>
      </c>
      <c r="P199">
        <v>9.9874130000000001</v>
      </c>
      <c r="Q199">
        <v>10.191250999999999</v>
      </c>
      <c r="R199">
        <v>10.398272</v>
      </c>
      <c r="S199">
        <v>10.578143000000001</v>
      </c>
      <c r="T199">
        <v>10.638639</v>
      </c>
      <c r="U199">
        <v>10.754894</v>
      </c>
      <c r="V199">
        <v>10.829401000000001</v>
      </c>
      <c r="W199">
        <v>10.826708999999999</v>
      </c>
      <c r="X199">
        <v>10.823515</v>
      </c>
      <c r="Y199">
        <v>10.820962</v>
      </c>
      <c r="Z199">
        <v>10.818721999999999</v>
      </c>
      <c r="AA199">
        <v>10.816976</v>
      </c>
      <c r="AB199">
        <v>10.815467999999999</v>
      </c>
      <c r="AC199">
        <v>10.814412000000001</v>
      </c>
      <c r="AD199">
        <v>10.81321</v>
      </c>
      <c r="AE199">
        <v>10.812366000000001</v>
      </c>
      <c r="AF199">
        <v>10.811446</v>
      </c>
      <c r="AG199">
        <v>10.811028</v>
      </c>
      <c r="AH199">
        <v>10.810542</v>
      </c>
      <c r="AI199">
        <v>10.81532</v>
      </c>
      <c r="AJ199" t="s">
        <v>117</v>
      </c>
      <c r="AL199" s="31"/>
    </row>
    <row r="200" spans="2:38">
      <c r="B200" t="s">
        <v>382</v>
      </c>
      <c r="C200" t="s">
        <v>2706</v>
      </c>
      <c r="D200" t="s">
        <v>2707</v>
      </c>
      <c r="E200" t="s">
        <v>413</v>
      </c>
      <c r="G200">
        <v>0</v>
      </c>
      <c r="H200">
        <v>0</v>
      </c>
      <c r="I200">
        <v>7.1006340000000003</v>
      </c>
      <c r="J200">
        <v>7.1107129999999996</v>
      </c>
      <c r="K200">
        <v>7.1105650000000002</v>
      </c>
      <c r="L200">
        <v>7.1104979999999998</v>
      </c>
      <c r="M200">
        <v>7.1103259999999997</v>
      </c>
      <c r="N200">
        <v>7.1101960000000002</v>
      </c>
      <c r="O200">
        <v>7.1098470000000002</v>
      </c>
      <c r="P200">
        <v>7.1094480000000004</v>
      </c>
      <c r="Q200">
        <v>7.1093760000000001</v>
      </c>
      <c r="R200">
        <v>7.1094819999999999</v>
      </c>
      <c r="S200">
        <v>7.1096539999999999</v>
      </c>
      <c r="T200">
        <v>7.1098749999999997</v>
      </c>
      <c r="U200">
        <v>7.1101169999999998</v>
      </c>
      <c r="V200">
        <v>7.110366</v>
      </c>
      <c r="W200">
        <v>7.110633</v>
      </c>
      <c r="X200">
        <v>7.1109080000000002</v>
      </c>
      <c r="Y200">
        <v>7.1111890000000004</v>
      </c>
      <c r="Z200">
        <v>7.1114670000000002</v>
      </c>
      <c r="AA200">
        <v>7.1117710000000001</v>
      </c>
      <c r="AB200">
        <v>7.112063</v>
      </c>
      <c r="AC200">
        <v>7.1123690000000002</v>
      </c>
      <c r="AD200">
        <v>7.1126670000000001</v>
      </c>
      <c r="AE200">
        <v>7.1129499999999997</v>
      </c>
      <c r="AF200">
        <v>7.1132410000000004</v>
      </c>
      <c r="AG200">
        <v>7.113537</v>
      </c>
      <c r="AH200">
        <v>7.1138349999999999</v>
      </c>
      <c r="AI200">
        <v>7.1141290000000001</v>
      </c>
      <c r="AJ200" t="s">
        <v>117</v>
      </c>
      <c r="AL200" s="31"/>
    </row>
    <row r="201" spans="2:38">
      <c r="B201" t="s">
        <v>400</v>
      </c>
      <c r="C201" t="s">
        <v>2708</v>
      </c>
      <c r="D201" t="s">
        <v>2709</v>
      </c>
      <c r="G201">
        <v>6.6682579999999998</v>
      </c>
      <c r="H201">
        <v>6.8778709999999998</v>
      </c>
      <c r="I201">
        <v>7.093121</v>
      </c>
      <c r="J201">
        <v>7.29514</v>
      </c>
      <c r="K201">
        <v>7.4865729999999999</v>
      </c>
      <c r="L201">
        <v>7.6551429999999998</v>
      </c>
      <c r="M201">
        <v>7.7268739999999996</v>
      </c>
      <c r="N201">
        <v>7.8356810000000001</v>
      </c>
      <c r="O201">
        <v>7.9478730000000004</v>
      </c>
      <c r="P201">
        <v>8.0532990000000009</v>
      </c>
      <c r="Q201">
        <v>8.1160700000000006</v>
      </c>
      <c r="R201">
        <v>8.1216530000000002</v>
      </c>
      <c r="S201">
        <v>8.1223130000000001</v>
      </c>
      <c r="T201">
        <v>8.1222189999999994</v>
      </c>
      <c r="U201">
        <v>8.1223200000000002</v>
      </c>
      <c r="V201">
        <v>8.1220510000000008</v>
      </c>
      <c r="W201">
        <v>8.1215309999999992</v>
      </c>
      <c r="X201">
        <v>8.1195880000000002</v>
      </c>
      <c r="Y201">
        <v>8.1188830000000003</v>
      </c>
      <c r="Z201">
        <v>8.1175420000000003</v>
      </c>
      <c r="AA201">
        <v>8.1119409999999998</v>
      </c>
      <c r="AB201">
        <v>8.1083350000000003</v>
      </c>
      <c r="AC201">
        <v>8.1086290000000005</v>
      </c>
      <c r="AD201">
        <v>8.1095199999999998</v>
      </c>
      <c r="AE201">
        <v>8.1115200000000005</v>
      </c>
      <c r="AF201">
        <v>8.1139039999999998</v>
      </c>
      <c r="AG201">
        <v>8.1169639999999994</v>
      </c>
      <c r="AH201">
        <v>8.1193819999999999</v>
      </c>
      <c r="AI201">
        <v>8.1222469999999998</v>
      </c>
      <c r="AJ201" s="31">
        <v>7.0000000000000001E-3</v>
      </c>
      <c r="AL201" s="31"/>
    </row>
    <row r="202" spans="2:38">
      <c r="B202" t="s">
        <v>401</v>
      </c>
      <c r="C202" t="s">
        <v>2710</v>
      </c>
      <c r="D202" t="s">
        <v>2711</v>
      </c>
      <c r="G202">
        <v>7.9143220000000003</v>
      </c>
      <c r="H202">
        <v>8.2052589999999999</v>
      </c>
      <c r="I202">
        <v>8.5296900000000004</v>
      </c>
      <c r="J202">
        <v>8.8359380000000005</v>
      </c>
      <c r="K202">
        <v>9.0870700000000006</v>
      </c>
      <c r="L202">
        <v>9.2903500000000001</v>
      </c>
      <c r="M202">
        <v>9.3778360000000003</v>
      </c>
      <c r="N202">
        <v>9.5450739999999996</v>
      </c>
      <c r="O202">
        <v>9.7218040000000006</v>
      </c>
      <c r="P202">
        <v>9.8842239999999997</v>
      </c>
      <c r="Q202">
        <v>9.9741850000000003</v>
      </c>
      <c r="R202">
        <v>9.9937349999999991</v>
      </c>
      <c r="S202">
        <v>10.014434</v>
      </c>
      <c r="T202">
        <v>10.036740999999999</v>
      </c>
      <c r="U202">
        <v>10.062286</v>
      </c>
      <c r="V202">
        <v>10.086017</v>
      </c>
      <c r="W202">
        <v>10.112781999999999</v>
      </c>
      <c r="X202">
        <v>10.137606</v>
      </c>
      <c r="Y202">
        <v>10.162179999999999</v>
      </c>
      <c r="Z202">
        <v>10.179931</v>
      </c>
      <c r="AA202">
        <v>10.198067999999999</v>
      </c>
      <c r="AB202">
        <v>10.214041</v>
      </c>
      <c r="AC202">
        <v>10.242611</v>
      </c>
      <c r="AD202">
        <v>10.288869</v>
      </c>
      <c r="AE202">
        <v>10.332796999999999</v>
      </c>
      <c r="AF202">
        <v>10.365648999999999</v>
      </c>
      <c r="AG202">
        <v>10.388572999999999</v>
      </c>
      <c r="AH202">
        <v>10.421341999999999</v>
      </c>
      <c r="AI202">
        <v>10.451606999999999</v>
      </c>
      <c r="AJ202" s="31">
        <v>0.01</v>
      </c>
      <c r="AL202" s="31"/>
    </row>
    <row r="203" spans="2:38">
      <c r="B203" t="s">
        <v>404</v>
      </c>
    </row>
    <row r="204" spans="2:38">
      <c r="B204" t="s">
        <v>341</v>
      </c>
    </row>
    <row r="205" spans="2:38">
      <c r="B205" t="s">
        <v>327</v>
      </c>
      <c r="C205" t="s">
        <v>2712</v>
      </c>
      <c r="D205" t="s">
        <v>2713</v>
      </c>
      <c r="E205" t="s">
        <v>417</v>
      </c>
      <c r="G205">
        <v>136.77049299999999</v>
      </c>
      <c r="H205">
        <v>142.56779499999999</v>
      </c>
      <c r="I205">
        <v>150.771683</v>
      </c>
      <c r="J205">
        <v>157.08109999999999</v>
      </c>
      <c r="K205">
        <v>160.30355800000001</v>
      </c>
      <c r="L205">
        <v>162.00412</v>
      </c>
      <c r="M205">
        <v>163.38394199999999</v>
      </c>
      <c r="N205">
        <v>165.319534</v>
      </c>
      <c r="O205">
        <v>166.83865399999999</v>
      </c>
      <c r="P205">
        <v>168.393936</v>
      </c>
      <c r="Q205">
        <v>170.32385300000001</v>
      </c>
      <c r="R205">
        <v>171.88102699999999</v>
      </c>
      <c r="S205">
        <v>174.06727599999999</v>
      </c>
      <c r="T205">
        <v>177.34086600000001</v>
      </c>
      <c r="U205">
        <v>181.10180700000001</v>
      </c>
      <c r="V205">
        <v>184.59545900000001</v>
      </c>
      <c r="W205">
        <v>188.38859600000001</v>
      </c>
      <c r="X205">
        <v>191.97610499999999</v>
      </c>
      <c r="Y205">
        <v>195.80365</v>
      </c>
      <c r="Z205">
        <v>198.572205</v>
      </c>
      <c r="AA205">
        <v>201.28009</v>
      </c>
      <c r="AB205">
        <v>203.783401</v>
      </c>
      <c r="AC205">
        <v>206.34025600000001</v>
      </c>
      <c r="AD205">
        <v>210.204849</v>
      </c>
      <c r="AE205">
        <v>213.990906</v>
      </c>
      <c r="AF205">
        <v>217.19418300000001</v>
      </c>
      <c r="AG205">
        <v>219.837097</v>
      </c>
      <c r="AH205">
        <v>223.46331799999999</v>
      </c>
      <c r="AI205">
        <v>227.60270700000001</v>
      </c>
      <c r="AJ205" s="31">
        <v>1.7999999999999999E-2</v>
      </c>
      <c r="AL205" s="31"/>
    </row>
    <row r="206" spans="2:38">
      <c r="B206" t="s">
        <v>313</v>
      </c>
      <c r="C206" t="s">
        <v>2714</v>
      </c>
      <c r="D206" t="s">
        <v>2715</v>
      </c>
      <c r="E206" t="s">
        <v>417</v>
      </c>
      <c r="G206">
        <v>103.59671</v>
      </c>
      <c r="H206">
        <v>106.848747</v>
      </c>
      <c r="I206">
        <v>111.904686</v>
      </c>
      <c r="J206">
        <v>115.554222</v>
      </c>
      <c r="K206">
        <v>116.96676600000001</v>
      </c>
      <c r="L206">
        <v>117.32727800000001</v>
      </c>
      <c r="M206">
        <v>117.518852</v>
      </c>
      <c r="N206">
        <v>118.16703</v>
      </c>
      <c r="O206">
        <v>118.568787</v>
      </c>
      <c r="P206">
        <v>119.044769</v>
      </c>
      <c r="Q206">
        <v>119.82862900000001</v>
      </c>
      <c r="R206">
        <v>120.389702</v>
      </c>
      <c r="S206">
        <v>121.42692599999999</v>
      </c>
      <c r="T206">
        <v>123.25087000000001</v>
      </c>
      <c r="U206">
        <v>125.43590500000001</v>
      </c>
      <c r="V206">
        <v>127.456306</v>
      </c>
      <c r="W206">
        <v>129.702652</v>
      </c>
      <c r="X206">
        <v>131.82530199999999</v>
      </c>
      <c r="Y206">
        <v>134.129547</v>
      </c>
      <c r="Z206">
        <v>135.72537199999999</v>
      </c>
      <c r="AA206">
        <v>137.29719499999999</v>
      </c>
      <c r="AB206">
        <v>138.74612400000001</v>
      </c>
      <c r="AC206">
        <v>140.24710099999999</v>
      </c>
      <c r="AD206">
        <v>142.65003999999999</v>
      </c>
      <c r="AE206">
        <v>145.01057399999999</v>
      </c>
      <c r="AF206">
        <v>146.987076</v>
      </c>
      <c r="AG206">
        <v>148.59549000000001</v>
      </c>
      <c r="AH206">
        <v>150.87861599999999</v>
      </c>
      <c r="AI206">
        <v>153.516571</v>
      </c>
      <c r="AJ206" s="31">
        <v>1.4E-2</v>
      </c>
      <c r="AL206" s="31"/>
    </row>
    <row r="207" spans="2:38">
      <c r="B207" t="s">
        <v>308</v>
      </c>
      <c r="C207" t="s">
        <v>2716</v>
      </c>
      <c r="D207" t="s">
        <v>2717</v>
      </c>
      <c r="E207" t="s">
        <v>417</v>
      </c>
      <c r="G207">
        <v>0</v>
      </c>
      <c r="H207">
        <v>0.27569399999999999</v>
      </c>
      <c r="I207">
        <v>0.28487499999999999</v>
      </c>
      <c r="J207">
        <v>0.28564000000000001</v>
      </c>
      <c r="K207">
        <v>0.29235</v>
      </c>
      <c r="L207">
        <v>0.29807899999999998</v>
      </c>
      <c r="M207">
        <v>0.303676</v>
      </c>
      <c r="N207">
        <v>0.31213600000000002</v>
      </c>
      <c r="O207">
        <v>0.32277899999999998</v>
      </c>
      <c r="P207">
        <v>0.33666600000000002</v>
      </c>
      <c r="Q207">
        <v>0.35173100000000002</v>
      </c>
      <c r="R207">
        <v>0.36679499999999998</v>
      </c>
      <c r="S207">
        <v>0.38325999999999999</v>
      </c>
      <c r="T207">
        <v>0.40495500000000001</v>
      </c>
      <c r="U207">
        <v>0.43248700000000001</v>
      </c>
      <c r="V207">
        <v>0.46502100000000002</v>
      </c>
      <c r="W207">
        <v>0.50168199999999996</v>
      </c>
      <c r="X207">
        <v>0.54403000000000001</v>
      </c>
      <c r="Y207">
        <v>0.59080999999999995</v>
      </c>
      <c r="Z207">
        <v>0.64069900000000002</v>
      </c>
      <c r="AA207">
        <v>0.693214</v>
      </c>
      <c r="AB207">
        <v>0.75207100000000005</v>
      </c>
      <c r="AC207">
        <v>0.81472999999999995</v>
      </c>
      <c r="AD207">
        <v>0.88600299999999999</v>
      </c>
      <c r="AE207">
        <v>0.95893600000000001</v>
      </c>
      <c r="AF207">
        <v>1.030097</v>
      </c>
      <c r="AG207">
        <v>1.0986610000000001</v>
      </c>
      <c r="AH207">
        <v>1.166161</v>
      </c>
      <c r="AI207">
        <v>1.234235</v>
      </c>
      <c r="AJ207" t="s">
        <v>117</v>
      </c>
      <c r="AL207" s="31"/>
    </row>
    <row r="208" spans="2:38">
      <c r="B208" t="s">
        <v>307</v>
      </c>
      <c r="C208" t="s">
        <v>2718</v>
      </c>
      <c r="D208" t="s">
        <v>2719</v>
      </c>
      <c r="E208" t="s">
        <v>417</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t="s">
        <v>117</v>
      </c>
      <c r="AL208" s="31"/>
    </row>
    <row r="209" spans="2:38">
      <c r="B209" t="s">
        <v>378</v>
      </c>
      <c r="C209" t="s">
        <v>2720</v>
      </c>
      <c r="D209" t="s">
        <v>2721</v>
      </c>
      <c r="E209" t="s">
        <v>417</v>
      </c>
      <c r="G209">
        <v>11.755768</v>
      </c>
      <c r="H209">
        <v>11.862360000000001</v>
      </c>
      <c r="I209">
        <v>12.543434</v>
      </c>
      <c r="J209">
        <v>12.408045</v>
      </c>
      <c r="K209">
        <v>12.201530999999999</v>
      </c>
      <c r="L209">
        <v>12.086430999999999</v>
      </c>
      <c r="M209">
        <v>11.693008000000001</v>
      </c>
      <c r="N209">
        <v>11.609571000000001</v>
      </c>
      <c r="O209">
        <v>11.587203000000001</v>
      </c>
      <c r="P209">
        <v>11.766098</v>
      </c>
      <c r="Q209">
        <v>11.835867</v>
      </c>
      <c r="R209">
        <v>12.092966000000001</v>
      </c>
      <c r="S209">
        <v>12.317826999999999</v>
      </c>
      <c r="T209">
        <v>12.631629</v>
      </c>
      <c r="U209">
        <v>12.885059999999999</v>
      </c>
      <c r="V209">
        <v>13.143001999999999</v>
      </c>
      <c r="W209">
        <v>13.377981</v>
      </c>
      <c r="X209">
        <v>13.633929999999999</v>
      </c>
      <c r="Y209">
        <v>13.884437</v>
      </c>
      <c r="Z209">
        <v>14.094258</v>
      </c>
      <c r="AA209">
        <v>14.300129999999999</v>
      </c>
      <c r="AB209">
        <v>14.546765000000001</v>
      </c>
      <c r="AC209">
        <v>14.697861</v>
      </c>
      <c r="AD209">
        <v>14.965305000000001</v>
      </c>
      <c r="AE209">
        <v>15.107173</v>
      </c>
      <c r="AF209">
        <v>15.276312000000001</v>
      </c>
      <c r="AG209">
        <v>15.38072</v>
      </c>
      <c r="AH209">
        <v>15.579879</v>
      </c>
      <c r="AI209">
        <v>15.731930999999999</v>
      </c>
      <c r="AJ209" s="31">
        <v>0.01</v>
      </c>
      <c r="AL209" s="31"/>
    </row>
    <row r="210" spans="2:38">
      <c r="B210" t="s">
        <v>379</v>
      </c>
      <c r="C210" t="s">
        <v>2722</v>
      </c>
      <c r="D210" t="s">
        <v>2723</v>
      </c>
      <c r="E210" t="s">
        <v>417</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t="s">
        <v>117</v>
      </c>
      <c r="AL210" s="31"/>
    </row>
    <row r="211" spans="2:38">
      <c r="B211" t="s">
        <v>381</v>
      </c>
      <c r="C211" t="s">
        <v>2724</v>
      </c>
      <c r="D211" t="s">
        <v>2725</v>
      </c>
      <c r="E211" t="s">
        <v>417</v>
      </c>
      <c r="G211">
        <v>0</v>
      </c>
      <c r="H211">
        <v>0.31605299999999997</v>
      </c>
      <c r="I211">
        <v>0.33107700000000001</v>
      </c>
      <c r="J211">
        <v>0.34040199999999998</v>
      </c>
      <c r="K211">
        <v>0.349107</v>
      </c>
      <c r="L211">
        <v>0.35911599999999999</v>
      </c>
      <c r="M211">
        <v>0.37227199999999999</v>
      </c>
      <c r="N211">
        <v>0.39096999999999998</v>
      </c>
      <c r="O211">
        <v>0.41283500000000001</v>
      </c>
      <c r="P211">
        <v>0.43845699999999999</v>
      </c>
      <c r="Q211">
        <v>0.46888299999999999</v>
      </c>
      <c r="R211">
        <v>0.50065899999999997</v>
      </c>
      <c r="S211">
        <v>0.53854100000000005</v>
      </c>
      <c r="T211">
        <v>0.585642</v>
      </c>
      <c r="U211">
        <v>0.64264399999999999</v>
      </c>
      <c r="V211">
        <v>0.70755999999999997</v>
      </c>
      <c r="W211">
        <v>0.78264699999999998</v>
      </c>
      <c r="X211">
        <v>0.86579399999999995</v>
      </c>
      <c r="Y211">
        <v>0.95799100000000004</v>
      </c>
      <c r="Z211">
        <v>1.0510919999999999</v>
      </c>
      <c r="AA211">
        <v>1.1473150000000001</v>
      </c>
      <c r="AB211">
        <v>1.243325</v>
      </c>
      <c r="AC211">
        <v>1.3379430000000001</v>
      </c>
      <c r="AD211">
        <v>1.437713</v>
      </c>
      <c r="AE211">
        <v>1.532467</v>
      </c>
      <c r="AF211">
        <v>1.6170869999999999</v>
      </c>
      <c r="AG211">
        <v>1.6923090000000001</v>
      </c>
      <c r="AH211">
        <v>1.7661230000000001</v>
      </c>
      <c r="AI211">
        <v>1.8381050000000001</v>
      </c>
      <c r="AJ211" t="s">
        <v>117</v>
      </c>
      <c r="AL211" s="31"/>
    </row>
    <row r="212" spans="2:38">
      <c r="B212" t="s">
        <v>380</v>
      </c>
      <c r="C212" t="s">
        <v>2726</v>
      </c>
      <c r="D212" t="s">
        <v>2727</v>
      </c>
      <c r="E212" t="s">
        <v>417</v>
      </c>
      <c r="G212">
        <v>0</v>
      </c>
      <c r="H212">
        <v>0.32879999999999998</v>
      </c>
      <c r="I212">
        <v>0.34547</v>
      </c>
      <c r="J212">
        <v>0.34941499999999998</v>
      </c>
      <c r="K212">
        <v>0.35311300000000001</v>
      </c>
      <c r="L212">
        <v>0.35725600000000002</v>
      </c>
      <c r="M212">
        <v>0.36241400000000001</v>
      </c>
      <c r="N212">
        <v>0.37389899999999998</v>
      </c>
      <c r="O212">
        <v>0.391291</v>
      </c>
      <c r="P212">
        <v>0.41677700000000001</v>
      </c>
      <c r="Q212">
        <v>0.44823800000000003</v>
      </c>
      <c r="R212">
        <v>0.48479499999999998</v>
      </c>
      <c r="S212">
        <v>0.52864800000000001</v>
      </c>
      <c r="T212">
        <v>0.58403799999999995</v>
      </c>
      <c r="U212">
        <v>0.64941700000000002</v>
      </c>
      <c r="V212">
        <v>0.72499999999999998</v>
      </c>
      <c r="W212">
        <v>0.81109100000000001</v>
      </c>
      <c r="X212">
        <v>0.90827100000000005</v>
      </c>
      <c r="Y212">
        <v>1.0153730000000001</v>
      </c>
      <c r="Z212">
        <v>1.125429</v>
      </c>
      <c r="AA212">
        <v>1.239638</v>
      </c>
      <c r="AB212">
        <v>1.3565320000000001</v>
      </c>
      <c r="AC212">
        <v>1.4644839999999999</v>
      </c>
      <c r="AD212">
        <v>1.5821670000000001</v>
      </c>
      <c r="AE212">
        <v>1.6880930000000001</v>
      </c>
      <c r="AF212">
        <v>1.7864690000000001</v>
      </c>
      <c r="AG212">
        <v>1.8713010000000001</v>
      </c>
      <c r="AH212">
        <v>1.9580740000000001</v>
      </c>
      <c r="AI212">
        <v>2.0376029999999998</v>
      </c>
      <c r="AJ212" t="s">
        <v>117</v>
      </c>
      <c r="AL212" s="31"/>
    </row>
    <row r="213" spans="2:38">
      <c r="B213" t="s">
        <v>382</v>
      </c>
      <c r="C213" t="s">
        <v>2728</v>
      </c>
      <c r="D213" t="s">
        <v>2729</v>
      </c>
      <c r="E213" t="s">
        <v>417</v>
      </c>
      <c r="G213">
        <v>0</v>
      </c>
      <c r="H213">
        <v>0</v>
      </c>
      <c r="I213">
        <v>1.0399999999999999E-4</v>
      </c>
      <c r="J213">
        <v>1.07E-4</v>
      </c>
      <c r="K213">
        <v>1.0900000000000001E-4</v>
      </c>
      <c r="L213">
        <v>1.0900000000000001E-4</v>
      </c>
      <c r="M213">
        <v>1.0900000000000001E-4</v>
      </c>
      <c r="N213">
        <v>1.1E-4</v>
      </c>
      <c r="O213">
        <v>1.1E-4</v>
      </c>
      <c r="P213">
        <v>1.1E-4</v>
      </c>
      <c r="Q213">
        <v>1.1E-4</v>
      </c>
      <c r="R213">
        <v>1.0900000000000001E-4</v>
      </c>
      <c r="S213">
        <v>1.0900000000000001E-4</v>
      </c>
      <c r="T213">
        <v>1.0900000000000001E-4</v>
      </c>
      <c r="U213">
        <v>1.08E-4</v>
      </c>
      <c r="V213">
        <v>1.07E-4</v>
      </c>
      <c r="W213">
        <v>1.06E-4</v>
      </c>
      <c r="X213">
        <v>1.0399999999999999E-4</v>
      </c>
      <c r="Y213">
        <v>1.01E-4</v>
      </c>
      <c r="Z213">
        <v>9.7E-5</v>
      </c>
      <c r="AA213">
        <v>9.2E-5</v>
      </c>
      <c r="AB213">
        <v>8.6000000000000003E-5</v>
      </c>
      <c r="AC213">
        <v>8.0000000000000007E-5</v>
      </c>
      <c r="AD213">
        <v>7.3999999999999996E-5</v>
      </c>
      <c r="AE213">
        <v>6.7999999999999999E-5</v>
      </c>
      <c r="AF213">
        <v>6.0999999999999999E-5</v>
      </c>
      <c r="AG213">
        <v>5.3999999999999998E-5</v>
      </c>
      <c r="AH213">
        <v>4.8000000000000001E-5</v>
      </c>
      <c r="AI213">
        <v>4.1999999999999998E-5</v>
      </c>
      <c r="AJ213" t="s">
        <v>117</v>
      </c>
      <c r="AL213" s="31"/>
    </row>
    <row r="214" spans="2:38">
      <c r="B214" t="s">
        <v>390</v>
      </c>
      <c r="C214" t="s">
        <v>2730</v>
      </c>
      <c r="D214" t="s">
        <v>2731</v>
      </c>
      <c r="E214" t="s">
        <v>417</v>
      </c>
      <c r="G214">
        <v>252.12297100000001</v>
      </c>
      <c r="H214">
        <v>262.199432</v>
      </c>
      <c r="I214">
        <v>276.18127399999997</v>
      </c>
      <c r="J214">
        <v>286.01892099999998</v>
      </c>
      <c r="K214">
        <v>290.46655299999998</v>
      </c>
      <c r="L214">
        <v>292.43240400000002</v>
      </c>
      <c r="M214">
        <v>293.63424700000002</v>
      </c>
      <c r="N214">
        <v>296.173248</v>
      </c>
      <c r="O214">
        <v>298.12170400000002</v>
      </c>
      <c r="P214">
        <v>300.39685100000003</v>
      </c>
      <c r="Q214">
        <v>303.257294</v>
      </c>
      <c r="R214">
        <v>305.71603399999998</v>
      </c>
      <c r="S214">
        <v>309.26257299999997</v>
      </c>
      <c r="T214">
        <v>314.79812600000002</v>
      </c>
      <c r="U214">
        <v>321.14746100000002</v>
      </c>
      <c r="V214">
        <v>327.09249899999998</v>
      </c>
      <c r="W214">
        <v>333.56478900000002</v>
      </c>
      <c r="X214">
        <v>339.75351000000001</v>
      </c>
      <c r="Y214">
        <v>346.38189699999998</v>
      </c>
      <c r="Z214">
        <v>351.209137</v>
      </c>
      <c r="AA214">
        <v>355.95761099999999</v>
      </c>
      <c r="AB214">
        <v>360.42837500000002</v>
      </c>
      <c r="AC214">
        <v>364.902466</v>
      </c>
      <c r="AD214">
        <v>371.72610500000002</v>
      </c>
      <c r="AE214">
        <v>378.28823899999998</v>
      </c>
      <c r="AF214">
        <v>383.89129600000001</v>
      </c>
      <c r="AG214">
        <v>388.47567700000002</v>
      </c>
      <c r="AH214">
        <v>394.81222500000001</v>
      </c>
      <c r="AI214">
        <v>401.96115099999997</v>
      </c>
      <c r="AJ214" s="31">
        <v>1.7000000000000001E-2</v>
      </c>
      <c r="AL214" s="31"/>
    </row>
    <row r="215" spans="2:38">
      <c r="B215" t="s">
        <v>342</v>
      </c>
    </row>
    <row r="216" spans="2:38">
      <c r="B216" t="s">
        <v>327</v>
      </c>
      <c r="C216" t="s">
        <v>2732</v>
      </c>
      <c r="D216" t="s">
        <v>2733</v>
      </c>
      <c r="E216" t="s">
        <v>417</v>
      </c>
      <c r="G216">
        <v>108.315331</v>
      </c>
      <c r="H216">
        <v>111.86180899999999</v>
      </c>
      <c r="I216">
        <v>112.663895</v>
      </c>
      <c r="J216">
        <v>113.75501300000001</v>
      </c>
      <c r="K216">
        <v>116.360794</v>
      </c>
      <c r="L216">
        <v>120.664314</v>
      </c>
      <c r="M216">
        <v>123.277176</v>
      </c>
      <c r="N216">
        <v>123.222191</v>
      </c>
      <c r="O216">
        <v>121.07485200000001</v>
      </c>
      <c r="P216">
        <v>119.570702</v>
      </c>
      <c r="Q216">
        <v>120.336288</v>
      </c>
      <c r="R216">
        <v>121.886032</v>
      </c>
      <c r="S216">
        <v>123.167618</v>
      </c>
      <c r="T216">
        <v>124.72809599999999</v>
      </c>
      <c r="U216">
        <v>126.319824</v>
      </c>
      <c r="V216">
        <v>127.848488</v>
      </c>
      <c r="W216">
        <v>129.178223</v>
      </c>
      <c r="X216">
        <v>130.386765</v>
      </c>
      <c r="Y216">
        <v>131.92759699999999</v>
      </c>
      <c r="Z216">
        <v>133.48138399999999</v>
      </c>
      <c r="AA216">
        <v>134.51525899999999</v>
      </c>
      <c r="AB216">
        <v>135.85908499999999</v>
      </c>
      <c r="AC216">
        <v>136.21057099999999</v>
      </c>
      <c r="AD216">
        <v>135.419983</v>
      </c>
      <c r="AE216">
        <v>135.072632</v>
      </c>
      <c r="AF216">
        <v>135.62127699999999</v>
      </c>
      <c r="AG216">
        <v>136.81350699999999</v>
      </c>
      <c r="AH216">
        <v>137.64428699999999</v>
      </c>
      <c r="AI216">
        <v>139.15571600000001</v>
      </c>
      <c r="AJ216" s="31">
        <v>8.9999999999999993E-3</v>
      </c>
      <c r="AL216" s="31"/>
    </row>
    <row r="217" spans="2:38">
      <c r="B217" t="s">
        <v>313</v>
      </c>
      <c r="C217" t="s">
        <v>2734</v>
      </c>
      <c r="D217" t="s">
        <v>2735</v>
      </c>
      <c r="E217" t="s">
        <v>417</v>
      </c>
      <c r="G217">
        <v>68.839256000000006</v>
      </c>
      <c r="H217">
        <v>70.735229000000004</v>
      </c>
      <c r="I217">
        <v>70.912659000000005</v>
      </c>
      <c r="J217">
        <v>71.294334000000006</v>
      </c>
      <c r="K217">
        <v>72.641609000000003</v>
      </c>
      <c r="L217">
        <v>75.056540999999996</v>
      </c>
      <c r="M217">
        <v>76.427368000000001</v>
      </c>
      <c r="N217">
        <v>76.160088000000002</v>
      </c>
      <c r="O217">
        <v>74.622658000000001</v>
      </c>
      <c r="P217">
        <v>73.505134999999996</v>
      </c>
      <c r="Q217">
        <v>73.799858</v>
      </c>
      <c r="R217">
        <v>74.586723000000006</v>
      </c>
      <c r="S217">
        <v>75.219261000000003</v>
      </c>
      <c r="T217">
        <v>76.031173999999993</v>
      </c>
      <c r="U217">
        <v>76.870277000000002</v>
      </c>
      <c r="V217">
        <v>77.678650000000005</v>
      </c>
      <c r="W217">
        <v>78.373497</v>
      </c>
      <c r="X217">
        <v>79.001953</v>
      </c>
      <c r="Y217">
        <v>79.838211000000001</v>
      </c>
      <c r="Z217">
        <v>80.688086999999996</v>
      </c>
      <c r="AA217">
        <v>81.229370000000003</v>
      </c>
      <c r="AB217">
        <v>81.963241999999994</v>
      </c>
      <c r="AC217">
        <v>82.103797999999998</v>
      </c>
      <c r="AD217">
        <v>81.561913000000004</v>
      </c>
      <c r="AE217">
        <v>81.292777999999998</v>
      </c>
      <c r="AF217">
        <v>81.567595999999995</v>
      </c>
      <c r="AG217">
        <v>82.233161999999993</v>
      </c>
      <c r="AH217">
        <v>82.684783999999993</v>
      </c>
      <c r="AI217">
        <v>83.548218000000006</v>
      </c>
      <c r="AJ217" s="31">
        <v>7.0000000000000001E-3</v>
      </c>
      <c r="AL217" s="31"/>
    </row>
    <row r="218" spans="2:38">
      <c r="B218" t="s">
        <v>308</v>
      </c>
      <c r="C218" t="s">
        <v>2736</v>
      </c>
      <c r="D218" t="s">
        <v>2737</v>
      </c>
      <c r="E218" t="s">
        <v>417</v>
      </c>
      <c r="G218">
        <v>0.19042999999999999</v>
      </c>
      <c r="H218">
        <v>0.19422300000000001</v>
      </c>
      <c r="I218">
        <v>0.19656999999999999</v>
      </c>
      <c r="J218">
        <v>0.196077</v>
      </c>
      <c r="K218">
        <v>0.20480999999999999</v>
      </c>
      <c r="L218">
        <v>0.21737600000000001</v>
      </c>
      <c r="M218">
        <v>0.22798099999999999</v>
      </c>
      <c r="N218">
        <v>0.23441400000000001</v>
      </c>
      <c r="O218">
        <v>0.23872599999999999</v>
      </c>
      <c r="P218">
        <v>0.247721</v>
      </c>
      <c r="Q218">
        <v>0.263905</v>
      </c>
      <c r="R218">
        <v>0.28577399999999997</v>
      </c>
      <c r="S218">
        <v>0.307006</v>
      </c>
      <c r="T218">
        <v>0.33141100000000001</v>
      </c>
      <c r="U218">
        <v>0.35905500000000001</v>
      </c>
      <c r="V218">
        <v>0.39071699999999998</v>
      </c>
      <c r="W218">
        <v>0.42327700000000001</v>
      </c>
      <c r="X218">
        <v>0.45851599999999998</v>
      </c>
      <c r="Y218">
        <v>0.49489499999999997</v>
      </c>
      <c r="Z218">
        <v>0.53306299999999995</v>
      </c>
      <c r="AA218">
        <v>0.56726100000000002</v>
      </c>
      <c r="AB218">
        <v>0.60443800000000003</v>
      </c>
      <c r="AC218">
        <v>0.63577700000000004</v>
      </c>
      <c r="AD218">
        <v>0.65985499999999997</v>
      </c>
      <c r="AE218">
        <v>0.68360100000000001</v>
      </c>
      <c r="AF218">
        <v>0.70903000000000005</v>
      </c>
      <c r="AG218">
        <v>0.73458299999999999</v>
      </c>
      <c r="AH218">
        <v>0.75465000000000004</v>
      </c>
      <c r="AI218">
        <v>0.77672799999999997</v>
      </c>
      <c r="AJ218" s="31">
        <v>5.0999999999999997E-2</v>
      </c>
      <c r="AL218" s="31"/>
    </row>
    <row r="219" spans="2:38">
      <c r="B219" t="s">
        <v>307</v>
      </c>
      <c r="C219" t="s">
        <v>2738</v>
      </c>
      <c r="D219" t="s">
        <v>2739</v>
      </c>
      <c r="E219" t="s">
        <v>417</v>
      </c>
      <c r="G219">
        <v>8.8756000000000002E-2</v>
      </c>
      <c r="H219">
        <v>8.0241000000000007E-2</v>
      </c>
      <c r="I219">
        <v>7.1048E-2</v>
      </c>
      <c r="J219">
        <v>6.2378000000000003E-2</v>
      </c>
      <c r="K219">
        <v>5.543E-2</v>
      </c>
      <c r="L219">
        <v>4.9847000000000002E-2</v>
      </c>
      <c r="M219">
        <v>4.4072E-2</v>
      </c>
      <c r="N219">
        <v>3.8059999999999997E-2</v>
      </c>
      <c r="O219">
        <v>3.2244000000000002E-2</v>
      </c>
      <c r="P219">
        <v>2.7390000000000001E-2</v>
      </c>
      <c r="Q219">
        <v>2.3635E-2</v>
      </c>
      <c r="R219">
        <v>2.0455000000000001E-2</v>
      </c>
      <c r="S219">
        <v>1.7596000000000001E-2</v>
      </c>
      <c r="T219">
        <v>1.512E-2</v>
      </c>
      <c r="U219">
        <v>1.2947999999999999E-2</v>
      </c>
      <c r="V219">
        <v>1.1051E-2</v>
      </c>
      <c r="W219">
        <v>9.3919999999999993E-3</v>
      </c>
      <c r="X219">
        <v>7.9559999999999995E-3</v>
      </c>
      <c r="Y219">
        <v>6.7409999999999996E-3</v>
      </c>
      <c r="Z219">
        <v>5.7010000000000003E-3</v>
      </c>
      <c r="AA219">
        <v>4.7920000000000003E-3</v>
      </c>
      <c r="AB219">
        <v>4.0299999999999997E-3</v>
      </c>
      <c r="AC219">
        <v>3.3570000000000002E-3</v>
      </c>
      <c r="AD219">
        <v>2.7699999999999999E-3</v>
      </c>
      <c r="AE219">
        <v>2.2889999999999998E-3</v>
      </c>
      <c r="AF219">
        <v>1.9040000000000001E-3</v>
      </c>
      <c r="AG219">
        <v>1.5900000000000001E-3</v>
      </c>
      <c r="AH219">
        <v>1.323E-3</v>
      </c>
      <c r="AI219">
        <v>1.106E-3</v>
      </c>
      <c r="AJ219" s="31">
        <v>-0.14499999999999999</v>
      </c>
      <c r="AL219" s="31"/>
    </row>
    <row r="220" spans="2:38">
      <c r="B220" t="s">
        <v>378</v>
      </c>
      <c r="C220" t="s">
        <v>2740</v>
      </c>
      <c r="D220" t="s">
        <v>2741</v>
      </c>
      <c r="E220" t="s">
        <v>417</v>
      </c>
      <c r="G220">
        <v>3.1209169999999999</v>
      </c>
      <c r="H220">
        <v>3.562824</v>
      </c>
      <c r="I220">
        <v>4.1059590000000004</v>
      </c>
      <c r="J220">
        <v>4.4477089999999997</v>
      </c>
      <c r="K220">
        <v>4.9635889999999998</v>
      </c>
      <c r="L220">
        <v>5.6116510000000002</v>
      </c>
      <c r="M220">
        <v>6.101458</v>
      </c>
      <c r="N220">
        <v>6.5357409999999998</v>
      </c>
      <c r="O220">
        <v>6.9304500000000004</v>
      </c>
      <c r="P220">
        <v>7.5008939999999997</v>
      </c>
      <c r="Q220">
        <v>8.2456250000000004</v>
      </c>
      <c r="R220">
        <v>9.1310850000000006</v>
      </c>
      <c r="S220">
        <v>9.9110980000000009</v>
      </c>
      <c r="T220">
        <v>10.721723000000001</v>
      </c>
      <c r="U220">
        <v>11.346403</v>
      </c>
      <c r="V220">
        <v>11.955226</v>
      </c>
      <c r="W220">
        <v>12.458663</v>
      </c>
      <c r="X220">
        <v>12.958193</v>
      </c>
      <c r="Y220">
        <v>13.419568999999999</v>
      </c>
      <c r="Z220">
        <v>13.88363</v>
      </c>
      <c r="AA220">
        <v>14.252980000000001</v>
      </c>
      <c r="AB220">
        <v>14.691565000000001</v>
      </c>
      <c r="AC220">
        <v>14.861463000000001</v>
      </c>
      <c r="AD220">
        <v>14.905587000000001</v>
      </c>
      <c r="AE220">
        <v>14.814135</v>
      </c>
      <c r="AF220">
        <v>14.890703999999999</v>
      </c>
      <c r="AG220">
        <v>14.942218</v>
      </c>
      <c r="AH220">
        <v>15.033702999999999</v>
      </c>
      <c r="AI220">
        <v>15.088609</v>
      </c>
      <c r="AJ220" s="31">
        <v>5.8000000000000003E-2</v>
      </c>
      <c r="AL220" s="31"/>
    </row>
    <row r="221" spans="2:38">
      <c r="B221" t="s">
        <v>379</v>
      </c>
      <c r="C221" t="s">
        <v>2742</v>
      </c>
      <c r="D221" t="s">
        <v>2743</v>
      </c>
      <c r="E221" t="s">
        <v>417</v>
      </c>
      <c r="G221">
        <v>6.5137E-2</v>
      </c>
      <c r="H221">
        <v>5.9175999999999999E-2</v>
      </c>
      <c r="I221">
        <v>5.2366000000000003E-2</v>
      </c>
      <c r="J221">
        <v>4.6144999999999999E-2</v>
      </c>
      <c r="K221">
        <v>4.1158E-2</v>
      </c>
      <c r="L221">
        <v>3.7145999999999998E-2</v>
      </c>
      <c r="M221">
        <v>3.2967000000000003E-2</v>
      </c>
      <c r="N221">
        <v>2.8586E-2</v>
      </c>
      <c r="O221">
        <v>2.4323000000000001E-2</v>
      </c>
      <c r="P221">
        <v>2.0753000000000001E-2</v>
      </c>
      <c r="Q221">
        <v>1.7988000000000001E-2</v>
      </c>
      <c r="R221">
        <v>1.5639E-2</v>
      </c>
      <c r="S221">
        <v>1.3513000000000001E-2</v>
      </c>
      <c r="T221">
        <v>1.1663E-2</v>
      </c>
      <c r="U221">
        <v>1.0030000000000001E-2</v>
      </c>
      <c r="V221">
        <v>8.5970000000000005E-3</v>
      </c>
      <c r="W221">
        <v>7.3359999999999996E-3</v>
      </c>
      <c r="X221">
        <v>6.241E-3</v>
      </c>
      <c r="Y221">
        <v>5.3090000000000004E-3</v>
      </c>
      <c r="Z221">
        <v>4.5069999999999997E-3</v>
      </c>
      <c r="AA221">
        <v>3.8040000000000001E-3</v>
      </c>
      <c r="AB221">
        <v>3.212E-3</v>
      </c>
      <c r="AC221">
        <v>2.6870000000000002E-3</v>
      </c>
      <c r="AD221">
        <v>2.2260000000000001E-3</v>
      </c>
      <c r="AE221">
        <v>1.8489999999999999E-3</v>
      </c>
      <c r="AF221">
        <v>1.5460000000000001E-3</v>
      </c>
      <c r="AG221">
        <v>1.2979999999999999E-3</v>
      </c>
      <c r="AH221">
        <v>1.0870000000000001E-3</v>
      </c>
      <c r="AI221">
        <v>9.1399999999999999E-4</v>
      </c>
      <c r="AJ221" s="31">
        <v>-0.14099999999999999</v>
      </c>
      <c r="AL221" s="31"/>
    </row>
    <row r="222" spans="2:38">
      <c r="B222" t="s">
        <v>381</v>
      </c>
      <c r="C222" t="s">
        <v>2744</v>
      </c>
      <c r="D222" t="s">
        <v>2745</v>
      </c>
      <c r="E222" t="s">
        <v>417</v>
      </c>
      <c r="G222">
        <v>0</v>
      </c>
      <c r="H222">
        <v>0</v>
      </c>
      <c r="I222">
        <v>0.22504299999999999</v>
      </c>
      <c r="J222">
        <v>0.22714799999999999</v>
      </c>
      <c r="K222">
        <v>0.23027900000000001</v>
      </c>
      <c r="L222">
        <v>0.23857500000000001</v>
      </c>
      <c r="M222">
        <v>0.24623999999999999</v>
      </c>
      <c r="N222">
        <v>0.24834500000000001</v>
      </c>
      <c r="O222">
        <v>0.247229</v>
      </c>
      <c r="P222">
        <v>0.249005</v>
      </c>
      <c r="Q222">
        <v>0.25837700000000002</v>
      </c>
      <c r="R222">
        <v>0.27263700000000002</v>
      </c>
      <c r="S222">
        <v>0.28715600000000002</v>
      </c>
      <c r="T222">
        <v>0.30215799999999998</v>
      </c>
      <c r="U222">
        <v>0.320687</v>
      </c>
      <c r="V222">
        <v>0.34081499999999998</v>
      </c>
      <c r="W222">
        <v>0.36212299999999997</v>
      </c>
      <c r="X222">
        <v>0.38599099999999997</v>
      </c>
      <c r="Y222">
        <v>0.41384599999999999</v>
      </c>
      <c r="Z222">
        <v>0.44478200000000001</v>
      </c>
      <c r="AA222">
        <v>0.47659899999999999</v>
      </c>
      <c r="AB222">
        <v>0.51157799999999998</v>
      </c>
      <c r="AC222">
        <v>0.54397300000000004</v>
      </c>
      <c r="AD222">
        <v>0.57172999999999996</v>
      </c>
      <c r="AE222">
        <v>0.60040700000000002</v>
      </c>
      <c r="AF222">
        <v>0.631637</v>
      </c>
      <c r="AG222">
        <v>0.66413</v>
      </c>
      <c r="AH222">
        <v>0.69267100000000004</v>
      </c>
      <c r="AI222">
        <v>0.72231699999999999</v>
      </c>
      <c r="AJ222" t="s">
        <v>117</v>
      </c>
      <c r="AL222" s="31"/>
    </row>
    <row r="223" spans="2:38">
      <c r="B223" t="s">
        <v>380</v>
      </c>
      <c r="C223" t="s">
        <v>2746</v>
      </c>
      <c r="D223" t="s">
        <v>2747</v>
      </c>
      <c r="E223" t="s">
        <v>417</v>
      </c>
      <c r="G223">
        <v>0</v>
      </c>
      <c r="H223">
        <v>0</v>
      </c>
      <c r="I223">
        <v>0.21895000000000001</v>
      </c>
      <c r="J223">
        <v>0.21643299999999999</v>
      </c>
      <c r="K223">
        <v>0.21639600000000001</v>
      </c>
      <c r="L223">
        <v>0.22101599999999999</v>
      </c>
      <c r="M223">
        <v>0.22417100000000001</v>
      </c>
      <c r="N223">
        <v>0.224302</v>
      </c>
      <c r="O223">
        <v>0.22405600000000001</v>
      </c>
      <c r="P223">
        <v>0.22989499999999999</v>
      </c>
      <c r="Q223">
        <v>0.244149</v>
      </c>
      <c r="R223">
        <v>0.265212</v>
      </c>
      <c r="S223">
        <v>0.28737600000000002</v>
      </c>
      <c r="T223">
        <v>0.31066100000000002</v>
      </c>
      <c r="U223">
        <v>0.33900400000000003</v>
      </c>
      <c r="V223">
        <v>0.37101699999999999</v>
      </c>
      <c r="W223">
        <v>0.404947</v>
      </c>
      <c r="X223">
        <v>0.44428299999999998</v>
      </c>
      <c r="Y223">
        <v>0.48955100000000001</v>
      </c>
      <c r="Z223">
        <v>0.54082399999999997</v>
      </c>
      <c r="AA223">
        <v>0.59456699999999996</v>
      </c>
      <c r="AB223">
        <v>0.65479900000000002</v>
      </c>
      <c r="AC223">
        <v>0.70982199999999995</v>
      </c>
      <c r="AD223">
        <v>0.75931499999999996</v>
      </c>
      <c r="AE223">
        <v>0.80587200000000003</v>
      </c>
      <c r="AF223">
        <v>0.85718000000000005</v>
      </c>
      <c r="AG223">
        <v>0.90732199999999996</v>
      </c>
      <c r="AH223">
        <v>0.95350299999999999</v>
      </c>
      <c r="AI223">
        <v>0.99503299999999995</v>
      </c>
      <c r="AJ223" t="s">
        <v>117</v>
      </c>
      <c r="AL223" s="31"/>
    </row>
    <row r="224" spans="2:38">
      <c r="B224" t="s">
        <v>382</v>
      </c>
      <c r="C224" t="s">
        <v>2748</v>
      </c>
      <c r="D224" t="s">
        <v>2749</v>
      </c>
      <c r="E224" t="s">
        <v>417</v>
      </c>
      <c r="G224">
        <v>0</v>
      </c>
      <c r="H224">
        <v>0</v>
      </c>
      <c r="I224">
        <v>0.37634600000000001</v>
      </c>
      <c r="J224">
        <v>0.38173499999999999</v>
      </c>
      <c r="K224">
        <v>0.39291799999999999</v>
      </c>
      <c r="L224">
        <v>0.410806</v>
      </c>
      <c r="M224">
        <v>0.42415799999999998</v>
      </c>
      <c r="N224">
        <v>0.42967499999999997</v>
      </c>
      <c r="O224">
        <v>0.42928899999999998</v>
      </c>
      <c r="P224">
        <v>0.43275599999999997</v>
      </c>
      <c r="Q224">
        <v>0.44654500000000003</v>
      </c>
      <c r="R224">
        <v>0.46606599999999998</v>
      </c>
      <c r="S224">
        <v>0.487985</v>
      </c>
      <c r="T224">
        <v>0.515046</v>
      </c>
      <c r="U224">
        <v>0.54696100000000003</v>
      </c>
      <c r="V224">
        <v>0.58394299999999999</v>
      </c>
      <c r="W224">
        <v>0.62582199999999999</v>
      </c>
      <c r="X224">
        <v>0.67317400000000005</v>
      </c>
      <c r="Y224">
        <v>0.72845700000000002</v>
      </c>
      <c r="Z224">
        <v>0.789906</v>
      </c>
      <c r="AA224">
        <v>0.85352700000000004</v>
      </c>
      <c r="AB224">
        <v>0.92321799999999998</v>
      </c>
      <c r="AC224">
        <v>0.98855099999999996</v>
      </c>
      <c r="AD224">
        <v>1.0453749999999999</v>
      </c>
      <c r="AE224">
        <v>1.1034539999999999</v>
      </c>
      <c r="AF224">
        <v>1.1658329999999999</v>
      </c>
      <c r="AG224">
        <v>1.2301740000000001</v>
      </c>
      <c r="AH224">
        <v>1.2869170000000001</v>
      </c>
      <c r="AI224">
        <v>1.345232</v>
      </c>
      <c r="AJ224" t="s">
        <v>117</v>
      </c>
      <c r="AL224" s="31"/>
    </row>
    <row r="225" spans="2:38">
      <c r="B225" t="s">
        <v>391</v>
      </c>
      <c r="C225" t="s">
        <v>2750</v>
      </c>
      <c r="D225" t="s">
        <v>2751</v>
      </c>
      <c r="E225" t="s">
        <v>417</v>
      </c>
      <c r="G225">
        <v>180.61982699999999</v>
      </c>
      <c r="H225">
        <v>186.49350000000001</v>
      </c>
      <c r="I225">
        <v>188.82283000000001</v>
      </c>
      <c r="J225">
        <v>190.626938</v>
      </c>
      <c r="K225">
        <v>195.106979</v>
      </c>
      <c r="L225">
        <v>202.50727800000001</v>
      </c>
      <c r="M225">
        <v>207.005585</v>
      </c>
      <c r="N225">
        <v>207.12138400000001</v>
      </c>
      <c r="O225">
        <v>203.823837</v>
      </c>
      <c r="P225">
        <v>201.78428600000001</v>
      </c>
      <c r="Q225">
        <v>203.63635300000001</v>
      </c>
      <c r="R225">
        <v>206.92961099999999</v>
      </c>
      <c r="S225">
        <v>209.69859299999999</v>
      </c>
      <c r="T225">
        <v>212.967072</v>
      </c>
      <c r="U225">
        <v>216.125214</v>
      </c>
      <c r="V225">
        <v>219.188492</v>
      </c>
      <c r="W225">
        <v>221.84333799999999</v>
      </c>
      <c r="X225">
        <v>224.323059</v>
      </c>
      <c r="Y225">
        <v>227.32418799999999</v>
      </c>
      <c r="Z225">
        <v>230.371872</v>
      </c>
      <c r="AA225">
        <v>232.498154</v>
      </c>
      <c r="AB225">
        <v>235.21517900000001</v>
      </c>
      <c r="AC225">
        <v>236.05999800000001</v>
      </c>
      <c r="AD225">
        <v>234.92872600000001</v>
      </c>
      <c r="AE225">
        <v>234.37702899999999</v>
      </c>
      <c r="AF225">
        <v>235.44674699999999</v>
      </c>
      <c r="AG225">
        <v>237.52796900000001</v>
      </c>
      <c r="AH225">
        <v>239.052933</v>
      </c>
      <c r="AI225">
        <v>241.633881</v>
      </c>
      <c r="AJ225" s="31">
        <v>0.01</v>
      </c>
      <c r="AL225" s="31"/>
    </row>
    <row r="226" spans="2:38">
      <c r="B226" t="s">
        <v>392</v>
      </c>
    </row>
    <row r="227" spans="2:38">
      <c r="B227" t="s">
        <v>327</v>
      </c>
      <c r="C227" t="s">
        <v>2752</v>
      </c>
      <c r="D227" t="s">
        <v>2753</v>
      </c>
      <c r="E227" t="s">
        <v>417</v>
      </c>
      <c r="G227">
        <v>273.15377799999999</v>
      </c>
      <c r="H227">
        <v>277.07376099999999</v>
      </c>
      <c r="I227">
        <v>274.69210800000002</v>
      </c>
      <c r="J227">
        <v>272.49237099999999</v>
      </c>
      <c r="K227">
        <v>274.15902699999998</v>
      </c>
      <c r="L227">
        <v>279.90683000000001</v>
      </c>
      <c r="M227">
        <v>281.52694700000001</v>
      </c>
      <c r="N227">
        <v>277.27740499999999</v>
      </c>
      <c r="O227">
        <v>268.671448</v>
      </c>
      <c r="P227">
        <v>261.83212300000002</v>
      </c>
      <c r="Q227">
        <v>260.10656699999998</v>
      </c>
      <c r="R227">
        <v>260.1875</v>
      </c>
      <c r="S227">
        <v>259.58990499999999</v>
      </c>
      <c r="T227">
        <v>259.61502100000001</v>
      </c>
      <c r="U227">
        <v>259.50140399999998</v>
      </c>
      <c r="V227">
        <v>259.26907299999999</v>
      </c>
      <c r="W227">
        <v>258.56124899999998</v>
      </c>
      <c r="X227">
        <v>257.66332999999997</v>
      </c>
      <c r="Y227">
        <v>257.36483800000002</v>
      </c>
      <c r="Z227">
        <v>257.10897799999998</v>
      </c>
      <c r="AA227">
        <v>255.83055100000001</v>
      </c>
      <c r="AB227">
        <v>255.20024100000001</v>
      </c>
      <c r="AC227">
        <v>252.56401099999999</v>
      </c>
      <c r="AD227">
        <v>247.90344200000001</v>
      </c>
      <c r="AE227">
        <v>243.960342</v>
      </c>
      <c r="AF227">
        <v>241.76246599999999</v>
      </c>
      <c r="AG227">
        <v>240.633118</v>
      </c>
      <c r="AH227">
        <v>238.96373</v>
      </c>
      <c r="AI227">
        <v>238.36341899999999</v>
      </c>
      <c r="AJ227" s="31">
        <v>-5.0000000000000001E-3</v>
      </c>
      <c r="AL227" s="31"/>
    </row>
    <row r="228" spans="2:38">
      <c r="B228" t="s">
        <v>313</v>
      </c>
      <c r="C228" t="s">
        <v>2754</v>
      </c>
      <c r="D228" t="s">
        <v>2755</v>
      </c>
      <c r="E228" t="s">
        <v>417</v>
      </c>
      <c r="G228">
        <v>1.4683170000000001</v>
      </c>
      <c r="H228">
        <v>1.4740150000000001</v>
      </c>
      <c r="I228">
        <v>1.4485300000000001</v>
      </c>
      <c r="J228">
        <v>1.4262159999999999</v>
      </c>
      <c r="K228">
        <v>1.425861</v>
      </c>
      <c r="L228">
        <v>1.447959</v>
      </c>
      <c r="M228">
        <v>1.44973</v>
      </c>
      <c r="N228">
        <v>1.4223749999999999</v>
      </c>
      <c r="O228">
        <v>1.373761</v>
      </c>
      <c r="P228">
        <v>1.3351310000000001</v>
      </c>
      <c r="Q228">
        <v>1.323261</v>
      </c>
      <c r="R228">
        <v>1.3210850000000001</v>
      </c>
      <c r="S228">
        <v>1.315885</v>
      </c>
      <c r="T228">
        <v>1.314187</v>
      </c>
      <c r="U228">
        <v>1.312079</v>
      </c>
      <c r="V228">
        <v>1.309604</v>
      </c>
      <c r="W228">
        <v>1.3049500000000001</v>
      </c>
      <c r="X228">
        <v>1.2995000000000001</v>
      </c>
      <c r="Y228">
        <v>1.2972220000000001</v>
      </c>
      <c r="Z228">
        <v>1.295293</v>
      </c>
      <c r="AA228">
        <v>1.2883119999999999</v>
      </c>
      <c r="AB228">
        <v>1.284683</v>
      </c>
      <c r="AC228">
        <v>1.2710330000000001</v>
      </c>
      <c r="AD228">
        <v>1.2472639999999999</v>
      </c>
      <c r="AE228">
        <v>1.227174</v>
      </c>
      <c r="AF228">
        <v>1.215902</v>
      </c>
      <c r="AG228">
        <v>1.2100420000000001</v>
      </c>
      <c r="AH228">
        <v>1.2014899999999999</v>
      </c>
      <c r="AI228">
        <v>1.198337</v>
      </c>
      <c r="AJ228" s="31">
        <v>-7.0000000000000001E-3</v>
      </c>
      <c r="AL228" s="31"/>
    </row>
    <row r="229" spans="2:38">
      <c r="B229" t="s">
        <v>308</v>
      </c>
      <c r="C229" t="s">
        <v>2756</v>
      </c>
      <c r="D229" t="s">
        <v>2757</v>
      </c>
      <c r="E229" t="s">
        <v>417</v>
      </c>
      <c r="G229">
        <v>0.173008</v>
      </c>
      <c r="H229">
        <v>0.17172299999999999</v>
      </c>
      <c r="I229">
        <v>0.169068</v>
      </c>
      <c r="J229">
        <v>0.164576</v>
      </c>
      <c r="K229">
        <v>0.16542399999999999</v>
      </c>
      <c r="L229">
        <v>0.16841900000000001</v>
      </c>
      <c r="M229">
        <v>0.168487</v>
      </c>
      <c r="N229">
        <v>0.164966</v>
      </c>
      <c r="O229">
        <v>0.158774</v>
      </c>
      <c r="P229">
        <v>0.15432899999999999</v>
      </c>
      <c r="Q229">
        <v>0.15285599999999999</v>
      </c>
      <c r="R229">
        <v>0.15282999999999999</v>
      </c>
      <c r="S229">
        <v>0.15127099999999999</v>
      </c>
      <c r="T229">
        <v>0.15037500000000001</v>
      </c>
      <c r="U229">
        <v>0.14968300000000001</v>
      </c>
      <c r="V229">
        <v>0.149451</v>
      </c>
      <c r="W229">
        <v>0.14862800000000001</v>
      </c>
      <c r="X229">
        <v>0.14777999999999999</v>
      </c>
      <c r="Y229">
        <v>0.14705699999999999</v>
      </c>
      <c r="Z229">
        <v>0.14660300000000001</v>
      </c>
      <c r="AA229">
        <v>0.14538499999999999</v>
      </c>
      <c r="AB229">
        <v>0.14497399999999999</v>
      </c>
      <c r="AC229">
        <v>0.14352400000000001</v>
      </c>
      <c r="AD229">
        <v>0.14100499999999999</v>
      </c>
      <c r="AE229">
        <v>0.13896900000000001</v>
      </c>
      <c r="AF229">
        <v>0.13796600000000001</v>
      </c>
      <c r="AG229">
        <v>0.137487</v>
      </c>
      <c r="AH229">
        <v>0.13655200000000001</v>
      </c>
      <c r="AI229">
        <v>0.13630700000000001</v>
      </c>
      <c r="AJ229" s="31">
        <v>-8.0000000000000002E-3</v>
      </c>
      <c r="AL229" s="31"/>
    </row>
    <row r="230" spans="2:38">
      <c r="B230" t="s">
        <v>307</v>
      </c>
      <c r="C230" t="s">
        <v>2758</v>
      </c>
      <c r="D230" t="s">
        <v>2759</v>
      </c>
      <c r="E230" t="s">
        <v>417</v>
      </c>
      <c r="G230">
        <v>4.3201349999999996</v>
      </c>
      <c r="H230">
        <v>4.0431869999999996</v>
      </c>
      <c r="I230">
        <v>3.9238460000000002</v>
      </c>
      <c r="J230">
        <v>3.769495</v>
      </c>
      <c r="K230">
        <v>3.6716500000000001</v>
      </c>
      <c r="L230">
        <v>3.5551919999999999</v>
      </c>
      <c r="M230">
        <v>3.410104</v>
      </c>
      <c r="N230">
        <v>3.1770309999999999</v>
      </c>
      <c r="O230">
        <v>2.9144230000000002</v>
      </c>
      <c r="P230">
        <v>2.829548</v>
      </c>
      <c r="Q230">
        <v>2.8854839999999999</v>
      </c>
      <c r="R230">
        <v>3.0298370000000001</v>
      </c>
      <c r="S230">
        <v>3.2043180000000002</v>
      </c>
      <c r="T230">
        <v>3.3965519999999998</v>
      </c>
      <c r="U230">
        <v>3.5950709999999999</v>
      </c>
      <c r="V230">
        <v>3.8028870000000001</v>
      </c>
      <c r="W230">
        <v>4.0112290000000002</v>
      </c>
      <c r="X230">
        <v>4.2221770000000003</v>
      </c>
      <c r="Y230">
        <v>4.4554580000000001</v>
      </c>
      <c r="Z230">
        <v>4.7012130000000001</v>
      </c>
      <c r="AA230">
        <v>4.9360179999999998</v>
      </c>
      <c r="AB230">
        <v>5.2028869999999996</v>
      </c>
      <c r="AC230">
        <v>5.4368910000000001</v>
      </c>
      <c r="AD230">
        <v>5.6219320000000002</v>
      </c>
      <c r="AE230">
        <v>5.8171609999999996</v>
      </c>
      <c r="AF230">
        <v>6.0639770000000004</v>
      </c>
      <c r="AG230">
        <v>6.339137</v>
      </c>
      <c r="AH230">
        <v>6.6010340000000003</v>
      </c>
      <c r="AI230">
        <v>6.8982409999999996</v>
      </c>
      <c r="AJ230" s="31">
        <v>1.7000000000000001E-2</v>
      </c>
      <c r="AL230" s="31"/>
    </row>
    <row r="231" spans="2:38">
      <c r="B231" t="s">
        <v>378</v>
      </c>
      <c r="C231" t="s">
        <v>2760</v>
      </c>
      <c r="D231" t="s">
        <v>2761</v>
      </c>
      <c r="E231" t="s">
        <v>417</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t="s">
        <v>117</v>
      </c>
    </row>
    <row r="232" spans="2:38">
      <c r="B232" t="s">
        <v>379</v>
      </c>
      <c r="C232" t="s">
        <v>2762</v>
      </c>
      <c r="D232" t="s">
        <v>2763</v>
      </c>
      <c r="E232" t="s">
        <v>417</v>
      </c>
      <c r="G232">
        <v>4.6861E-2</v>
      </c>
      <c r="H232">
        <v>4.2104000000000003E-2</v>
      </c>
      <c r="I232">
        <v>3.7054999999999998E-2</v>
      </c>
      <c r="J232">
        <v>3.2542000000000001E-2</v>
      </c>
      <c r="K232">
        <v>2.8996999999999998E-2</v>
      </c>
      <c r="L232">
        <v>2.6221999999999999E-2</v>
      </c>
      <c r="M232">
        <v>2.3376999999999998E-2</v>
      </c>
      <c r="N232">
        <v>2.0413000000000001E-2</v>
      </c>
      <c r="O232">
        <v>1.7541000000000001E-2</v>
      </c>
      <c r="P232">
        <v>1.5166000000000001E-2</v>
      </c>
      <c r="Q232">
        <v>1.3365999999999999E-2</v>
      </c>
      <c r="R232">
        <v>1.1858E-2</v>
      </c>
      <c r="S232">
        <v>1.0488000000000001E-2</v>
      </c>
      <c r="T232">
        <v>9.2910000000000006E-3</v>
      </c>
      <c r="U232">
        <v>8.2199999999999999E-3</v>
      </c>
      <c r="V232">
        <v>7.2639999999999996E-3</v>
      </c>
      <c r="W232">
        <v>6.4009999999999996E-3</v>
      </c>
      <c r="X232">
        <v>5.6319999999999999E-3</v>
      </c>
      <c r="Y232">
        <v>4.9620000000000003E-3</v>
      </c>
      <c r="Z232">
        <v>4.3670000000000002E-3</v>
      </c>
      <c r="AA232">
        <v>3.8249999999999998E-3</v>
      </c>
      <c r="AB232">
        <v>3.3549999999999999E-3</v>
      </c>
      <c r="AC232">
        <v>2.9150000000000001E-3</v>
      </c>
      <c r="AD232">
        <v>2.5100000000000001E-3</v>
      </c>
      <c r="AE232">
        <v>2.1640000000000001E-3</v>
      </c>
      <c r="AF232">
        <v>1.8760000000000001E-3</v>
      </c>
      <c r="AG232">
        <v>1.6310000000000001E-3</v>
      </c>
      <c r="AH232">
        <v>1.413E-3</v>
      </c>
      <c r="AI232">
        <v>1.2279999999999999E-3</v>
      </c>
      <c r="AJ232" s="31">
        <v>-0.122</v>
      </c>
      <c r="AL232" s="31"/>
    </row>
    <row r="233" spans="2:38">
      <c r="B233" t="s">
        <v>381</v>
      </c>
      <c r="C233" t="s">
        <v>2764</v>
      </c>
      <c r="D233" t="s">
        <v>2765</v>
      </c>
      <c r="E233" t="s">
        <v>417</v>
      </c>
      <c r="G233">
        <v>0</v>
      </c>
      <c r="H233">
        <v>0</v>
      </c>
      <c r="I233">
        <v>0.124004</v>
      </c>
      <c r="J233">
        <v>0.12336999999999999</v>
      </c>
      <c r="K233">
        <v>0.123497</v>
      </c>
      <c r="L233">
        <v>0.12639400000000001</v>
      </c>
      <c r="M233">
        <v>0.12881799999999999</v>
      </c>
      <c r="N233">
        <v>0.12857199999999999</v>
      </c>
      <c r="O233">
        <v>0.12715799999999999</v>
      </c>
      <c r="P233">
        <v>0.127133</v>
      </c>
      <c r="Q233">
        <v>0.13075700000000001</v>
      </c>
      <c r="R233">
        <v>0.13653799999999999</v>
      </c>
      <c r="S233">
        <v>0.14230000000000001</v>
      </c>
      <c r="T233">
        <v>0.14810699999999999</v>
      </c>
      <c r="U233">
        <v>0.155443</v>
      </c>
      <c r="V233">
        <v>0.16337199999999999</v>
      </c>
      <c r="W233">
        <v>0.17139299999999999</v>
      </c>
      <c r="X233">
        <v>0.18044499999999999</v>
      </c>
      <c r="Y233">
        <v>0.191217</v>
      </c>
      <c r="Z233">
        <v>0.203458</v>
      </c>
      <c r="AA233">
        <v>0.21637600000000001</v>
      </c>
      <c r="AB233">
        <v>0.231353</v>
      </c>
      <c r="AC233">
        <v>0.24589900000000001</v>
      </c>
      <c r="AD233">
        <v>0.25953599999999999</v>
      </c>
      <c r="AE233">
        <v>0.27476200000000001</v>
      </c>
      <c r="AF233">
        <v>0.29278399999999999</v>
      </c>
      <c r="AG233">
        <v>0.31290899999999999</v>
      </c>
      <c r="AH233">
        <v>0.332872</v>
      </c>
      <c r="AI233">
        <v>0.35465200000000002</v>
      </c>
      <c r="AJ233" t="s">
        <v>117</v>
      </c>
      <c r="AL233" s="31"/>
    </row>
    <row r="234" spans="2:38">
      <c r="B234" t="s">
        <v>380</v>
      </c>
      <c r="C234" t="s">
        <v>2766</v>
      </c>
      <c r="D234" t="s">
        <v>2767</v>
      </c>
      <c r="E234" t="s">
        <v>417</v>
      </c>
      <c r="G234">
        <v>0</v>
      </c>
      <c r="H234">
        <v>0</v>
      </c>
      <c r="I234">
        <v>0.27505000000000002</v>
      </c>
      <c r="J234">
        <v>0.26865899999999998</v>
      </c>
      <c r="K234">
        <v>0.26628800000000002</v>
      </c>
      <c r="L234">
        <v>0.268984</v>
      </c>
      <c r="M234">
        <v>0.26871</v>
      </c>
      <c r="N234">
        <v>0.26366499999999998</v>
      </c>
      <c r="O234">
        <v>0.257156</v>
      </c>
      <c r="P234">
        <v>0.255056</v>
      </c>
      <c r="Q234">
        <v>0.25977699999999998</v>
      </c>
      <c r="R234">
        <v>0.26896799999999998</v>
      </c>
      <c r="S234">
        <v>0.27766999999999997</v>
      </c>
      <c r="T234">
        <v>0.28694399999999998</v>
      </c>
      <c r="U234">
        <v>0.297906</v>
      </c>
      <c r="V234">
        <v>0.31016899999999997</v>
      </c>
      <c r="W234">
        <v>0.32225300000000001</v>
      </c>
      <c r="X234">
        <v>0.33644299999999999</v>
      </c>
      <c r="Y234">
        <v>0.35324499999999998</v>
      </c>
      <c r="Z234">
        <v>0.37246200000000002</v>
      </c>
      <c r="AA234">
        <v>0.39206400000000002</v>
      </c>
      <c r="AB234">
        <v>0.41481699999999999</v>
      </c>
      <c r="AC234">
        <v>0.43431999999999998</v>
      </c>
      <c r="AD234">
        <v>0.45070199999999999</v>
      </c>
      <c r="AE234">
        <v>0.46655400000000002</v>
      </c>
      <c r="AF234">
        <v>0.48563899999999999</v>
      </c>
      <c r="AG234">
        <v>0.504992</v>
      </c>
      <c r="AH234">
        <v>0.52243700000000004</v>
      </c>
      <c r="AI234">
        <v>0.53968000000000005</v>
      </c>
      <c r="AJ234" t="s">
        <v>117</v>
      </c>
      <c r="AL234" s="31"/>
    </row>
    <row r="235" spans="2:38">
      <c r="B235" t="s">
        <v>382</v>
      </c>
      <c r="C235" t="s">
        <v>2768</v>
      </c>
      <c r="D235" t="s">
        <v>2769</v>
      </c>
      <c r="E235" t="s">
        <v>417</v>
      </c>
      <c r="G235">
        <v>0</v>
      </c>
      <c r="H235">
        <v>0</v>
      </c>
      <c r="I235">
        <v>0.41006300000000001</v>
      </c>
      <c r="J235">
        <v>0.41000599999999998</v>
      </c>
      <c r="K235">
        <v>0.41621000000000002</v>
      </c>
      <c r="L235">
        <v>0.42923</v>
      </c>
      <c r="M235">
        <v>0.43662499999999999</v>
      </c>
      <c r="N235">
        <v>0.435529</v>
      </c>
      <c r="O235">
        <v>0.42805599999999999</v>
      </c>
      <c r="P235">
        <v>0.42384300000000003</v>
      </c>
      <c r="Q235">
        <v>0.42857499999999998</v>
      </c>
      <c r="R235">
        <v>0.43723400000000001</v>
      </c>
      <c r="S235">
        <v>0.445851</v>
      </c>
      <c r="T235">
        <v>0.45676800000000001</v>
      </c>
      <c r="U235">
        <v>0.46883200000000003</v>
      </c>
      <c r="V235">
        <v>0.48222100000000001</v>
      </c>
      <c r="W235">
        <v>0.49639699999999998</v>
      </c>
      <c r="X235">
        <v>0.51200900000000005</v>
      </c>
      <c r="Y235">
        <v>0.53081999999999996</v>
      </c>
      <c r="Z235">
        <v>0.55196599999999996</v>
      </c>
      <c r="AA235">
        <v>0.57327099999999998</v>
      </c>
      <c r="AB235">
        <v>0.59853599999999996</v>
      </c>
      <c r="AC235">
        <v>0.62161699999999998</v>
      </c>
      <c r="AD235">
        <v>0.64187300000000003</v>
      </c>
      <c r="AE235">
        <v>0.66601399999999999</v>
      </c>
      <c r="AF235">
        <v>0.69730700000000001</v>
      </c>
      <c r="AG235">
        <v>0.73452300000000004</v>
      </c>
      <c r="AH235">
        <v>0.77302800000000005</v>
      </c>
      <c r="AI235">
        <v>0.81800399999999995</v>
      </c>
      <c r="AJ235" t="s">
        <v>117</v>
      </c>
      <c r="AL235" s="31"/>
    </row>
    <row r="236" spans="2:38">
      <c r="B236" t="s">
        <v>393</v>
      </c>
      <c r="C236" t="s">
        <v>2770</v>
      </c>
      <c r="D236" t="s">
        <v>2771</v>
      </c>
      <c r="E236" t="s">
        <v>417</v>
      </c>
      <c r="G236">
        <v>279.16204800000003</v>
      </c>
      <c r="H236">
        <v>282.80480999999997</v>
      </c>
      <c r="I236">
        <v>281.07968099999999</v>
      </c>
      <c r="J236">
        <v>278.68725599999999</v>
      </c>
      <c r="K236">
        <v>280.256958</v>
      </c>
      <c r="L236">
        <v>285.92919899999998</v>
      </c>
      <c r="M236">
        <v>287.41281099999998</v>
      </c>
      <c r="N236">
        <v>282.88992300000001</v>
      </c>
      <c r="O236">
        <v>273.94830300000001</v>
      </c>
      <c r="P236">
        <v>266.97226000000001</v>
      </c>
      <c r="Q236">
        <v>265.300659</v>
      </c>
      <c r="R236">
        <v>265.54583700000001</v>
      </c>
      <c r="S236">
        <v>265.13763399999999</v>
      </c>
      <c r="T236">
        <v>265.377228</v>
      </c>
      <c r="U236">
        <v>265.48864700000001</v>
      </c>
      <c r="V236">
        <v>265.49408</v>
      </c>
      <c r="W236">
        <v>265.022491</v>
      </c>
      <c r="X236">
        <v>264.367279</v>
      </c>
      <c r="Y236">
        <v>264.34481799999998</v>
      </c>
      <c r="Z236">
        <v>264.38436899999999</v>
      </c>
      <c r="AA236">
        <v>263.38577299999997</v>
      </c>
      <c r="AB236">
        <v>263.080872</v>
      </c>
      <c r="AC236">
        <v>260.720215</v>
      </c>
      <c r="AD236">
        <v>256.26821899999999</v>
      </c>
      <c r="AE236">
        <v>252.55316199999999</v>
      </c>
      <c r="AF236">
        <v>250.65791300000001</v>
      </c>
      <c r="AG236">
        <v>249.87380999999999</v>
      </c>
      <c r="AH236">
        <v>248.53254699999999</v>
      </c>
      <c r="AI236">
        <v>248.30985999999999</v>
      </c>
      <c r="AJ236" s="31">
        <v>-4.0000000000000001E-3</v>
      </c>
      <c r="AL236" s="31"/>
    </row>
    <row r="237" spans="2:38">
      <c r="B237" t="s">
        <v>405</v>
      </c>
      <c r="C237" t="s">
        <v>2772</v>
      </c>
      <c r="D237" t="s">
        <v>2773</v>
      </c>
      <c r="E237" t="s">
        <v>417</v>
      </c>
      <c r="G237">
        <v>711.90508999999997</v>
      </c>
      <c r="H237">
        <v>731.49768100000006</v>
      </c>
      <c r="I237">
        <v>746.08410600000002</v>
      </c>
      <c r="J237">
        <v>755.33306900000002</v>
      </c>
      <c r="K237">
        <v>765.83038299999998</v>
      </c>
      <c r="L237">
        <v>780.86895800000002</v>
      </c>
      <c r="M237">
        <v>788.05279499999995</v>
      </c>
      <c r="N237">
        <v>786.18463099999997</v>
      </c>
      <c r="O237">
        <v>775.89386000000002</v>
      </c>
      <c r="P237">
        <v>769.153503</v>
      </c>
      <c r="Q237">
        <v>772.19421399999999</v>
      </c>
      <c r="R237">
        <v>778.19146699999999</v>
      </c>
      <c r="S237">
        <v>784.09899900000005</v>
      </c>
      <c r="T237">
        <v>793.142517</v>
      </c>
      <c r="U237">
        <v>802.76110800000004</v>
      </c>
      <c r="V237">
        <v>811.77514599999995</v>
      </c>
      <c r="W237">
        <v>820.43054199999995</v>
      </c>
      <c r="X237">
        <v>828.44409199999996</v>
      </c>
      <c r="Y237">
        <v>838.05096400000002</v>
      </c>
      <c r="Z237">
        <v>845.96551499999998</v>
      </c>
      <c r="AA237">
        <v>851.84161400000005</v>
      </c>
      <c r="AB237">
        <v>858.72430399999996</v>
      </c>
      <c r="AC237">
        <v>861.682861</v>
      </c>
      <c r="AD237">
        <v>862.92309599999999</v>
      </c>
      <c r="AE237">
        <v>865.21826199999998</v>
      </c>
      <c r="AF237">
        <v>869.99597200000005</v>
      </c>
      <c r="AG237">
        <v>875.87756300000001</v>
      </c>
      <c r="AH237">
        <v>882.39776600000005</v>
      </c>
      <c r="AI237">
        <v>891.90478499999995</v>
      </c>
      <c r="AJ237" s="31">
        <v>8.0000000000000002E-3</v>
      </c>
      <c r="AL237" s="31"/>
    </row>
    <row r="238" spans="2:38">
      <c r="B238" t="s">
        <v>214</v>
      </c>
    </row>
    <row r="239" spans="2:38">
      <c r="B239" t="s">
        <v>406</v>
      </c>
      <c r="C239" t="s">
        <v>2774</v>
      </c>
      <c r="D239" t="s">
        <v>2775</v>
      </c>
      <c r="E239" t="s">
        <v>418</v>
      </c>
      <c r="G239">
        <v>1620.4948730000001</v>
      </c>
      <c r="H239">
        <v>1600.1008300000001</v>
      </c>
      <c r="I239">
        <v>1666.9197999999999</v>
      </c>
      <c r="J239">
        <v>1628.408447</v>
      </c>
      <c r="K239">
        <v>1561.420654</v>
      </c>
      <c r="L239">
        <v>1509.649414</v>
      </c>
      <c r="M239">
        <v>1489.7312010000001</v>
      </c>
      <c r="N239">
        <v>1507.5151370000001</v>
      </c>
      <c r="O239">
        <v>1500.1649170000001</v>
      </c>
      <c r="P239">
        <v>1506.952393</v>
      </c>
      <c r="Q239">
        <v>1522.1982419999999</v>
      </c>
      <c r="R239">
        <v>1534.73938</v>
      </c>
      <c r="S239">
        <v>1543.237427</v>
      </c>
      <c r="T239">
        <v>1554.590698</v>
      </c>
      <c r="U239">
        <v>1557.5253909999999</v>
      </c>
      <c r="V239">
        <v>1562.481567</v>
      </c>
      <c r="W239">
        <v>1568.966064</v>
      </c>
      <c r="X239">
        <v>1568.3394780000001</v>
      </c>
      <c r="Y239">
        <v>1571.777466</v>
      </c>
      <c r="Z239">
        <v>1585.611206</v>
      </c>
      <c r="AA239">
        <v>1597.3070070000001</v>
      </c>
      <c r="AB239">
        <v>1600.190918</v>
      </c>
      <c r="AC239">
        <v>1601.832764</v>
      </c>
      <c r="AD239">
        <v>1602.998779</v>
      </c>
      <c r="AE239">
        <v>1608.1293949999999</v>
      </c>
      <c r="AF239">
        <v>1618.0823969999999</v>
      </c>
      <c r="AG239">
        <v>1630.8079829999999</v>
      </c>
      <c r="AH239">
        <v>1636.8905030000001</v>
      </c>
      <c r="AI239">
        <v>1649.469482</v>
      </c>
      <c r="AJ239" s="31">
        <v>1E-3</v>
      </c>
      <c r="AL239" s="31"/>
    </row>
    <row r="240" spans="2:38">
      <c r="B240" t="s">
        <v>407</v>
      </c>
      <c r="C240" t="s">
        <v>2776</v>
      </c>
      <c r="D240" t="s">
        <v>2777</v>
      </c>
      <c r="E240" t="s">
        <v>419</v>
      </c>
      <c r="G240">
        <v>3.3663400000000001</v>
      </c>
      <c r="H240">
        <v>3.3698929999999998</v>
      </c>
      <c r="I240">
        <v>3.3734500000000001</v>
      </c>
      <c r="J240">
        <v>3.3770099999999998</v>
      </c>
      <c r="K240">
        <v>3.3805740000000002</v>
      </c>
      <c r="L240">
        <v>3.3841420000000002</v>
      </c>
      <c r="M240">
        <v>3.3877130000000002</v>
      </c>
      <c r="N240">
        <v>3.391289</v>
      </c>
      <c r="O240">
        <v>3.3948680000000002</v>
      </c>
      <c r="P240">
        <v>3.3984510000000001</v>
      </c>
      <c r="Q240">
        <v>3.402037</v>
      </c>
      <c r="R240">
        <v>3.4056280000000001</v>
      </c>
      <c r="S240">
        <v>3.4092220000000002</v>
      </c>
      <c r="T240">
        <v>3.41282</v>
      </c>
      <c r="U240">
        <v>3.4164219999999998</v>
      </c>
      <c r="V240">
        <v>3.4200270000000002</v>
      </c>
      <c r="W240">
        <v>3.4236369999999998</v>
      </c>
      <c r="X240">
        <v>3.4272499999999999</v>
      </c>
      <c r="Y240">
        <v>3.4308670000000001</v>
      </c>
      <c r="Z240">
        <v>3.434488</v>
      </c>
      <c r="AA240">
        <v>3.438113</v>
      </c>
      <c r="AB240">
        <v>3.4417409999999999</v>
      </c>
      <c r="AC240">
        <v>3.445373</v>
      </c>
      <c r="AD240">
        <v>3.4490099999999999</v>
      </c>
      <c r="AE240">
        <v>3.4526490000000001</v>
      </c>
      <c r="AF240">
        <v>3.4562930000000001</v>
      </c>
      <c r="AG240">
        <v>3.4599410000000002</v>
      </c>
      <c r="AH240">
        <v>3.4635929999999999</v>
      </c>
      <c r="AI240">
        <v>3.4672480000000001</v>
      </c>
      <c r="AJ240" s="31">
        <v>1E-3</v>
      </c>
      <c r="AL240" s="31"/>
    </row>
    <row r="241" spans="2:38">
      <c r="B241" t="s">
        <v>116</v>
      </c>
    </row>
    <row r="242" spans="2:38">
      <c r="B242" t="s">
        <v>306</v>
      </c>
      <c r="C242" t="s">
        <v>2778</v>
      </c>
      <c r="D242" t="s">
        <v>2779</v>
      </c>
      <c r="E242" t="s">
        <v>354</v>
      </c>
      <c r="G242">
        <v>480.86654700000003</v>
      </c>
      <c r="H242">
        <v>473.79251099999999</v>
      </c>
      <c r="I242">
        <v>492.51501500000001</v>
      </c>
      <c r="J242">
        <v>480.10034200000001</v>
      </c>
      <c r="K242">
        <v>459.17535400000003</v>
      </c>
      <c r="L242">
        <v>442.59573399999999</v>
      </c>
      <c r="M242">
        <v>435.204926</v>
      </c>
      <c r="N242">
        <v>438.61608899999999</v>
      </c>
      <c r="O242">
        <v>434.49127199999998</v>
      </c>
      <c r="P242">
        <v>434.25302099999999</v>
      </c>
      <c r="Q242">
        <v>435.99301100000002</v>
      </c>
      <c r="R242">
        <v>436.48690800000003</v>
      </c>
      <c r="S242">
        <v>435.37204000000003</v>
      </c>
      <c r="T242">
        <v>434.60772700000001</v>
      </c>
      <c r="U242">
        <v>431.05429099999998</v>
      </c>
      <c r="V242">
        <v>427.65039100000001</v>
      </c>
      <c r="W242">
        <v>424.25372299999998</v>
      </c>
      <c r="X242">
        <v>418.55365</v>
      </c>
      <c r="Y242">
        <v>413.58151199999998</v>
      </c>
      <c r="Z242">
        <v>410.946777</v>
      </c>
      <c r="AA242">
        <v>407.33846999999997</v>
      </c>
      <c r="AB242">
        <v>401.121399</v>
      </c>
      <c r="AC242">
        <v>394.29074100000003</v>
      </c>
      <c r="AD242">
        <v>387.06680299999999</v>
      </c>
      <c r="AE242">
        <v>380.52633700000001</v>
      </c>
      <c r="AF242">
        <v>373.70101899999997</v>
      </c>
      <c r="AG242">
        <v>367.609375</v>
      </c>
      <c r="AH242">
        <v>360.13336199999998</v>
      </c>
      <c r="AI242">
        <v>354.19946299999998</v>
      </c>
      <c r="AJ242" s="31">
        <v>-1.0999999999999999E-2</v>
      </c>
      <c r="AL242" s="31"/>
    </row>
    <row r="243" spans="2:38">
      <c r="B243" t="s">
        <v>315</v>
      </c>
      <c r="C243" t="s">
        <v>2780</v>
      </c>
      <c r="D243" t="s">
        <v>2781</v>
      </c>
      <c r="E243" t="s">
        <v>354</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t="s">
        <v>117</v>
      </c>
    </row>
    <row r="244" spans="2:38">
      <c r="B244" t="s">
        <v>316</v>
      </c>
      <c r="C244" t="s">
        <v>2782</v>
      </c>
      <c r="D244" t="s">
        <v>2783</v>
      </c>
      <c r="E244" t="s">
        <v>354</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t="s">
        <v>117</v>
      </c>
    </row>
    <row r="245" spans="2:38">
      <c r="B245" t="s">
        <v>317</v>
      </c>
      <c r="C245" t="s">
        <v>2784</v>
      </c>
      <c r="D245" t="s">
        <v>2785</v>
      </c>
      <c r="E245" t="s">
        <v>354</v>
      </c>
      <c r="G245">
        <v>0.51516300000000004</v>
      </c>
      <c r="H245">
        <v>1.02989</v>
      </c>
      <c r="I245">
        <v>1.6141289999999999</v>
      </c>
      <c r="J245">
        <v>2.1038670000000002</v>
      </c>
      <c r="K245">
        <v>2.7049910000000001</v>
      </c>
      <c r="L245">
        <v>3.499511</v>
      </c>
      <c r="M245">
        <v>4.5404369999999998</v>
      </c>
      <c r="N245">
        <v>5.9096029999999997</v>
      </c>
      <c r="O245">
        <v>7.4006509999999999</v>
      </c>
      <c r="P245">
        <v>9.1702840000000005</v>
      </c>
      <c r="Q245">
        <v>11.444215</v>
      </c>
      <c r="R245">
        <v>14.161068</v>
      </c>
      <c r="S245">
        <v>17.293554</v>
      </c>
      <c r="T245">
        <v>20.907318</v>
      </c>
      <c r="U245">
        <v>24.839417000000001</v>
      </c>
      <c r="V245">
        <v>29.211893</v>
      </c>
      <c r="W245">
        <v>34.020896999999998</v>
      </c>
      <c r="X245">
        <v>39.055110999999997</v>
      </c>
      <c r="Y245">
        <v>44.546832999999999</v>
      </c>
      <c r="Z245">
        <v>50.726470999999997</v>
      </c>
      <c r="AA245">
        <v>57.249889000000003</v>
      </c>
      <c r="AB245">
        <v>63.815086000000001</v>
      </c>
      <c r="AC245">
        <v>70.632087999999996</v>
      </c>
      <c r="AD245">
        <v>77.703888000000006</v>
      </c>
      <c r="AE245">
        <v>85.240448000000001</v>
      </c>
      <c r="AF245">
        <v>94.454329999999999</v>
      </c>
      <c r="AG245">
        <v>103.730484</v>
      </c>
      <c r="AH245">
        <v>112.465706</v>
      </c>
      <c r="AI245">
        <v>121.52919799999999</v>
      </c>
      <c r="AJ245" s="31">
        <v>0.215</v>
      </c>
      <c r="AL245" s="31"/>
    </row>
    <row r="246" spans="2:38">
      <c r="B246" t="s">
        <v>213</v>
      </c>
    </row>
    <row r="247" spans="2:38">
      <c r="B247" t="s">
        <v>408</v>
      </c>
      <c r="C247" t="s">
        <v>2786</v>
      </c>
      <c r="D247" t="s">
        <v>2787</v>
      </c>
      <c r="E247" t="s">
        <v>418</v>
      </c>
      <c r="G247">
        <v>444.898865</v>
      </c>
      <c r="H247">
        <v>450.42761200000001</v>
      </c>
      <c r="I247">
        <v>448.61004600000001</v>
      </c>
      <c r="J247">
        <v>446.74627700000002</v>
      </c>
      <c r="K247">
        <v>445.22772200000003</v>
      </c>
      <c r="L247">
        <v>442.84777800000001</v>
      </c>
      <c r="M247">
        <v>440.43005399999998</v>
      </c>
      <c r="N247">
        <v>437.02459700000003</v>
      </c>
      <c r="O247">
        <v>434.036407</v>
      </c>
      <c r="P247">
        <v>431.39211999999998</v>
      </c>
      <c r="Q247">
        <v>429.99737499999998</v>
      </c>
      <c r="R247">
        <v>428.16067500000003</v>
      </c>
      <c r="S247">
        <v>426.27862499999998</v>
      </c>
      <c r="T247">
        <v>424.17816199999999</v>
      </c>
      <c r="U247">
        <v>421.71697999999998</v>
      </c>
      <c r="V247">
        <v>419.81463600000001</v>
      </c>
      <c r="W247">
        <v>417.567047</v>
      </c>
      <c r="X247">
        <v>415.80767800000001</v>
      </c>
      <c r="Y247">
        <v>414.04513500000002</v>
      </c>
      <c r="Z247">
        <v>412.52209499999998</v>
      </c>
      <c r="AA247">
        <v>411.24774200000002</v>
      </c>
      <c r="AB247">
        <v>409.97735599999999</v>
      </c>
      <c r="AC247">
        <v>408.52224699999999</v>
      </c>
      <c r="AD247">
        <v>406.63034099999999</v>
      </c>
      <c r="AE247">
        <v>405.358521</v>
      </c>
      <c r="AF247">
        <v>403.865906</v>
      </c>
      <c r="AG247">
        <v>401.97906499999999</v>
      </c>
      <c r="AH247">
        <v>400.55664100000001</v>
      </c>
      <c r="AI247">
        <v>400.09832799999998</v>
      </c>
      <c r="AJ247" s="31">
        <v>-4.0000000000000001E-3</v>
      </c>
      <c r="AL247" s="31"/>
    </row>
    <row r="248" spans="2:38">
      <c r="B248" t="s">
        <v>407</v>
      </c>
      <c r="C248" t="s">
        <v>2788</v>
      </c>
      <c r="D248" t="s">
        <v>2789</v>
      </c>
      <c r="E248" t="s">
        <v>419</v>
      </c>
      <c r="G248">
        <v>4.8202259999999999</v>
      </c>
      <c r="H248">
        <v>4.8389660000000001</v>
      </c>
      <c r="I248">
        <v>4.8577789999999998</v>
      </c>
      <c r="J248">
        <v>4.876665</v>
      </c>
      <c r="K248">
        <v>4.8956239999999998</v>
      </c>
      <c r="L248">
        <v>4.9146570000000001</v>
      </c>
      <c r="M248">
        <v>4.933764</v>
      </c>
      <c r="N248">
        <v>4.9529449999999997</v>
      </c>
      <c r="O248">
        <v>4.9722</v>
      </c>
      <c r="P248">
        <v>4.9915310000000002</v>
      </c>
      <c r="Q248">
        <v>5.0109370000000002</v>
      </c>
      <c r="R248">
        <v>5.0304180000000001</v>
      </c>
      <c r="S248">
        <v>5.0499749999999999</v>
      </c>
      <c r="T248">
        <v>5.0696079999999997</v>
      </c>
      <c r="U248">
        <v>5.0893170000000003</v>
      </c>
      <c r="V248">
        <v>5.1091030000000002</v>
      </c>
      <c r="W248">
        <v>5.1289660000000001</v>
      </c>
      <c r="X248">
        <v>5.1489060000000002</v>
      </c>
      <c r="Y248">
        <v>5.1689230000000004</v>
      </c>
      <c r="Z248">
        <v>5.189019</v>
      </c>
      <c r="AA248">
        <v>5.2091919999999998</v>
      </c>
      <c r="AB248">
        <v>5.2294450000000001</v>
      </c>
      <c r="AC248">
        <v>5.2497749999999996</v>
      </c>
      <c r="AD248">
        <v>5.2701849999999997</v>
      </c>
      <c r="AE248">
        <v>5.2906740000000001</v>
      </c>
      <c r="AF248">
        <v>5.3112430000000002</v>
      </c>
      <c r="AG248">
        <v>5.3318919999999999</v>
      </c>
      <c r="AH248">
        <v>5.3526210000000001</v>
      </c>
      <c r="AI248">
        <v>5.3734299999999999</v>
      </c>
      <c r="AJ248" s="31">
        <v>4.0000000000000001E-3</v>
      </c>
      <c r="AL248" s="31"/>
    </row>
    <row r="249" spans="2:38">
      <c r="B249" t="s">
        <v>116</v>
      </c>
    </row>
    <row r="250" spans="2:38">
      <c r="B250" t="s">
        <v>306</v>
      </c>
      <c r="C250" t="s">
        <v>2790</v>
      </c>
      <c r="D250" t="s">
        <v>1247</v>
      </c>
      <c r="E250" t="s">
        <v>354</v>
      </c>
      <c r="G250">
        <v>95.724982999999995</v>
      </c>
      <c r="H250">
        <v>96.410872999999995</v>
      </c>
      <c r="I250">
        <v>95.648369000000002</v>
      </c>
      <c r="J250">
        <v>94.922400999999994</v>
      </c>
      <c r="K250">
        <v>94.299674999999993</v>
      </c>
      <c r="L250">
        <v>93.480141000000003</v>
      </c>
      <c r="M250">
        <v>92.663535999999993</v>
      </c>
      <c r="N250">
        <v>91.636002000000005</v>
      </c>
      <c r="O250">
        <v>90.709732000000002</v>
      </c>
      <c r="P250">
        <v>89.864052000000001</v>
      </c>
      <c r="Q250">
        <v>89.271820000000005</v>
      </c>
      <c r="R250">
        <v>88.583907999999994</v>
      </c>
      <c r="S250">
        <v>87.881882000000004</v>
      </c>
      <c r="T250">
        <v>87.154610000000005</v>
      </c>
      <c r="U250">
        <v>86.355025999999995</v>
      </c>
      <c r="V250">
        <v>85.672011999999995</v>
      </c>
      <c r="W250">
        <v>84.929305999999997</v>
      </c>
      <c r="X250">
        <v>84.290549999999996</v>
      </c>
      <c r="Y250">
        <v>83.598647999999997</v>
      </c>
      <c r="Z250">
        <v>82.885955999999993</v>
      </c>
      <c r="AA250">
        <v>82.221778999999998</v>
      </c>
      <c r="AB250">
        <v>81.555756000000002</v>
      </c>
      <c r="AC250">
        <v>80.850998000000004</v>
      </c>
      <c r="AD250">
        <v>80.058989999999994</v>
      </c>
      <c r="AE250">
        <v>79.380050999999995</v>
      </c>
      <c r="AF250">
        <v>78.650115999999997</v>
      </c>
      <c r="AG250">
        <v>77.846335999999994</v>
      </c>
      <c r="AH250">
        <v>77.124741</v>
      </c>
      <c r="AI250">
        <v>76.572761999999997</v>
      </c>
      <c r="AJ250" s="31">
        <v>-8.0000000000000002E-3</v>
      </c>
      <c r="AL250" s="31"/>
    </row>
    <row r="251" spans="2:38">
      <c r="B251" t="s">
        <v>315</v>
      </c>
      <c r="C251" t="s">
        <v>2791</v>
      </c>
      <c r="D251" t="s">
        <v>1249</v>
      </c>
      <c r="E251" t="s">
        <v>354</v>
      </c>
      <c r="G251">
        <v>1.875904</v>
      </c>
      <c r="H251">
        <v>1.8078829999999999</v>
      </c>
      <c r="I251">
        <v>1.7136819999999999</v>
      </c>
      <c r="J251">
        <v>1.621937</v>
      </c>
      <c r="K251">
        <v>1.5413140000000001</v>
      </c>
      <c r="L251">
        <v>1.455168</v>
      </c>
      <c r="M251">
        <v>1.371278</v>
      </c>
      <c r="N251">
        <v>1.2863249999999999</v>
      </c>
      <c r="O251">
        <v>1.1999850000000001</v>
      </c>
      <c r="P251">
        <v>1.1125510000000001</v>
      </c>
      <c r="Q251">
        <v>1.0315639999999999</v>
      </c>
      <c r="R251">
        <v>0.94839600000000002</v>
      </c>
      <c r="S251">
        <v>0.86860599999999999</v>
      </c>
      <c r="T251">
        <v>0.79182399999999997</v>
      </c>
      <c r="U251">
        <v>0.72530600000000001</v>
      </c>
      <c r="V251">
        <v>0.65481</v>
      </c>
      <c r="W251">
        <v>0.57531900000000002</v>
      </c>
      <c r="X251">
        <v>0.49192999999999998</v>
      </c>
      <c r="Y251">
        <v>0.417902</v>
      </c>
      <c r="Z251">
        <v>0.41475499999999998</v>
      </c>
      <c r="AA251">
        <v>0.41187499999999999</v>
      </c>
      <c r="AB251">
        <v>0.40901599999999999</v>
      </c>
      <c r="AC251">
        <v>0.40599000000000002</v>
      </c>
      <c r="AD251">
        <v>0.40254800000000002</v>
      </c>
      <c r="AE251">
        <v>0.39974100000000001</v>
      </c>
      <c r="AF251">
        <v>0.396733</v>
      </c>
      <c r="AG251">
        <v>0.39335599999999998</v>
      </c>
      <c r="AH251">
        <v>0.39045299999999999</v>
      </c>
      <c r="AI251">
        <v>0.38850499999999999</v>
      </c>
      <c r="AJ251" s="31">
        <v>-5.5E-2</v>
      </c>
      <c r="AL251" s="31"/>
    </row>
    <row r="252" spans="2:38">
      <c r="B252" t="s">
        <v>316</v>
      </c>
      <c r="C252" t="s">
        <v>2792</v>
      </c>
      <c r="D252" t="s">
        <v>1251</v>
      </c>
      <c r="E252" t="s">
        <v>354</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t="s">
        <v>117</v>
      </c>
    </row>
    <row r="253" spans="2:38">
      <c r="B253" t="s">
        <v>317</v>
      </c>
      <c r="C253" t="s">
        <v>2793</v>
      </c>
      <c r="D253" t="s">
        <v>1253</v>
      </c>
      <c r="E253" t="s">
        <v>354</v>
      </c>
      <c r="G253">
        <v>0.638131</v>
      </c>
      <c r="H253">
        <v>0.70199999999999996</v>
      </c>
      <c r="I253">
        <v>0.75260700000000003</v>
      </c>
      <c r="J253">
        <v>0.80172500000000002</v>
      </c>
      <c r="K253">
        <v>0.84487999999999996</v>
      </c>
      <c r="L253">
        <v>0.88815699999999997</v>
      </c>
      <c r="M253">
        <v>0.92988400000000004</v>
      </c>
      <c r="N253">
        <v>0.96818099999999996</v>
      </c>
      <c r="O253">
        <v>1.009477</v>
      </c>
      <c r="P253">
        <v>1.053212</v>
      </c>
      <c r="Q253">
        <v>1.0977250000000001</v>
      </c>
      <c r="R253">
        <v>1.1419189999999999</v>
      </c>
      <c r="S253">
        <v>1.183538</v>
      </c>
      <c r="T253">
        <v>1.2224330000000001</v>
      </c>
      <c r="U253">
        <v>1.252678</v>
      </c>
      <c r="V253">
        <v>1.2881480000000001</v>
      </c>
      <c r="W253">
        <v>1.3287279999999999</v>
      </c>
      <c r="X253">
        <v>1.374214</v>
      </c>
      <c r="Y253">
        <v>1.4570460000000001</v>
      </c>
      <c r="Z253">
        <v>1.54541</v>
      </c>
      <c r="AA253">
        <v>1.640115</v>
      </c>
      <c r="AB253">
        <v>1.7406269999999999</v>
      </c>
      <c r="AC253">
        <v>1.8464670000000001</v>
      </c>
      <c r="AD253">
        <v>1.956663</v>
      </c>
      <c r="AE253">
        <v>2.0764179999999999</v>
      </c>
      <c r="AF253">
        <v>2.2021730000000002</v>
      </c>
      <c r="AG253">
        <v>2.3334239999999999</v>
      </c>
      <c r="AH253">
        <v>2.4752070000000002</v>
      </c>
      <c r="AI253">
        <v>2.6315870000000001</v>
      </c>
      <c r="AJ253" s="31">
        <v>5.1999999999999998E-2</v>
      </c>
      <c r="AL253" s="31"/>
    </row>
    <row r="254" spans="2:38">
      <c r="B254" t="s">
        <v>212</v>
      </c>
    </row>
    <row r="255" spans="2:38">
      <c r="B255" t="s">
        <v>409</v>
      </c>
      <c r="C255" t="s">
        <v>2794</v>
      </c>
      <c r="D255" t="s">
        <v>2795</v>
      </c>
      <c r="E255" t="s">
        <v>420</v>
      </c>
      <c r="G255">
        <v>5234.1591799999997</v>
      </c>
      <c r="H255">
        <v>5273.296875</v>
      </c>
      <c r="I255">
        <v>5362.6445309999999</v>
      </c>
      <c r="J255">
        <v>5516.3344729999999</v>
      </c>
      <c r="K255">
        <v>5699.1494140000004</v>
      </c>
      <c r="L255">
        <v>5878.9716799999997</v>
      </c>
      <c r="M255">
        <v>6041.2578119999998</v>
      </c>
      <c r="N255">
        <v>6192.2470700000003</v>
      </c>
      <c r="O255">
        <v>6343.6660160000001</v>
      </c>
      <c r="P255">
        <v>6511.3486329999996</v>
      </c>
      <c r="Q255">
        <v>6715.9096680000002</v>
      </c>
      <c r="R255">
        <v>6915.4399409999996</v>
      </c>
      <c r="S255">
        <v>7116.8901370000003</v>
      </c>
      <c r="T255">
        <v>7327.4184569999998</v>
      </c>
      <c r="U255">
        <v>7523.0537109999996</v>
      </c>
      <c r="V255">
        <v>7718.1992190000001</v>
      </c>
      <c r="W255">
        <v>7912.0834960000002</v>
      </c>
      <c r="X255">
        <v>8137.939453</v>
      </c>
      <c r="Y255">
        <v>8368.4814449999994</v>
      </c>
      <c r="Z255">
        <v>8606.8613280000009</v>
      </c>
      <c r="AA255">
        <v>8874.4423829999996</v>
      </c>
      <c r="AB255">
        <v>9160.3457030000009</v>
      </c>
      <c r="AC255">
        <v>9472.5527340000008</v>
      </c>
      <c r="AD255">
        <v>9798.0292969999991</v>
      </c>
      <c r="AE255">
        <v>10143.948242</v>
      </c>
      <c r="AF255">
        <v>10485.746094</v>
      </c>
      <c r="AG255">
        <v>10850.213867</v>
      </c>
      <c r="AH255">
        <v>11224.771484000001</v>
      </c>
      <c r="AI255">
        <v>11635.883789</v>
      </c>
      <c r="AJ255" s="31">
        <v>2.9000000000000001E-2</v>
      </c>
      <c r="AL255" s="31"/>
    </row>
    <row r="256" spans="2:38">
      <c r="B256" t="s">
        <v>410</v>
      </c>
      <c r="C256" t="s">
        <v>2796</v>
      </c>
      <c r="D256" t="s">
        <v>2797</v>
      </c>
      <c r="E256" t="s">
        <v>420</v>
      </c>
      <c r="G256">
        <v>1831.682251</v>
      </c>
      <c r="H256">
        <v>1866.1319579999999</v>
      </c>
      <c r="I256">
        <v>1903.4384769999999</v>
      </c>
      <c r="J256">
        <v>1962.4832759999999</v>
      </c>
      <c r="K256">
        <v>2030.4210210000001</v>
      </c>
      <c r="L256">
        <v>2091.8476559999999</v>
      </c>
      <c r="M256">
        <v>2140.1359859999998</v>
      </c>
      <c r="N256">
        <v>2176.3395999999998</v>
      </c>
      <c r="O256">
        <v>2205.485107</v>
      </c>
      <c r="P256">
        <v>2234.9177249999998</v>
      </c>
      <c r="Q256">
        <v>2273.3510740000002</v>
      </c>
      <c r="R256">
        <v>2317.189453</v>
      </c>
      <c r="S256">
        <v>2363.84375</v>
      </c>
      <c r="T256">
        <v>2415.5078119999998</v>
      </c>
      <c r="U256">
        <v>2471.7585450000001</v>
      </c>
      <c r="V256">
        <v>2534.2473140000002</v>
      </c>
      <c r="W256">
        <v>2596.5371089999999</v>
      </c>
      <c r="X256">
        <v>2674.233643</v>
      </c>
      <c r="Y256">
        <v>2759.7326659999999</v>
      </c>
      <c r="Z256">
        <v>2843.7934570000002</v>
      </c>
      <c r="AA256">
        <v>2937.530518</v>
      </c>
      <c r="AB256">
        <v>3038.2260740000002</v>
      </c>
      <c r="AC256">
        <v>3149.4558109999998</v>
      </c>
      <c r="AD256">
        <v>3264.0588379999999</v>
      </c>
      <c r="AE256">
        <v>3390.117432</v>
      </c>
      <c r="AF256">
        <v>3513.3171390000002</v>
      </c>
      <c r="AG256">
        <v>3646.149414</v>
      </c>
      <c r="AH256">
        <v>3789.6210940000001</v>
      </c>
      <c r="AI256">
        <v>3944.2458499999998</v>
      </c>
      <c r="AJ256" s="31">
        <v>2.8000000000000001E-2</v>
      </c>
      <c r="AL256" s="31"/>
    </row>
    <row r="257" spans="2:38">
      <c r="B257" t="s">
        <v>411</v>
      </c>
      <c r="C257" t="s">
        <v>2798</v>
      </c>
      <c r="D257" t="s">
        <v>2799</v>
      </c>
      <c r="E257" t="s">
        <v>420</v>
      </c>
      <c r="G257">
        <v>3402.476807</v>
      </c>
      <c r="H257">
        <v>3407.165039</v>
      </c>
      <c r="I257">
        <v>3459.2060550000001</v>
      </c>
      <c r="J257">
        <v>3553.8510740000002</v>
      </c>
      <c r="K257">
        <v>3668.7282709999999</v>
      </c>
      <c r="L257">
        <v>3787.123779</v>
      </c>
      <c r="M257">
        <v>3901.1220699999999</v>
      </c>
      <c r="N257">
        <v>4015.9077149999998</v>
      </c>
      <c r="O257">
        <v>4138.1806640000004</v>
      </c>
      <c r="P257">
        <v>4276.4311520000001</v>
      </c>
      <c r="Q257">
        <v>4442.5585940000001</v>
      </c>
      <c r="R257">
        <v>4598.2504879999997</v>
      </c>
      <c r="S257">
        <v>4753.0463870000003</v>
      </c>
      <c r="T257">
        <v>4911.9106449999999</v>
      </c>
      <c r="U257">
        <v>5051.294922</v>
      </c>
      <c r="V257">
        <v>5183.9516599999997</v>
      </c>
      <c r="W257">
        <v>5315.5463870000003</v>
      </c>
      <c r="X257">
        <v>5463.7055659999996</v>
      </c>
      <c r="Y257">
        <v>5608.7485349999997</v>
      </c>
      <c r="Z257">
        <v>5763.0683589999999</v>
      </c>
      <c r="AA257">
        <v>5936.9116210000002</v>
      </c>
      <c r="AB257">
        <v>6122.1201170000004</v>
      </c>
      <c r="AC257">
        <v>6323.0971680000002</v>
      </c>
      <c r="AD257">
        <v>6533.9702150000003</v>
      </c>
      <c r="AE257">
        <v>6753.8305659999996</v>
      </c>
      <c r="AF257">
        <v>6972.4287109999996</v>
      </c>
      <c r="AG257">
        <v>7204.064453</v>
      </c>
      <c r="AH257">
        <v>7435.1499020000001</v>
      </c>
      <c r="AI257">
        <v>7691.6376950000003</v>
      </c>
      <c r="AJ257" s="31">
        <v>0.03</v>
      </c>
      <c r="AL257" s="31"/>
    </row>
    <row r="258" spans="2:38">
      <c r="B258" t="s">
        <v>116</v>
      </c>
    </row>
    <row r="259" spans="2:38">
      <c r="B259" t="s">
        <v>306</v>
      </c>
      <c r="C259" t="s">
        <v>2800</v>
      </c>
      <c r="D259" t="s">
        <v>1257</v>
      </c>
      <c r="E259" t="s">
        <v>354</v>
      </c>
      <c r="G259">
        <v>222.93867499999999</v>
      </c>
      <c r="H259">
        <v>318.21374500000002</v>
      </c>
      <c r="I259">
        <v>318.50683600000002</v>
      </c>
      <c r="J259">
        <v>321.42748999999998</v>
      </c>
      <c r="K259">
        <v>326.40893599999998</v>
      </c>
      <c r="L259">
        <v>331.75039700000002</v>
      </c>
      <c r="M259">
        <v>339.13262900000001</v>
      </c>
      <c r="N259">
        <v>343.65380900000002</v>
      </c>
      <c r="O259">
        <v>348.44000199999999</v>
      </c>
      <c r="P259">
        <v>348.61184700000001</v>
      </c>
      <c r="Q259">
        <v>349.93618800000002</v>
      </c>
      <c r="R259">
        <v>351.71850599999999</v>
      </c>
      <c r="S259">
        <v>354.40063500000002</v>
      </c>
      <c r="T259">
        <v>355.17700200000002</v>
      </c>
      <c r="U259">
        <v>356.67022700000001</v>
      </c>
      <c r="V259">
        <v>356.87670900000001</v>
      </c>
      <c r="W259">
        <v>358.82894900000002</v>
      </c>
      <c r="X259">
        <v>358.93920900000001</v>
      </c>
      <c r="Y259">
        <v>360.572205</v>
      </c>
      <c r="Z259">
        <v>361.26196299999998</v>
      </c>
      <c r="AA259">
        <v>361.28478999999999</v>
      </c>
      <c r="AB259">
        <v>360.64623999999998</v>
      </c>
      <c r="AC259">
        <v>360.38775600000002</v>
      </c>
      <c r="AD259">
        <v>360.05560300000002</v>
      </c>
      <c r="AE259">
        <v>358.46176100000002</v>
      </c>
      <c r="AF259">
        <v>357.26376299999998</v>
      </c>
      <c r="AG259">
        <v>357.07412699999998</v>
      </c>
      <c r="AH259">
        <v>355.22808800000001</v>
      </c>
      <c r="AI259">
        <v>354.51147500000002</v>
      </c>
      <c r="AJ259" s="31">
        <v>1.7000000000000001E-2</v>
      </c>
      <c r="AL259" s="31"/>
    </row>
    <row r="260" spans="2:38">
      <c r="B260" t="s">
        <v>315</v>
      </c>
      <c r="C260" t="s">
        <v>2801</v>
      </c>
      <c r="D260" t="s">
        <v>1259</v>
      </c>
      <c r="E260" t="s">
        <v>354</v>
      </c>
      <c r="G260">
        <v>685.66516100000001</v>
      </c>
      <c r="H260">
        <v>532.149719</v>
      </c>
      <c r="I260">
        <v>519.35320999999999</v>
      </c>
      <c r="J260">
        <v>520.34844999999996</v>
      </c>
      <c r="K260">
        <v>497.46441700000003</v>
      </c>
      <c r="L260">
        <v>487.75363199999998</v>
      </c>
      <c r="M260">
        <v>469.75631700000002</v>
      </c>
      <c r="N260">
        <v>458.26986699999998</v>
      </c>
      <c r="O260">
        <v>449.82733200000001</v>
      </c>
      <c r="P260">
        <v>449.95632899999998</v>
      </c>
      <c r="Q260">
        <v>449.27517699999999</v>
      </c>
      <c r="R260">
        <v>449.44375600000001</v>
      </c>
      <c r="S260">
        <v>447.34497099999999</v>
      </c>
      <c r="T260">
        <v>447.23684700000001</v>
      </c>
      <c r="U260">
        <v>444.02316300000001</v>
      </c>
      <c r="V260">
        <v>442.96899400000001</v>
      </c>
      <c r="W260">
        <v>441.815674</v>
      </c>
      <c r="X260">
        <v>439.63165300000003</v>
      </c>
      <c r="Y260">
        <v>437.97662400000002</v>
      </c>
      <c r="Z260">
        <v>436.76757800000001</v>
      </c>
      <c r="AA260">
        <v>436.80938700000002</v>
      </c>
      <c r="AB260">
        <v>435.24386600000003</v>
      </c>
      <c r="AC260">
        <v>434.29315200000002</v>
      </c>
      <c r="AD260">
        <v>432.733093</v>
      </c>
      <c r="AE260">
        <v>438.45755000000003</v>
      </c>
      <c r="AF260">
        <v>437.70047</v>
      </c>
      <c r="AG260">
        <v>432.92089800000002</v>
      </c>
      <c r="AH260">
        <v>429.24749800000001</v>
      </c>
      <c r="AI260">
        <v>424.56079099999999</v>
      </c>
      <c r="AJ260" s="31">
        <v>-1.7000000000000001E-2</v>
      </c>
      <c r="AL260" s="31"/>
    </row>
    <row r="261" spans="2:38">
      <c r="B261" t="s">
        <v>316</v>
      </c>
      <c r="C261" t="s">
        <v>2802</v>
      </c>
      <c r="D261" t="s">
        <v>1261</v>
      </c>
      <c r="E261" t="s">
        <v>354</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t="s">
        <v>117</v>
      </c>
    </row>
    <row r="262" spans="2:38">
      <c r="B262" t="s">
        <v>317</v>
      </c>
      <c r="C262" t="s">
        <v>2803</v>
      </c>
      <c r="D262" t="s">
        <v>1263</v>
      </c>
      <c r="E262" t="s">
        <v>354</v>
      </c>
      <c r="G262">
        <v>26.423862</v>
      </c>
      <c r="H262">
        <v>31.466925</v>
      </c>
      <c r="I262">
        <v>39.867241</v>
      </c>
      <c r="J262">
        <v>36.828189999999999</v>
      </c>
      <c r="K262">
        <v>47.376953</v>
      </c>
      <c r="L262">
        <v>48.944679000000001</v>
      </c>
      <c r="M262">
        <v>53.800423000000002</v>
      </c>
      <c r="N262">
        <v>57.218277</v>
      </c>
      <c r="O262">
        <v>58.367088000000003</v>
      </c>
      <c r="P262">
        <v>58.568268000000003</v>
      </c>
      <c r="Q262">
        <v>58.225639000000001</v>
      </c>
      <c r="R262">
        <v>56.838042999999999</v>
      </c>
      <c r="S262">
        <v>56.014595</v>
      </c>
      <c r="T262">
        <v>55.804080999999996</v>
      </c>
      <c r="U262">
        <v>56.853912000000001</v>
      </c>
      <c r="V262">
        <v>57.767783999999999</v>
      </c>
      <c r="W262">
        <v>56.989986000000002</v>
      </c>
      <c r="X262">
        <v>58.778945999999998</v>
      </c>
      <c r="Y262">
        <v>58.696617000000003</v>
      </c>
      <c r="Z262">
        <v>59.2714</v>
      </c>
      <c r="AA262">
        <v>59.735518999999996</v>
      </c>
      <c r="AB262">
        <v>61.929656999999999</v>
      </c>
      <c r="AC262">
        <v>63.367027</v>
      </c>
      <c r="AD262">
        <v>65.278946000000005</v>
      </c>
      <c r="AE262">
        <v>63.714081</v>
      </c>
      <c r="AF262">
        <v>65.960021999999995</v>
      </c>
      <c r="AG262">
        <v>69.839432000000002</v>
      </c>
      <c r="AH262">
        <v>74.646148999999994</v>
      </c>
      <c r="AI262">
        <v>79.022368999999998</v>
      </c>
      <c r="AJ262" s="31">
        <v>0.04</v>
      </c>
      <c r="AL262" s="31"/>
    </row>
  </sheetData>
  <pageMargins left="0.75" right="0.75" top="1" bottom="1" header="0.5" footer="0.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50C14-7BC4-4CE4-9EB8-3F60FE20A7C0}">
  <dimension ref="A1:AG119"/>
  <sheetViews>
    <sheetView workbookViewId="0"/>
  </sheetViews>
  <sheetFormatPr defaultRowHeight="15"/>
  <cols>
    <col min="1" max="1" width="43.28515625" customWidth="1"/>
  </cols>
  <sheetData>
    <row r="1" spans="1:33">
      <c r="A1" t="s">
        <v>2805</v>
      </c>
    </row>
    <row r="2" spans="1:33">
      <c r="A2" t="s">
        <v>2806</v>
      </c>
    </row>
    <row r="3" spans="1:33">
      <c r="A3" t="s">
        <v>2807</v>
      </c>
    </row>
    <row r="4" spans="1:33">
      <c r="A4" t="s">
        <v>302</v>
      </c>
    </row>
    <row r="5" spans="1:33">
      <c r="B5" t="s">
        <v>303</v>
      </c>
      <c r="C5" t="s">
        <v>351</v>
      </c>
      <c r="D5" t="s">
        <v>352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2808</v>
      </c>
    </row>
    <row r="6" spans="1:33">
      <c r="A6" t="s">
        <v>101</v>
      </c>
    </row>
    <row r="7" spans="1:33">
      <c r="A7" t="s">
        <v>100</v>
      </c>
    </row>
    <row r="8" spans="1:33">
      <c r="A8" t="s">
        <v>2809</v>
      </c>
    </row>
    <row r="9" spans="1:33">
      <c r="A9" t="s">
        <v>2810</v>
      </c>
      <c r="B9" t="s">
        <v>2811</v>
      </c>
      <c r="C9" t="s">
        <v>2812</v>
      </c>
      <c r="D9" t="s">
        <v>2813</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31">
        <v>4.0000000000000001E-3</v>
      </c>
    </row>
    <row r="10" spans="1:33">
      <c r="A10" t="s">
        <v>311</v>
      </c>
      <c r="B10" t="s">
        <v>2814</v>
      </c>
      <c r="C10" t="s">
        <v>2815</v>
      </c>
      <c r="D10" t="s">
        <v>2813</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31">
        <v>-8.0000000000000002E-3</v>
      </c>
    </row>
    <row r="11" spans="1:33">
      <c r="A11" t="s">
        <v>2816</v>
      </c>
      <c r="B11" t="s">
        <v>2817</v>
      </c>
      <c r="C11" t="s">
        <v>2818</v>
      </c>
      <c r="D11" t="s">
        <v>2813</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31">
        <v>8.9999999999999993E-3</v>
      </c>
    </row>
    <row r="12" spans="1:33">
      <c r="A12" t="s">
        <v>2819</v>
      </c>
    </row>
    <row r="13" spans="1:33">
      <c r="A13" t="s">
        <v>279</v>
      </c>
      <c r="B13" t="s">
        <v>2820</v>
      </c>
      <c r="C13" t="s">
        <v>2821</v>
      </c>
      <c r="D13" t="s">
        <v>2822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31">
        <v>2E-3</v>
      </c>
    </row>
    <row r="14" spans="1:33">
      <c r="A14" t="s">
        <v>2823</v>
      </c>
      <c r="B14" t="s">
        <v>2824</v>
      </c>
      <c r="C14" t="s">
        <v>2825</v>
      </c>
      <c r="D14" t="s">
        <v>2822</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31">
        <v>0.02</v>
      </c>
    </row>
    <row r="15" spans="1:33">
      <c r="A15" t="s">
        <v>2826</v>
      </c>
    </row>
    <row r="16" spans="1:33">
      <c r="A16" t="s">
        <v>185</v>
      </c>
      <c r="B16" t="s">
        <v>2827</v>
      </c>
      <c r="C16" t="s">
        <v>2828</v>
      </c>
      <c r="D16" t="s">
        <v>2829</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31">
        <v>1.7999999999999999E-2</v>
      </c>
    </row>
    <row r="17" spans="1:33">
      <c r="A17" t="s">
        <v>2830</v>
      </c>
    </row>
    <row r="18" spans="1:33">
      <c r="A18" t="s">
        <v>180</v>
      </c>
      <c r="B18" t="s">
        <v>2831</v>
      </c>
      <c r="C18" t="s">
        <v>2832</v>
      </c>
      <c r="D18" t="s">
        <v>2833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31">
        <v>-2E-3</v>
      </c>
    </row>
    <row r="19" spans="1:33">
      <c r="A19" t="s">
        <v>213</v>
      </c>
      <c r="B19" t="s">
        <v>2834</v>
      </c>
      <c r="C19" t="s">
        <v>2835</v>
      </c>
      <c r="D19" t="s">
        <v>2833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31">
        <v>-3.0000000000000001E-3</v>
      </c>
    </row>
    <row r="20" spans="1:33">
      <c r="A20" t="s">
        <v>86</v>
      </c>
    </row>
    <row r="21" spans="1:33">
      <c r="A21" t="s">
        <v>2836</v>
      </c>
    </row>
    <row r="22" spans="1:33">
      <c r="A22" t="s">
        <v>2837</v>
      </c>
      <c r="B22" t="s">
        <v>2838</v>
      </c>
      <c r="C22" t="s">
        <v>2839</v>
      </c>
      <c r="D22" t="s">
        <v>415</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31">
        <v>7.0000000000000001E-3</v>
      </c>
    </row>
    <row r="23" spans="1:33">
      <c r="A23" t="s">
        <v>2840</v>
      </c>
      <c r="B23" t="s">
        <v>2841</v>
      </c>
      <c r="C23" t="s">
        <v>2842</v>
      </c>
      <c r="D23" t="s">
        <v>415</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31">
        <v>7.0000000000000001E-3</v>
      </c>
    </row>
    <row r="24" spans="1:33">
      <c r="A24" t="s">
        <v>2843</v>
      </c>
      <c r="B24" t="s">
        <v>2844</v>
      </c>
      <c r="C24" t="s">
        <v>2845</v>
      </c>
      <c r="D24" t="s">
        <v>415</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31">
        <v>7.0000000000000001E-3</v>
      </c>
    </row>
    <row r="25" spans="1:33">
      <c r="A25" t="s">
        <v>2846</v>
      </c>
      <c r="B25" t="s">
        <v>2847</v>
      </c>
      <c r="C25" t="s">
        <v>2848</v>
      </c>
      <c r="D25" t="s">
        <v>415</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31">
        <v>1.2E-2</v>
      </c>
    </row>
    <row r="26" spans="1:33">
      <c r="A26" t="s">
        <v>2840</v>
      </c>
      <c r="B26" t="s">
        <v>2849</v>
      </c>
      <c r="C26" t="s">
        <v>2850</v>
      </c>
      <c r="D26" t="s">
        <v>415</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31">
        <v>1.7000000000000001E-2</v>
      </c>
    </row>
    <row r="27" spans="1:33">
      <c r="A27" t="s">
        <v>2843</v>
      </c>
      <c r="B27" t="s">
        <v>2851</v>
      </c>
      <c r="C27" t="s">
        <v>2852</v>
      </c>
      <c r="D27" t="s">
        <v>415</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31">
        <v>8.9999999999999993E-3</v>
      </c>
    </row>
    <row r="28" spans="1:33">
      <c r="A28" t="s">
        <v>2853</v>
      </c>
      <c r="B28" t="s">
        <v>2854</v>
      </c>
      <c r="C28" t="s">
        <v>2855</v>
      </c>
      <c r="D28" t="s">
        <v>415</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31">
        <v>1.2E-2</v>
      </c>
    </row>
    <row r="29" spans="1:33">
      <c r="A29" t="s">
        <v>2840</v>
      </c>
      <c r="B29" t="s">
        <v>2856</v>
      </c>
      <c r="C29" t="s">
        <v>2857</v>
      </c>
      <c r="D29" t="s">
        <v>415</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31">
        <v>1.7999999999999999E-2</v>
      </c>
    </row>
    <row r="30" spans="1:33">
      <c r="A30" t="s">
        <v>2843</v>
      </c>
      <c r="B30" t="s">
        <v>2858</v>
      </c>
      <c r="C30" t="s">
        <v>2859</v>
      </c>
      <c r="D30" t="s">
        <v>415</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31">
        <v>8.9999999999999993E-3</v>
      </c>
    </row>
    <row r="31" spans="1:33">
      <c r="A31" t="s">
        <v>2860</v>
      </c>
      <c r="B31" t="s">
        <v>2861</v>
      </c>
      <c r="C31" t="s">
        <v>2862</v>
      </c>
      <c r="D31" t="s">
        <v>415</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31">
        <v>1.2E-2</v>
      </c>
    </row>
    <row r="32" spans="1:33">
      <c r="A32" t="s">
        <v>2840</v>
      </c>
      <c r="B32" t="s">
        <v>2863</v>
      </c>
      <c r="C32" t="s">
        <v>2864</v>
      </c>
      <c r="D32" t="s">
        <v>415</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31">
        <v>1.7999999999999999E-2</v>
      </c>
    </row>
    <row r="33" spans="1:33">
      <c r="A33" t="s">
        <v>2843</v>
      </c>
      <c r="B33" t="s">
        <v>2865</v>
      </c>
      <c r="C33" t="s">
        <v>2866</v>
      </c>
      <c r="D33" t="s">
        <v>415</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31">
        <v>8.9999999999999993E-3</v>
      </c>
    </row>
    <row r="34" spans="1:33">
      <c r="A34" t="s">
        <v>2867</v>
      </c>
      <c r="B34" t="s">
        <v>2868</v>
      </c>
      <c r="C34" t="s">
        <v>2869</v>
      </c>
      <c r="D34" t="s">
        <v>415</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31">
        <v>1.4999999999999999E-2</v>
      </c>
    </row>
    <row r="35" spans="1:33">
      <c r="A35" t="s">
        <v>2870</v>
      </c>
      <c r="B35" t="s">
        <v>2871</v>
      </c>
      <c r="C35" t="s">
        <v>2872</v>
      </c>
      <c r="D35" t="s">
        <v>415</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31">
        <v>8.9999999999999993E-3</v>
      </c>
    </row>
    <row r="36" spans="1:33">
      <c r="A36" t="s">
        <v>2873</v>
      </c>
      <c r="B36" t="s">
        <v>2874</v>
      </c>
      <c r="C36" t="s">
        <v>2875</v>
      </c>
      <c r="D36" t="s">
        <v>415</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31">
        <v>7.0000000000000001E-3</v>
      </c>
    </row>
    <row r="37" spans="1:33">
      <c r="A37" t="s">
        <v>2876</v>
      </c>
      <c r="B37" t="s">
        <v>2877</v>
      </c>
      <c r="C37" t="s">
        <v>2878</v>
      </c>
      <c r="D37" t="s">
        <v>415</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31">
        <v>8.9999999999999993E-3</v>
      </c>
    </row>
    <row r="38" spans="1:33">
      <c r="A38" t="s">
        <v>2879</v>
      </c>
    </row>
    <row r="39" spans="1:33">
      <c r="A39" t="s">
        <v>2880</v>
      </c>
      <c r="B39" t="s">
        <v>2881</v>
      </c>
      <c r="C39" t="s">
        <v>2882</v>
      </c>
      <c r="D39" t="s">
        <v>454</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31">
        <v>8.0000000000000002E-3</v>
      </c>
    </row>
    <row r="40" spans="1:33">
      <c r="A40" t="s">
        <v>2883</v>
      </c>
    </row>
    <row r="41" spans="1:33">
      <c r="A41" t="s">
        <v>180</v>
      </c>
      <c r="B41" t="s">
        <v>2884</v>
      </c>
      <c r="C41" t="s">
        <v>2885</v>
      </c>
      <c r="D41" t="s">
        <v>2886</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31">
        <v>1E-3</v>
      </c>
    </row>
    <row r="42" spans="1:33">
      <c r="A42" t="s">
        <v>213</v>
      </c>
      <c r="B42" t="s">
        <v>2887</v>
      </c>
      <c r="C42" t="s">
        <v>2888</v>
      </c>
      <c r="D42" t="s">
        <v>2886</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31">
        <v>4.0000000000000001E-3</v>
      </c>
    </row>
    <row r="43" spans="1:33">
      <c r="A43" t="s">
        <v>44</v>
      </c>
    </row>
    <row r="44" spans="1:33">
      <c r="A44" t="s">
        <v>2889</v>
      </c>
    </row>
    <row r="45" spans="1:33">
      <c r="A45" t="s">
        <v>333</v>
      </c>
      <c r="B45" t="s">
        <v>2890</v>
      </c>
      <c r="C45" t="s">
        <v>2891</v>
      </c>
      <c r="D45" t="s">
        <v>2892</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31">
        <v>-8.0000000000000002E-3</v>
      </c>
    </row>
    <row r="46" spans="1:33">
      <c r="A46" t="s">
        <v>311</v>
      </c>
      <c r="B46" t="s">
        <v>2893</v>
      </c>
      <c r="C46" t="s">
        <v>2894</v>
      </c>
      <c r="D46" t="s">
        <v>2892</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31">
        <v>-1.4999999999999999E-2</v>
      </c>
    </row>
    <row r="47" spans="1:33">
      <c r="A47" t="s">
        <v>279</v>
      </c>
      <c r="B47" t="s">
        <v>2895</v>
      </c>
      <c r="C47" t="s">
        <v>2896</v>
      </c>
      <c r="D47" t="s">
        <v>2892</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31">
        <v>-5.0000000000000001E-3</v>
      </c>
    </row>
    <row r="48" spans="1:33">
      <c r="A48" t="s">
        <v>312</v>
      </c>
      <c r="B48" t="s">
        <v>2897</v>
      </c>
      <c r="C48" t="s">
        <v>2898</v>
      </c>
      <c r="D48" t="s">
        <v>2892</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31">
        <v>-1E-3</v>
      </c>
    </row>
    <row r="49" spans="1:33">
      <c r="A49" t="s">
        <v>180</v>
      </c>
      <c r="B49" t="s">
        <v>2899</v>
      </c>
      <c r="C49" t="s">
        <v>2900</v>
      </c>
      <c r="D49" t="s">
        <v>2892</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31">
        <v>1.0999999999999999E-2</v>
      </c>
    </row>
    <row r="50" spans="1:33">
      <c r="A50" t="s">
        <v>180</v>
      </c>
      <c r="B50" t="s">
        <v>2901</v>
      </c>
      <c r="C50" t="s">
        <v>2902</v>
      </c>
      <c r="D50" t="s">
        <v>2892</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31">
        <v>-3.0000000000000001E-3</v>
      </c>
    </row>
    <row r="51" spans="1:33">
      <c r="A51" t="s">
        <v>2903</v>
      </c>
      <c r="B51" t="s">
        <v>2904</v>
      </c>
      <c r="C51" t="s">
        <v>2905</v>
      </c>
      <c r="D51" t="s">
        <v>2892</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31">
        <v>-7.0000000000000001E-3</v>
      </c>
    </row>
    <row r="52" spans="1:33">
      <c r="A52" t="s">
        <v>2903</v>
      </c>
      <c r="B52" t="s">
        <v>2906</v>
      </c>
      <c r="C52" t="s">
        <v>2907</v>
      </c>
      <c r="D52" t="s">
        <v>2892</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31">
        <v>8.9999999999999993E-3</v>
      </c>
    </row>
    <row r="53" spans="1:33">
      <c r="A53" t="s">
        <v>281</v>
      </c>
      <c r="B53" t="s">
        <v>2908</v>
      </c>
      <c r="C53" t="s">
        <v>2909</v>
      </c>
      <c r="D53" t="s">
        <v>2892</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31">
        <v>-5.0000000000000001E-3</v>
      </c>
    </row>
    <row r="54" spans="1:33">
      <c r="A54" t="s">
        <v>185</v>
      </c>
      <c r="B54" t="s">
        <v>2910</v>
      </c>
      <c r="C54" t="s">
        <v>2911</v>
      </c>
      <c r="D54" t="s">
        <v>2892</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31">
        <v>8.9999999999999993E-3</v>
      </c>
    </row>
    <row r="55" spans="1:33">
      <c r="A55" t="s">
        <v>278</v>
      </c>
      <c r="B55" t="s">
        <v>2912</v>
      </c>
      <c r="C55" t="s">
        <v>2913</v>
      </c>
      <c r="D55" t="s">
        <v>2892</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31">
        <v>2E-3</v>
      </c>
    </row>
    <row r="56" spans="1:33">
      <c r="A56" t="s">
        <v>282</v>
      </c>
      <c r="B56" t="s">
        <v>2914</v>
      </c>
      <c r="C56" t="s">
        <v>2915</v>
      </c>
      <c r="D56" t="s">
        <v>2892</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31">
        <v>0</v>
      </c>
    </row>
    <row r="57" spans="1:33">
      <c r="A57" t="s">
        <v>2916</v>
      </c>
      <c r="B57" t="s">
        <v>2917</v>
      </c>
      <c r="C57" t="s">
        <v>2918</v>
      </c>
      <c r="D57" t="s">
        <v>2892</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31">
        <v>-4.0000000000000001E-3</v>
      </c>
    </row>
    <row r="58" spans="1:33">
      <c r="A58" t="s">
        <v>1143</v>
      </c>
      <c r="B58" t="s">
        <v>2919</v>
      </c>
      <c r="C58" t="s">
        <v>2920</v>
      </c>
      <c r="D58" t="s">
        <v>2892</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31">
        <v>3.6999999999999998E-2</v>
      </c>
    </row>
    <row r="59" spans="1:33">
      <c r="A59" t="s">
        <v>193</v>
      </c>
      <c r="B59" t="s">
        <v>2921</v>
      </c>
      <c r="C59" t="s">
        <v>2922</v>
      </c>
      <c r="D59" t="s">
        <v>2892</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31">
        <v>-3.0000000000000001E-3</v>
      </c>
    </row>
    <row r="60" spans="1:33">
      <c r="A60" t="s">
        <v>2923</v>
      </c>
    </row>
    <row r="61" spans="1:33">
      <c r="A61" t="s">
        <v>333</v>
      </c>
      <c r="B61" t="s">
        <v>2890</v>
      </c>
      <c r="C61" t="s">
        <v>2924</v>
      </c>
      <c r="D61" t="s">
        <v>2925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31">
        <v>-8.9999999999999993E-3</v>
      </c>
    </row>
    <row r="62" spans="1:33">
      <c r="A62" t="s">
        <v>311</v>
      </c>
      <c r="B62" t="s">
        <v>2893</v>
      </c>
      <c r="C62" t="s">
        <v>2926</v>
      </c>
      <c r="D62" t="s">
        <v>2925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31">
        <v>-1.4E-2</v>
      </c>
    </row>
    <row r="63" spans="1:33">
      <c r="A63" t="s">
        <v>279</v>
      </c>
      <c r="B63" t="s">
        <v>2895</v>
      </c>
      <c r="C63" t="s">
        <v>2927</v>
      </c>
      <c r="D63" t="s">
        <v>2925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31">
        <v>-5.0000000000000001E-3</v>
      </c>
    </row>
    <row r="64" spans="1:33">
      <c r="A64" t="s">
        <v>312</v>
      </c>
      <c r="B64" t="s">
        <v>2897</v>
      </c>
      <c r="C64" t="s">
        <v>2928</v>
      </c>
      <c r="D64" t="s">
        <v>2925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31">
        <v>-1E-3</v>
      </c>
    </row>
    <row r="65" spans="1:33">
      <c r="A65" t="s">
        <v>180</v>
      </c>
      <c r="B65" t="s">
        <v>2899</v>
      </c>
      <c r="C65" t="s">
        <v>2929</v>
      </c>
      <c r="D65" t="s">
        <v>2925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31">
        <v>1.0999999999999999E-2</v>
      </c>
    </row>
    <row r="66" spans="1:33">
      <c r="A66" t="s">
        <v>180</v>
      </c>
      <c r="B66" t="s">
        <v>2901</v>
      </c>
      <c r="C66" t="s">
        <v>2930</v>
      </c>
      <c r="D66" t="s">
        <v>2925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31">
        <v>-3.0000000000000001E-3</v>
      </c>
    </row>
    <row r="67" spans="1:33">
      <c r="A67" t="s">
        <v>2903</v>
      </c>
      <c r="B67" t="s">
        <v>2904</v>
      </c>
      <c r="C67" t="s">
        <v>2931</v>
      </c>
      <c r="D67" t="s">
        <v>2925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31">
        <v>-7.0000000000000001E-3</v>
      </c>
    </row>
    <row r="68" spans="1:33">
      <c r="A68" t="s">
        <v>2903</v>
      </c>
      <c r="B68" t="s">
        <v>2906</v>
      </c>
      <c r="C68" t="s">
        <v>2932</v>
      </c>
      <c r="D68" t="s">
        <v>2925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31">
        <v>8.9999999999999993E-3</v>
      </c>
    </row>
    <row r="69" spans="1:33">
      <c r="A69" t="s">
        <v>281</v>
      </c>
      <c r="B69" t="s">
        <v>2908</v>
      </c>
      <c r="C69" t="s">
        <v>2933</v>
      </c>
      <c r="D69" t="s">
        <v>2925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31">
        <v>-5.0000000000000001E-3</v>
      </c>
    </row>
    <row r="70" spans="1:33">
      <c r="A70" t="s">
        <v>185</v>
      </c>
      <c r="B70" t="s">
        <v>2910</v>
      </c>
      <c r="C70" t="s">
        <v>2934</v>
      </c>
      <c r="D70" t="s">
        <v>2925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31">
        <v>8.9999999999999993E-3</v>
      </c>
    </row>
    <row r="71" spans="1:33">
      <c r="A71" t="s">
        <v>278</v>
      </c>
      <c r="B71" t="s">
        <v>2912</v>
      </c>
      <c r="C71" t="s">
        <v>2935</v>
      </c>
      <c r="D71" t="s">
        <v>2925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31">
        <v>2E-3</v>
      </c>
    </row>
    <row r="72" spans="1:33">
      <c r="A72" t="s">
        <v>282</v>
      </c>
      <c r="B72" t="s">
        <v>2914</v>
      </c>
      <c r="C72" t="s">
        <v>2936</v>
      </c>
      <c r="D72" t="s">
        <v>2925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31">
        <v>0</v>
      </c>
    </row>
    <row r="73" spans="1:33">
      <c r="A73" t="s">
        <v>2916</v>
      </c>
      <c r="B73" t="s">
        <v>2917</v>
      </c>
      <c r="C73" t="s">
        <v>2937</v>
      </c>
      <c r="D73" t="s">
        <v>2925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31">
        <v>-4.0000000000000001E-3</v>
      </c>
    </row>
    <row r="74" spans="1:33">
      <c r="A74" t="s">
        <v>1143</v>
      </c>
      <c r="B74" t="s">
        <v>2919</v>
      </c>
      <c r="C74" t="s">
        <v>2938</v>
      </c>
      <c r="D74" t="s">
        <v>2925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31">
        <v>3.6999999999999998E-2</v>
      </c>
    </row>
    <row r="75" spans="1:33">
      <c r="A75" t="s">
        <v>193</v>
      </c>
      <c r="B75" t="s">
        <v>2921</v>
      </c>
      <c r="C75" t="s">
        <v>2939</v>
      </c>
      <c r="D75" t="s">
        <v>2925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31">
        <v>-3.0000000000000001E-3</v>
      </c>
    </row>
    <row r="76" spans="1:33">
      <c r="A76" t="s">
        <v>2940</v>
      </c>
    </row>
    <row r="77" spans="1:33">
      <c r="A77" t="s">
        <v>333</v>
      </c>
    </row>
    <row r="78" spans="1:33">
      <c r="A78" t="s">
        <v>2941</v>
      </c>
      <c r="B78" t="s">
        <v>2942</v>
      </c>
      <c r="C78" t="s">
        <v>2943</v>
      </c>
      <c r="D78" t="s">
        <v>2944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31">
        <v>-1.9E-2</v>
      </c>
    </row>
    <row r="79" spans="1:33">
      <c r="A79" t="s">
        <v>2945</v>
      </c>
      <c r="B79" t="s">
        <v>2946</v>
      </c>
      <c r="C79" t="s">
        <v>2943</v>
      </c>
      <c r="D79" t="s">
        <v>2944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31">
        <v>-2.3E-2</v>
      </c>
    </row>
    <row r="80" spans="1:33">
      <c r="A80" t="s">
        <v>2947</v>
      </c>
      <c r="B80" t="s">
        <v>2948</v>
      </c>
      <c r="C80" t="s">
        <v>2943</v>
      </c>
      <c r="D80" t="s">
        <v>2944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31">
        <v>-2.3E-2</v>
      </c>
    </row>
    <row r="81" spans="1:33">
      <c r="A81" t="s">
        <v>312</v>
      </c>
    </row>
    <row r="82" spans="1:33">
      <c r="A82" t="s">
        <v>2949</v>
      </c>
      <c r="B82" t="s">
        <v>2950</v>
      </c>
      <c r="C82" t="s">
        <v>2951</v>
      </c>
      <c r="D82" t="s">
        <v>2952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31">
        <v>-2.3E-2</v>
      </c>
    </row>
    <row r="83" spans="1:33">
      <c r="A83" t="s">
        <v>2953</v>
      </c>
      <c r="B83" t="s">
        <v>2954</v>
      </c>
      <c r="C83" t="s">
        <v>2951</v>
      </c>
      <c r="D83" t="s">
        <v>2952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31">
        <v>-2.3E-2</v>
      </c>
    </row>
    <row r="84" spans="1:33">
      <c r="A84" t="s">
        <v>2955</v>
      </c>
      <c r="B84" t="s">
        <v>2956</v>
      </c>
      <c r="C84" t="s">
        <v>2951</v>
      </c>
      <c r="D84" t="s">
        <v>2952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31">
        <v>-2.3E-2</v>
      </c>
    </row>
    <row r="85" spans="1:33">
      <c r="A85" t="s">
        <v>2957</v>
      </c>
      <c r="B85" t="s">
        <v>2958</v>
      </c>
      <c r="C85" t="s">
        <v>2951</v>
      </c>
      <c r="D85" t="s">
        <v>2952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31">
        <v>-2.3E-2</v>
      </c>
    </row>
    <row r="86" spans="1:33">
      <c r="A86" t="s">
        <v>2947</v>
      </c>
      <c r="B86" t="s">
        <v>2959</v>
      </c>
      <c r="C86" t="s">
        <v>2951</v>
      </c>
      <c r="D86" t="s">
        <v>2952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31">
        <v>-2.3E-2</v>
      </c>
    </row>
    <row r="87" spans="1:33">
      <c r="A87" t="s">
        <v>2960</v>
      </c>
    </row>
    <row r="88" spans="1:33">
      <c r="A88" t="s">
        <v>2961</v>
      </c>
      <c r="B88" t="s">
        <v>2962</v>
      </c>
      <c r="C88" t="s">
        <v>2963</v>
      </c>
      <c r="D88" t="s">
        <v>2964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31">
        <v>-4.0000000000000001E-3</v>
      </c>
    </row>
    <row r="89" spans="1:33">
      <c r="A89" t="s">
        <v>333</v>
      </c>
      <c r="B89" t="s">
        <v>2965</v>
      </c>
      <c r="C89" t="s">
        <v>2966</v>
      </c>
      <c r="D89" t="s">
        <v>2964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31">
        <v>-5.0000000000000001E-3</v>
      </c>
    </row>
    <row r="90" spans="1:33">
      <c r="A90" t="s">
        <v>2967</v>
      </c>
      <c r="B90" t="s">
        <v>2968</v>
      </c>
      <c r="C90" t="s">
        <v>2966</v>
      </c>
      <c r="D90" t="s">
        <v>2964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31">
        <v>-5.0000000000000001E-3</v>
      </c>
    </row>
    <row r="91" spans="1:33">
      <c r="A91" t="s">
        <v>2969</v>
      </c>
      <c r="B91" t="s">
        <v>2970</v>
      </c>
      <c r="C91" t="s">
        <v>2966</v>
      </c>
      <c r="D91" t="s">
        <v>2964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31">
        <v>-0.01</v>
      </c>
    </row>
    <row r="92" spans="1:33">
      <c r="A92" t="s">
        <v>2971</v>
      </c>
      <c r="B92" t="s">
        <v>2972</v>
      </c>
      <c r="C92" t="s">
        <v>2966</v>
      </c>
      <c r="D92" t="s">
        <v>2964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31">
        <v>-0.01</v>
      </c>
    </row>
    <row r="93" spans="1:33">
      <c r="A93" t="s">
        <v>2973</v>
      </c>
      <c r="B93" t="s">
        <v>2974</v>
      </c>
      <c r="C93" t="s">
        <v>2975</v>
      </c>
      <c r="D93" t="s">
        <v>2964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31">
        <v>-8.0000000000000002E-3</v>
      </c>
    </row>
    <row r="94" spans="1:33">
      <c r="A94" t="s">
        <v>340</v>
      </c>
      <c r="B94" t="s">
        <v>2976</v>
      </c>
      <c r="C94" t="s">
        <v>2975</v>
      </c>
      <c r="D94" t="s">
        <v>2964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31">
        <v>-8.9999999999999993E-3</v>
      </c>
    </row>
    <row r="95" spans="1:33">
      <c r="A95" t="s">
        <v>338</v>
      </c>
      <c r="B95" t="s">
        <v>2977</v>
      </c>
      <c r="C95" t="s">
        <v>2975</v>
      </c>
      <c r="D95" t="s">
        <v>2964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31">
        <v>-8.0000000000000002E-3</v>
      </c>
    </row>
    <row r="96" spans="1:33">
      <c r="A96" t="s">
        <v>339</v>
      </c>
      <c r="B96" t="s">
        <v>2978</v>
      </c>
      <c r="C96" t="s">
        <v>2975</v>
      </c>
      <c r="D96" t="s">
        <v>2964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31">
        <v>-4.0000000000000001E-3</v>
      </c>
    </row>
    <row r="97" spans="1:33">
      <c r="A97" t="s">
        <v>2979</v>
      </c>
      <c r="B97" t="s">
        <v>2980</v>
      </c>
      <c r="C97" t="s">
        <v>2981</v>
      </c>
      <c r="D97" t="s">
        <v>2964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31">
        <v>-1.6E-2</v>
      </c>
    </row>
    <row r="98" spans="1:33">
      <c r="A98" t="s">
        <v>2982</v>
      </c>
      <c r="B98" t="s">
        <v>2983</v>
      </c>
      <c r="C98" t="s">
        <v>2981</v>
      </c>
      <c r="D98" t="s">
        <v>2964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31">
        <v>-4.0000000000000001E-3</v>
      </c>
    </row>
    <row r="99" spans="1:33">
      <c r="A99" t="s">
        <v>2984</v>
      </c>
      <c r="B99" t="s">
        <v>2985</v>
      </c>
      <c r="C99" t="s">
        <v>2981</v>
      </c>
      <c r="D99" t="s">
        <v>2964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31">
        <v>-3.0000000000000001E-3</v>
      </c>
    </row>
    <row r="100" spans="1:33">
      <c r="A100" t="s">
        <v>2986</v>
      </c>
    </row>
    <row r="101" spans="1:33">
      <c r="A101" t="s">
        <v>2982</v>
      </c>
      <c r="B101" t="s">
        <v>2987</v>
      </c>
      <c r="C101" t="s">
        <v>2988</v>
      </c>
      <c r="D101" t="s">
        <v>2964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31">
        <v>-4.0000000000000001E-3</v>
      </c>
    </row>
    <row r="102" spans="1:33">
      <c r="A102" t="s">
        <v>2984</v>
      </c>
      <c r="B102" t="s">
        <v>2989</v>
      </c>
      <c r="C102" t="s">
        <v>2988</v>
      </c>
      <c r="D102" t="s">
        <v>2964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31">
        <v>-3.0000000000000001E-3</v>
      </c>
    </row>
    <row r="103" spans="1:33">
      <c r="A103" t="s">
        <v>2990</v>
      </c>
      <c r="B103" t="s">
        <v>2991</v>
      </c>
      <c r="C103" t="s">
        <v>2992</v>
      </c>
      <c r="D103" t="s">
        <v>2993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31">
        <v>1E-3</v>
      </c>
    </row>
    <row r="104" spans="1:33">
      <c r="A104" t="s">
        <v>2994</v>
      </c>
    </row>
    <row r="105" spans="1:33">
      <c r="A105" t="s">
        <v>316</v>
      </c>
    </row>
    <row r="106" spans="1:33">
      <c r="A106" t="s">
        <v>312</v>
      </c>
      <c r="B106" t="s">
        <v>2995</v>
      </c>
      <c r="C106" t="s">
        <v>2996</v>
      </c>
      <c r="D106" t="s">
        <v>2997</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31">
        <v>3.0000000000000001E-3</v>
      </c>
    </row>
    <row r="107" spans="1:33">
      <c r="A107" t="s">
        <v>2984</v>
      </c>
      <c r="B107" t="s">
        <v>2998</v>
      </c>
      <c r="C107" t="s">
        <v>2999</v>
      </c>
      <c r="D107" t="s">
        <v>2997</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31">
        <v>1E-3</v>
      </c>
    </row>
    <row r="108" spans="1:33">
      <c r="A108" t="s">
        <v>2982</v>
      </c>
      <c r="B108" t="s">
        <v>3000</v>
      </c>
      <c r="C108" t="s">
        <v>3001</v>
      </c>
      <c r="D108" t="s">
        <v>2997</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31">
        <v>1E-3</v>
      </c>
    </row>
    <row r="109" spans="1:33">
      <c r="A109" t="s">
        <v>3002</v>
      </c>
      <c r="B109" t="s">
        <v>3003</v>
      </c>
      <c r="C109" t="s">
        <v>3004</v>
      </c>
      <c r="D109" t="s">
        <v>2997</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117</v>
      </c>
    </row>
    <row r="110" spans="1:33">
      <c r="A110" t="s">
        <v>422</v>
      </c>
      <c r="B110" t="s">
        <v>3005</v>
      </c>
      <c r="C110" t="s">
        <v>3006</v>
      </c>
      <c r="D110" t="s">
        <v>2997</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31">
        <v>4.0000000000000001E-3</v>
      </c>
    </row>
    <row r="111" spans="1:33">
      <c r="A111" t="s">
        <v>423</v>
      </c>
      <c r="B111" t="s">
        <v>3007</v>
      </c>
      <c r="C111" t="s">
        <v>3008</v>
      </c>
      <c r="D111" t="s">
        <v>2997</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31">
        <v>4.0000000000000001E-3</v>
      </c>
    </row>
    <row r="112" spans="1:33">
      <c r="A112" t="s">
        <v>317</v>
      </c>
    </row>
    <row r="113" spans="1:33">
      <c r="A113" t="s">
        <v>312</v>
      </c>
      <c r="B113" t="s">
        <v>3009</v>
      </c>
      <c r="C113" t="s">
        <v>3010</v>
      </c>
      <c r="D113" t="s">
        <v>2997</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31">
        <v>2E-3</v>
      </c>
    </row>
    <row r="114" spans="1:33">
      <c r="A114" t="s">
        <v>2984</v>
      </c>
      <c r="B114" t="s">
        <v>3011</v>
      </c>
      <c r="C114" t="s">
        <v>3012</v>
      </c>
      <c r="D114" t="s">
        <v>2997</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31">
        <v>3.0000000000000001E-3</v>
      </c>
    </row>
    <row r="115" spans="1:33">
      <c r="A115" t="s">
        <v>2982</v>
      </c>
      <c r="B115" t="s">
        <v>3013</v>
      </c>
      <c r="C115" t="s">
        <v>3014</v>
      </c>
      <c r="D115" t="s">
        <v>2997</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31">
        <v>3.0000000000000001E-3</v>
      </c>
    </row>
    <row r="116" spans="1:33">
      <c r="A116" t="s">
        <v>314</v>
      </c>
      <c r="B116" t="s">
        <v>3015</v>
      </c>
      <c r="C116" t="s">
        <v>3016</v>
      </c>
      <c r="D116" t="s">
        <v>2997</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31">
        <v>8.9999999999999993E-3</v>
      </c>
    </row>
    <row r="117" spans="1:33">
      <c r="A117" t="s">
        <v>3002</v>
      </c>
      <c r="B117" t="s">
        <v>3017</v>
      </c>
      <c r="C117" t="s">
        <v>3018</v>
      </c>
      <c r="D117" t="s">
        <v>2997</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31">
        <v>8.9999999999999993E-3</v>
      </c>
    </row>
    <row r="118" spans="1:33">
      <c r="A118" t="s">
        <v>422</v>
      </c>
      <c r="B118" t="s">
        <v>3019</v>
      </c>
      <c r="C118" t="s">
        <v>3020</v>
      </c>
      <c r="D118" t="s">
        <v>2997</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31">
        <v>6.0000000000000001E-3</v>
      </c>
    </row>
    <row r="119" spans="1:33">
      <c r="A119" t="s">
        <v>423</v>
      </c>
      <c r="B119" t="s">
        <v>3021</v>
      </c>
      <c r="C119" t="s">
        <v>3022</v>
      </c>
      <c r="D119" t="s">
        <v>2997</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31">
        <v>8.9999999999999993E-3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03DC7-D34F-4ACD-BF5B-E8517CDF0264}">
  <dimension ref="A1:AG119"/>
  <sheetViews>
    <sheetView workbookViewId="0"/>
  </sheetViews>
  <sheetFormatPr defaultColWidth="9.140625" defaultRowHeight="15"/>
  <cols>
    <col min="1" max="1" width="18.7109375" style="175" customWidth="1"/>
    <col min="2" max="2" width="48" style="175" customWidth="1"/>
    <col min="3" max="3" width="9.140625" style="175"/>
    <col min="4" max="4" width="19.5703125" style="175" customWidth="1"/>
    <col min="5" max="16384" width="9.140625" style="175"/>
  </cols>
  <sheetData>
    <row r="1" spans="1:33">
      <c r="A1" s="175" t="s">
        <v>2805</v>
      </c>
    </row>
    <row r="2" spans="1:33">
      <c r="A2" s="175" t="s">
        <v>2806</v>
      </c>
    </row>
    <row r="3" spans="1:33">
      <c r="A3" s="175" t="s">
        <v>2807</v>
      </c>
    </row>
    <row r="4" spans="1:33">
      <c r="A4" s="175" t="s">
        <v>302</v>
      </c>
    </row>
    <row r="5" spans="1:33">
      <c r="B5" s="175" t="s">
        <v>303</v>
      </c>
      <c r="C5" s="175" t="s">
        <v>351</v>
      </c>
      <c r="D5" s="175" t="s">
        <v>352</v>
      </c>
      <c r="E5" s="175">
        <v>2023</v>
      </c>
      <c r="F5" s="175">
        <v>2024</v>
      </c>
      <c r="G5" s="175">
        <v>2025</v>
      </c>
      <c r="H5" s="175">
        <v>2026</v>
      </c>
      <c r="I5" s="175">
        <v>2027</v>
      </c>
      <c r="J5" s="175">
        <v>2028</v>
      </c>
      <c r="K5" s="175">
        <v>2029</v>
      </c>
      <c r="L5" s="175">
        <v>2030</v>
      </c>
      <c r="M5" s="175">
        <v>2031</v>
      </c>
      <c r="N5" s="175">
        <v>2032</v>
      </c>
      <c r="O5" s="175">
        <v>2033</v>
      </c>
      <c r="P5" s="175">
        <v>2034</v>
      </c>
      <c r="Q5" s="175">
        <v>2035</v>
      </c>
      <c r="R5" s="175">
        <v>2036</v>
      </c>
      <c r="S5" s="175">
        <v>2037</v>
      </c>
      <c r="T5" s="175">
        <v>2038</v>
      </c>
      <c r="U5" s="175">
        <v>2039</v>
      </c>
      <c r="V5" s="175">
        <v>2040</v>
      </c>
      <c r="W5" s="175">
        <v>2041</v>
      </c>
      <c r="X5" s="175">
        <v>2042</v>
      </c>
      <c r="Y5" s="175">
        <v>2043</v>
      </c>
      <c r="Z5" s="175">
        <v>2044</v>
      </c>
      <c r="AA5" s="175">
        <v>2045</v>
      </c>
      <c r="AB5" s="175">
        <v>2046</v>
      </c>
      <c r="AC5" s="175">
        <v>2047</v>
      </c>
      <c r="AD5" s="175">
        <v>2048</v>
      </c>
      <c r="AE5" s="175">
        <v>2049</v>
      </c>
      <c r="AF5" s="175">
        <v>2050</v>
      </c>
      <c r="AG5" s="175" t="s">
        <v>2808</v>
      </c>
    </row>
    <row r="6" spans="1:33">
      <c r="A6" s="175" t="s">
        <v>101</v>
      </c>
    </row>
    <row r="7" spans="1:33">
      <c r="A7" s="175" t="s">
        <v>100</v>
      </c>
    </row>
    <row r="8" spans="1:33">
      <c r="A8" s="175" t="s">
        <v>2809</v>
      </c>
    </row>
    <row r="9" spans="1:33">
      <c r="A9" s="175" t="s">
        <v>2810</v>
      </c>
      <c r="B9" s="175" t="s">
        <v>2811</v>
      </c>
      <c r="C9" s="175" t="s">
        <v>2812</v>
      </c>
      <c r="D9" s="175" t="s">
        <v>2813</v>
      </c>
      <c r="F9" s="175">
        <v>3013.7297359999998</v>
      </c>
      <c r="G9" s="175">
        <v>3058.3715820000002</v>
      </c>
      <c r="H9" s="175">
        <v>3083.451172</v>
      </c>
      <c r="I9" s="175">
        <v>3100.0170899999998</v>
      </c>
      <c r="J9" s="175">
        <v>3112.2297359999998</v>
      </c>
      <c r="K9" s="175">
        <v>3125.576172</v>
      </c>
      <c r="L9" s="175">
        <v>3140.1669919999999</v>
      </c>
      <c r="M9" s="175">
        <v>3154.0073240000002</v>
      </c>
      <c r="N9" s="175">
        <v>3161.4350589999999</v>
      </c>
      <c r="O9" s="175">
        <v>3167.1464839999999</v>
      </c>
      <c r="P9" s="175">
        <v>3171.9169919999999</v>
      </c>
      <c r="Q9" s="175">
        <v>3174.3566890000002</v>
      </c>
      <c r="R9" s="175">
        <v>3179.41626</v>
      </c>
      <c r="S9" s="175">
        <v>3189.5078119999998</v>
      </c>
      <c r="T9" s="175">
        <v>3202.960693</v>
      </c>
      <c r="U9" s="175">
        <v>3216.1186520000001</v>
      </c>
      <c r="V9" s="175">
        <v>3230.5129390000002</v>
      </c>
      <c r="W9" s="175">
        <v>3244.2316890000002</v>
      </c>
      <c r="X9" s="175">
        <v>3257.2741700000001</v>
      </c>
      <c r="Y9" s="175">
        <v>3268.8366700000001</v>
      </c>
      <c r="Z9" s="175">
        <v>3279.341797</v>
      </c>
      <c r="AA9" s="175">
        <v>3288.4411620000001</v>
      </c>
      <c r="AB9" s="175">
        <v>3297.5173340000001</v>
      </c>
      <c r="AC9" s="175">
        <v>3308.5703119999998</v>
      </c>
      <c r="AD9" s="175">
        <v>3321.3464359999998</v>
      </c>
      <c r="AE9" s="175">
        <v>3335.046875</v>
      </c>
      <c r="AF9" s="175">
        <v>3349.8640140000002</v>
      </c>
      <c r="AG9" s="176">
        <v>4.0000000000000001E-3</v>
      </c>
    </row>
    <row r="10" spans="1:33">
      <c r="A10" s="175" t="s">
        <v>311</v>
      </c>
      <c r="B10" s="175" t="s">
        <v>2814</v>
      </c>
      <c r="C10" s="175" t="s">
        <v>2815</v>
      </c>
      <c r="D10" s="175" t="s">
        <v>2813</v>
      </c>
      <c r="F10" s="175">
        <v>90.234665000000007</v>
      </c>
      <c r="G10" s="175">
        <v>88.746048000000002</v>
      </c>
      <c r="H10" s="175">
        <v>87.524918</v>
      </c>
      <c r="I10" s="175">
        <v>86.879401999999999</v>
      </c>
      <c r="J10" s="175">
        <v>86.146125999999995</v>
      </c>
      <c r="K10" s="175">
        <v>85.551413999999994</v>
      </c>
      <c r="L10" s="175">
        <v>85.088477999999995</v>
      </c>
      <c r="M10" s="175">
        <v>84.555840000000003</v>
      </c>
      <c r="N10" s="175">
        <v>84.013214000000005</v>
      </c>
      <c r="O10" s="175">
        <v>83.542664000000002</v>
      </c>
      <c r="P10" s="175">
        <v>83.043007000000003</v>
      </c>
      <c r="Q10" s="175">
        <v>82.538109000000006</v>
      </c>
      <c r="R10" s="175">
        <v>82.013915999999995</v>
      </c>
      <c r="S10" s="175">
        <v>81.499672000000004</v>
      </c>
      <c r="T10" s="175">
        <v>80.976737999999997</v>
      </c>
      <c r="U10" s="175">
        <v>80.459800999999999</v>
      </c>
      <c r="V10" s="175">
        <v>79.954575000000006</v>
      </c>
      <c r="W10" s="175">
        <v>79.410117999999997</v>
      </c>
      <c r="X10" s="175">
        <v>78.884186</v>
      </c>
      <c r="Y10" s="175">
        <v>78.326515000000001</v>
      </c>
      <c r="Z10" s="175">
        <v>77.806870000000004</v>
      </c>
      <c r="AA10" s="175">
        <v>77.239433000000005</v>
      </c>
      <c r="AB10" s="175">
        <v>76.680190999999994</v>
      </c>
      <c r="AC10" s="175">
        <v>76.081207000000006</v>
      </c>
      <c r="AD10" s="175">
        <v>75.451774999999998</v>
      </c>
      <c r="AE10" s="175">
        <v>74.792136999999997</v>
      </c>
      <c r="AF10" s="175">
        <v>74.117767000000001</v>
      </c>
      <c r="AG10" s="176">
        <v>-8.0000000000000002E-3</v>
      </c>
    </row>
    <row r="11" spans="1:33">
      <c r="A11" s="175" t="s">
        <v>2816</v>
      </c>
      <c r="B11" s="175" t="s">
        <v>2817</v>
      </c>
      <c r="C11" s="175" t="s">
        <v>2818</v>
      </c>
      <c r="D11" s="175" t="s">
        <v>2813</v>
      </c>
      <c r="F11" s="175">
        <v>340.05480999999997</v>
      </c>
      <c r="G11" s="175">
        <v>346.20788599999997</v>
      </c>
      <c r="H11" s="175">
        <v>350.06781000000001</v>
      </c>
      <c r="I11" s="175">
        <v>353.52682499999997</v>
      </c>
      <c r="J11" s="175">
        <v>356.01293900000002</v>
      </c>
      <c r="K11" s="175">
        <v>358.95523100000003</v>
      </c>
      <c r="L11" s="175">
        <v>362.11615</v>
      </c>
      <c r="M11" s="175">
        <v>364.84686299999998</v>
      </c>
      <c r="N11" s="175">
        <v>367.71499599999999</v>
      </c>
      <c r="O11" s="175">
        <v>370.28033399999998</v>
      </c>
      <c r="P11" s="175">
        <v>373.22686800000002</v>
      </c>
      <c r="Q11" s="175">
        <v>376.19421399999999</v>
      </c>
      <c r="R11" s="175">
        <v>379.62560999999999</v>
      </c>
      <c r="S11" s="175">
        <v>383.28887900000001</v>
      </c>
      <c r="T11" s="175">
        <v>386.979919</v>
      </c>
      <c r="U11" s="175">
        <v>390.324951</v>
      </c>
      <c r="V11" s="175">
        <v>393.89111300000002</v>
      </c>
      <c r="W11" s="175">
        <v>397.25488300000001</v>
      </c>
      <c r="X11" s="175">
        <v>400.59506199999998</v>
      </c>
      <c r="Y11" s="175">
        <v>403.50134300000002</v>
      </c>
      <c r="Z11" s="175">
        <v>406.149719</v>
      </c>
      <c r="AA11" s="175">
        <v>409.08056599999998</v>
      </c>
      <c r="AB11" s="175">
        <v>411.83874500000002</v>
      </c>
      <c r="AC11" s="175">
        <v>416.011169</v>
      </c>
      <c r="AD11" s="175">
        <v>420.09765599999997</v>
      </c>
      <c r="AE11" s="175">
        <v>423.84225500000002</v>
      </c>
      <c r="AF11" s="175">
        <v>427.05206299999998</v>
      </c>
      <c r="AG11" s="176">
        <v>8.9999999999999993E-3</v>
      </c>
    </row>
    <row r="12" spans="1:33">
      <c r="A12" s="175" t="s">
        <v>2819</v>
      </c>
    </row>
    <row r="13" spans="1:33">
      <c r="A13" s="175" t="s">
        <v>279</v>
      </c>
      <c r="B13" s="175" t="s">
        <v>2820</v>
      </c>
      <c r="C13" s="175" t="s">
        <v>2821</v>
      </c>
      <c r="D13" s="175" t="s">
        <v>2822</v>
      </c>
      <c r="F13" s="175">
        <v>190.78021200000001</v>
      </c>
      <c r="G13" s="175">
        <v>196.637619</v>
      </c>
      <c r="H13" s="175">
        <v>200.382034</v>
      </c>
      <c r="I13" s="175">
        <v>202.76496900000001</v>
      </c>
      <c r="J13" s="175">
        <v>204.50441000000001</v>
      </c>
      <c r="K13" s="175">
        <v>205.76622</v>
      </c>
      <c r="L13" s="175">
        <v>206.654663</v>
      </c>
      <c r="M13" s="175">
        <v>207.15368699999999</v>
      </c>
      <c r="N13" s="175">
        <v>207.40228300000001</v>
      </c>
      <c r="O13" s="175">
        <v>207.54490699999999</v>
      </c>
      <c r="P13" s="175">
        <v>207.693939</v>
      </c>
      <c r="Q13" s="175">
        <v>207.716095</v>
      </c>
      <c r="R13" s="175">
        <v>207.670807</v>
      </c>
      <c r="S13" s="175">
        <v>207.610535</v>
      </c>
      <c r="T13" s="175">
        <v>207.429047</v>
      </c>
      <c r="U13" s="175">
        <v>207.19026199999999</v>
      </c>
      <c r="V13" s="175">
        <v>206.886765</v>
      </c>
      <c r="W13" s="175">
        <v>206.52593999999999</v>
      </c>
      <c r="X13" s="175">
        <v>206.10232500000001</v>
      </c>
      <c r="Y13" s="175">
        <v>205.65777600000001</v>
      </c>
      <c r="Z13" s="175">
        <v>205.159729</v>
      </c>
      <c r="AA13" s="175">
        <v>204.65632600000001</v>
      </c>
      <c r="AB13" s="175">
        <v>204.09098800000001</v>
      </c>
      <c r="AC13" s="175">
        <v>203.49281300000001</v>
      </c>
      <c r="AD13" s="175">
        <v>202.89883399999999</v>
      </c>
      <c r="AE13" s="175">
        <v>202.30595400000001</v>
      </c>
      <c r="AF13" s="175">
        <v>201.76945499999999</v>
      </c>
      <c r="AG13" s="176">
        <v>2E-3</v>
      </c>
    </row>
    <row r="14" spans="1:33" s="177" customFormat="1">
      <c r="A14" s="177" t="s">
        <v>2823</v>
      </c>
      <c r="B14" s="177" t="s">
        <v>2824</v>
      </c>
      <c r="C14" s="177" t="s">
        <v>2825</v>
      </c>
      <c r="D14" s="177" t="s">
        <v>2822</v>
      </c>
      <c r="F14" s="177">
        <v>25.878022999999999</v>
      </c>
      <c r="G14" s="177">
        <v>28.773292999999999</v>
      </c>
      <c r="H14" s="177">
        <v>30.990027999999999</v>
      </c>
      <c r="I14" s="177">
        <v>32.691127999999999</v>
      </c>
      <c r="J14" s="177">
        <v>34.018692000000001</v>
      </c>
      <c r="K14" s="177">
        <v>35.161124999999998</v>
      </c>
      <c r="L14" s="177">
        <v>36.109000999999999</v>
      </c>
      <c r="M14" s="177">
        <v>36.852859000000002</v>
      </c>
      <c r="N14" s="177">
        <v>37.463329000000002</v>
      </c>
      <c r="O14" s="177">
        <v>37.964500000000001</v>
      </c>
      <c r="P14" s="177">
        <v>38.458427</v>
      </c>
      <c r="Q14" s="177">
        <v>38.854377999999997</v>
      </c>
      <c r="R14" s="177">
        <v>39.233795000000001</v>
      </c>
      <c r="S14" s="177">
        <v>39.64349</v>
      </c>
      <c r="T14" s="177">
        <v>40.072304000000003</v>
      </c>
      <c r="U14" s="177">
        <v>40.454436999999999</v>
      </c>
      <c r="V14" s="177">
        <v>40.811695</v>
      </c>
      <c r="W14" s="177">
        <v>41.128436999999998</v>
      </c>
      <c r="X14" s="177">
        <v>41.427906</v>
      </c>
      <c r="Y14" s="177">
        <v>41.717632000000002</v>
      </c>
      <c r="Z14" s="177">
        <v>41.951228999999998</v>
      </c>
      <c r="AA14" s="177">
        <v>42.199916999999999</v>
      </c>
      <c r="AB14" s="177">
        <v>42.389290000000003</v>
      </c>
      <c r="AC14" s="177">
        <v>42.613959999999999</v>
      </c>
      <c r="AD14" s="177">
        <v>42.893344999999997</v>
      </c>
      <c r="AE14" s="177">
        <v>43.173431000000001</v>
      </c>
      <c r="AF14" s="177">
        <v>43.548084000000003</v>
      </c>
      <c r="AG14" s="178">
        <v>0.02</v>
      </c>
    </row>
    <row r="15" spans="1:33">
      <c r="A15" s="175" t="s">
        <v>2826</v>
      </c>
    </row>
    <row r="16" spans="1:33">
      <c r="A16" s="175" t="s">
        <v>185</v>
      </c>
      <c r="B16" s="175" t="s">
        <v>2827</v>
      </c>
      <c r="C16" s="175" t="s">
        <v>2828</v>
      </c>
      <c r="D16" s="175" t="s">
        <v>2829</v>
      </c>
      <c r="F16" s="175">
        <v>1413.1365969999999</v>
      </c>
      <c r="G16" s="175">
        <v>1426.5014650000001</v>
      </c>
      <c r="H16" s="175">
        <v>1461.8975829999999</v>
      </c>
      <c r="I16" s="175">
        <v>1494.7885739999999</v>
      </c>
      <c r="J16" s="175">
        <v>1522.10022</v>
      </c>
      <c r="K16" s="175">
        <v>1551.6201169999999</v>
      </c>
      <c r="L16" s="175">
        <v>1578.6829829999999</v>
      </c>
      <c r="M16" s="175">
        <v>1601.181519</v>
      </c>
      <c r="N16" s="175">
        <v>1627.146362</v>
      </c>
      <c r="O16" s="175">
        <v>1654.892212</v>
      </c>
      <c r="P16" s="175">
        <v>1681.6214600000001</v>
      </c>
      <c r="Q16" s="175">
        <v>1711.017578</v>
      </c>
      <c r="R16" s="175">
        <v>1740.960693</v>
      </c>
      <c r="S16" s="175">
        <v>1772.771851</v>
      </c>
      <c r="T16" s="175">
        <v>1806.9364009999999</v>
      </c>
      <c r="U16" s="175">
        <v>1841.1685789999999</v>
      </c>
      <c r="V16" s="175">
        <v>1875.4395750000001</v>
      </c>
      <c r="W16" s="175">
        <v>1909.125366</v>
      </c>
      <c r="X16" s="175">
        <v>1945.61853</v>
      </c>
      <c r="Y16" s="175">
        <v>1981.3470460000001</v>
      </c>
      <c r="Z16" s="175">
        <v>2014.714111</v>
      </c>
      <c r="AA16" s="175">
        <v>2047.454346</v>
      </c>
      <c r="AB16" s="175">
        <v>2079.6472170000002</v>
      </c>
      <c r="AC16" s="175">
        <v>2117.3378910000001</v>
      </c>
      <c r="AD16" s="175">
        <v>2157.5336910000001</v>
      </c>
      <c r="AE16" s="175">
        <v>2196.0695799999999</v>
      </c>
      <c r="AF16" s="175">
        <v>2234.092529</v>
      </c>
      <c r="AG16" s="176">
        <v>1.7999999999999999E-2</v>
      </c>
    </row>
    <row r="17" spans="1:33">
      <c r="A17" s="175" t="s">
        <v>2830</v>
      </c>
    </row>
    <row r="18" spans="1:33">
      <c r="A18" s="175" t="s">
        <v>180</v>
      </c>
      <c r="B18" s="175" t="s">
        <v>2831</v>
      </c>
      <c r="C18" s="175" t="s">
        <v>2832</v>
      </c>
      <c r="D18" s="175" t="s">
        <v>2833</v>
      </c>
      <c r="F18" s="175">
        <v>1464.855225</v>
      </c>
      <c r="G18" s="175">
        <v>1498.5776370000001</v>
      </c>
      <c r="H18" s="175">
        <v>1462.373169</v>
      </c>
      <c r="I18" s="175">
        <v>1413.733154</v>
      </c>
      <c r="J18" s="175">
        <v>1414.115112</v>
      </c>
      <c r="K18" s="175">
        <v>1410.565186</v>
      </c>
      <c r="L18" s="175">
        <v>1369.7414550000001</v>
      </c>
      <c r="M18" s="175">
        <v>1370.1805420000001</v>
      </c>
      <c r="N18" s="175">
        <v>1305.8111570000001</v>
      </c>
      <c r="O18" s="175">
        <v>1312.2113039999999</v>
      </c>
      <c r="P18" s="175">
        <v>1299.8524170000001</v>
      </c>
      <c r="Q18" s="175">
        <v>1300.4210210000001</v>
      </c>
      <c r="R18" s="175">
        <v>1305.7510990000001</v>
      </c>
      <c r="S18" s="175">
        <v>1312.3923339999999</v>
      </c>
      <c r="T18" s="175">
        <v>1330.286621</v>
      </c>
      <c r="U18" s="175">
        <v>1321.974976</v>
      </c>
      <c r="V18" s="175">
        <v>1328.3294679999999</v>
      </c>
      <c r="W18" s="175">
        <v>1330.294678</v>
      </c>
      <c r="X18" s="175">
        <v>1337.347534</v>
      </c>
      <c r="Y18" s="175">
        <v>1345.204712</v>
      </c>
      <c r="Z18" s="175">
        <v>1349.7685550000001</v>
      </c>
      <c r="AA18" s="175">
        <v>1354.558716</v>
      </c>
      <c r="AB18" s="175">
        <v>1355.6860349999999</v>
      </c>
      <c r="AC18" s="175">
        <v>1370.355591</v>
      </c>
      <c r="AD18" s="175">
        <v>1382.527466</v>
      </c>
      <c r="AE18" s="175">
        <v>1392.701904</v>
      </c>
      <c r="AF18" s="175">
        <v>1397.21228</v>
      </c>
      <c r="AG18" s="176">
        <v>-2E-3</v>
      </c>
    </row>
    <row r="19" spans="1:33">
      <c r="A19" s="175" t="s">
        <v>213</v>
      </c>
      <c r="B19" s="175" t="s">
        <v>2834</v>
      </c>
      <c r="C19" s="175" t="s">
        <v>2835</v>
      </c>
      <c r="D19" s="175" t="s">
        <v>2833</v>
      </c>
      <c r="F19" s="175">
        <v>458.773346</v>
      </c>
      <c r="G19" s="175">
        <v>464.892853</v>
      </c>
      <c r="H19" s="175">
        <v>462.96167000000003</v>
      </c>
      <c r="I19" s="175">
        <v>460.98571800000002</v>
      </c>
      <c r="J19" s="175">
        <v>459.37042200000002</v>
      </c>
      <c r="K19" s="175">
        <v>457.35058600000002</v>
      </c>
      <c r="L19" s="175">
        <v>454.85974099999999</v>
      </c>
      <c r="M19" s="175">
        <v>451.94982900000002</v>
      </c>
      <c r="N19" s="175">
        <v>448.29049700000002</v>
      </c>
      <c r="O19" s="175">
        <v>446.236603</v>
      </c>
      <c r="P19" s="175">
        <v>444.57028200000002</v>
      </c>
      <c r="Q19" s="175">
        <v>442.67672700000003</v>
      </c>
      <c r="R19" s="175">
        <v>440.63128699999999</v>
      </c>
      <c r="S19" s="175">
        <v>439.09964000000002</v>
      </c>
      <c r="T19" s="175">
        <v>437.71414199999998</v>
      </c>
      <c r="U19" s="175">
        <v>435.98474099999999</v>
      </c>
      <c r="V19" s="175">
        <v>434.76898199999999</v>
      </c>
      <c r="W19" s="175">
        <v>433.49096700000001</v>
      </c>
      <c r="X19" s="175">
        <v>432.22720299999997</v>
      </c>
      <c r="Y19" s="175">
        <v>430.67340100000001</v>
      </c>
      <c r="Z19" s="175">
        <v>428.801331</v>
      </c>
      <c r="AA19" s="175">
        <v>427.06716899999998</v>
      </c>
      <c r="AB19" s="175">
        <v>425.27600100000001</v>
      </c>
      <c r="AC19" s="175">
        <v>424.65441900000002</v>
      </c>
      <c r="AD19" s="175">
        <v>423.51385499999998</v>
      </c>
      <c r="AE19" s="175">
        <v>422.14224200000001</v>
      </c>
      <c r="AF19" s="175">
        <v>420.62109400000003</v>
      </c>
      <c r="AG19" s="176">
        <v>-3.0000000000000001E-3</v>
      </c>
    </row>
    <row r="20" spans="1:33">
      <c r="A20" s="175" t="s">
        <v>86</v>
      </c>
    </row>
    <row r="21" spans="1:33">
      <c r="A21" s="175" t="s">
        <v>2836</v>
      </c>
    </row>
    <row r="22" spans="1:33">
      <c r="A22" s="175" t="s">
        <v>2837</v>
      </c>
      <c r="B22" s="175" t="s">
        <v>2838</v>
      </c>
      <c r="C22" s="175" t="s">
        <v>2839</v>
      </c>
      <c r="D22" s="175" t="s">
        <v>415</v>
      </c>
      <c r="F22" s="175">
        <v>39.271113999999997</v>
      </c>
      <c r="G22" s="175">
        <v>42.959927</v>
      </c>
      <c r="H22" s="175">
        <v>47.575771000000003</v>
      </c>
      <c r="I22" s="175">
        <v>47.493256000000002</v>
      </c>
      <c r="J22" s="175">
        <v>47.449084999999997</v>
      </c>
      <c r="K22" s="175">
        <v>47.490924999999997</v>
      </c>
      <c r="L22" s="175">
        <v>47.591320000000003</v>
      </c>
      <c r="M22" s="175">
        <v>47.604393000000002</v>
      </c>
      <c r="N22" s="175">
        <v>47.569965000000003</v>
      </c>
      <c r="O22" s="175">
        <v>47.492598999999998</v>
      </c>
      <c r="P22" s="175">
        <v>47.679400999999999</v>
      </c>
      <c r="Q22" s="175">
        <v>47.648468000000001</v>
      </c>
      <c r="R22" s="175">
        <v>47.59169</v>
      </c>
      <c r="S22" s="175">
        <v>47.590065000000003</v>
      </c>
      <c r="T22" s="175">
        <v>47.594569999999997</v>
      </c>
      <c r="U22" s="175">
        <v>47.597126000000003</v>
      </c>
      <c r="V22" s="175">
        <v>47.557651999999997</v>
      </c>
      <c r="W22" s="175">
        <v>47.536555999999997</v>
      </c>
      <c r="X22" s="175">
        <v>47.522250999999997</v>
      </c>
      <c r="Y22" s="175">
        <v>47.527641000000003</v>
      </c>
      <c r="Z22" s="175">
        <v>47.509605000000001</v>
      </c>
      <c r="AA22" s="175">
        <v>47.515839</v>
      </c>
      <c r="AB22" s="175">
        <v>47.499699</v>
      </c>
      <c r="AC22" s="175">
        <v>47.476486000000001</v>
      </c>
      <c r="AD22" s="175">
        <v>47.471778999999998</v>
      </c>
      <c r="AE22" s="175">
        <v>47.466419000000002</v>
      </c>
      <c r="AF22" s="175">
        <v>47.51144</v>
      </c>
      <c r="AG22" s="176">
        <v>7.0000000000000001E-3</v>
      </c>
    </row>
    <row r="23" spans="1:33">
      <c r="A23" s="175" t="s">
        <v>2840</v>
      </c>
      <c r="B23" s="175" t="s">
        <v>2841</v>
      </c>
      <c r="C23" s="175" t="s">
        <v>2842</v>
      </c>
      <c r="D23" s="175" t="s">
        <v>415</v>
      </c>
      <c r="F23" s="175">
        <v>48.175083000000001</v>
      </c>
      <c r="G23" s="175">
        <v>52.414535999999998</v>
      </c>
      <c r="H23" s="175">
        <v>58.241450999999998</v>
      </c>
      <c r="I23" s="175">
        <v>58.255462999999999</v>
      </c>
      <c r="J23" s="175">
        <v>58.266669999999998</v>
      </c>
      <c r="K23" s="175">
        <v>58.284412000000003</v>
      </c>
      <c r="L23" s="175">
        <v>58.290976999999998</v>
      </c>
      <c r="M23" s="175">
        <v>58.296238000000002</v>
      </c>
      <c r="N23" s="175">
        <v>58.292617999999997</v>
      </c>
      <c r="O23" s="175">
        <v>58.297882000000001</v>
      </c>
      <c r="P23" s="175">
        <v>58.322220000000002</v>
      </c>
      <c r="Q23" s="175">
        <v>58.317551000000002</v>
      </c>
      <c r="R23" s="175">
        <v>58.313091</v>
      </c>
      <c r="S23" s="175">
        <v>58.312266999999999</v>
      </c>
      <c r="T23" s="175">
        <v>58.318325000000002</v>
      </c>
      <c r="U23" s="175">
        <v>58.320647999999998</v>
      </c>
      <c r="V23" s="175">
        <v>58.313701999999999</v>
      </c>
      <c r="W23" s="175">
        <v>58.314289000000002</v>
      </c>
      <c r="X23" s="175">
        <v>58.312122000000002</v>
      </c>
      <c r="Y23" s="175">
        <v>58.322738999999999</v>
      </c>
      <c r="Z23" s="175">
        <v>58.317923999999998</v>
      </c>
      <c r="AA23" s="175">
        <v>58.327765999999997</v>
      </c>
      <c r="AB23" s="175">
        <v>58.321185999999997</v>
      </c>
      <c r="AC23" s="175">
        <v>58.318832</v>
      </c>
      <c r="AD23" s="175">
        <v>58.325527000000001</v>
      </c>
      <c r="AE23" s="175">
        <v>58.327376999999998</v>
      </c>
      <c r="AF23" s="175">
        <v>58.347693999999997</v>
      </c>
      <c r="AG23" s="176">
        <v>7.0000000000000001E-3</v>
      </c>
    </row>
    <row r="24" spans="1:33">
      <c r="A24" s="175" t="s">
        <v>2843</v>
      </c>
      <c r="B24" s="175" t="s">
        <v>2844</v>
      </c>
      <c r="C24" s="175" t="s">
        <v>2845</v>
      </c>
      <c r="D24" s="175" t="s">
        <v>415</v>
      </c>
      <c r="F24" s="175">
        <v>35.086903</v>
      </c>
      <c r="G24" s="175">
        <v>38.087924999999998</v>
      </c>
      <c r="H24" s="175">
        <v>42.293404000000002</v>
      </c>
      <c r="I24" s="175">
        <v>42.265976000000002</v>
      </c>
      <c r="J24" s="175">
        <v>42.251018999999999</v>
      </c>
      <c r="K24" s="175">
        <v>42.230449999999998</v>
      </c>
      <c r="L24" s="175">
        <v>42.21875</v>
      </c>
      <c r="M24" s="175">
        <v>42.207087999999999</v>
      </c>
      <c r="N24" s="175">
        <v>42.198193000000003</v>
      </c>
      <c r="O24" s="175">
        <v>42.188656000000002</v>
      </c>
      <c r="P24" s="175">
        <v>42.178351999999997</v>
      </c>
      <c r="Q24" s="175">
        <v>42.170338000000001</v>
      </c>
      <c r="R24" s="175">
        <v>42.163196999999997</v>
      </c>
      <c r="S24" s="175">
        <v>42.157119999999999</v>
      </c>
      <c r="T24" s="175">
        <v>42.150413999999998</v>
      </c>
      <c r="U24" s="175">
        <v>42.144038999999999</v>
      </c>
      <c r="V24" s="175">
        <v>42.139083999999997</v>
      </c>
      <c r="W24" s="175">
        <v>42.13335</v>
      </c>
      <c r="X24" s="175">
        <v>42.127730999999997</v>
      </c>
      <c r="Y24" s="175">
        <v>42.121071000000001</v>
      </c>
      <c r="Z24" s="175">
        <v>42.115974000000001</v>
      </c>
      <c r="AA24" s="175">
        <v>42.109614999999998</v>
      </c>
      <c r="AB24" s="175">
        <v>42.105437999999999</v>
      </c>
      <c r="AC24" s="175">
        <v>42.100982999999999</v>
      </c>
      <c r="AD24" s="175">
        <v>42.095027999999999</v>
      </c>
      <c r="AE24" s="175">
        <v>42.089644999999997</v>
      </c>
      <c r="AF24" s="175">
        <v>42.083157</v>
      </c>
      <c r="AG24" s="176">
        <v>7.0000000000000001E-3</v>
      </c>
    </row>
    <row r="25" spans="1:33">
      <c r="A25" s="175" t="s">
        <v>2846</v>
      </c>
      <c r="B25" s="175" t="s">
        <v>2847</v>
      </c>
      <c r="C25" s="175" t="s">
        <v>2848</v>
      </c>
      <c r="D25" s="175" t="s">
        <v>415</v>
      </c>
      <c r="F25" s="175">
        <v>39.942822</v>
      </c>
      <c r="G25" s="175">
        <v>43.957706000000002</v>
      </c>
      <c r="H25" s="175">
        <v>47.924385000000001</v>
      </c>
      <c r="I25" s="175">
        <v>48.168633</v>
      </c>
      <c r="J25" s="175">
        <v>48.206814000000001</v>
      </c>
      <c r="K25" s="175">
        <v>47.845936000000002</v>
      </c>
      <c r="L25" s="175">
        <v>47.905158999999998</v>
      </c>
      <c r="M25" s="175">
        <v>48.590632999999997</v>
      </c>
      <c r="N25" s="175">
        <v>49.493091999999997</v>
      </c>
      <c r="O25" s="175">
        <v>48.658332999999999</v>
      </c>
      <c r="P25" s="175">
        <v>49.540320999999999</v>
      </c>
      <c r="Q25" s="175">
        <v>50.266624</v>
      </c>
      <c r="R25" s="175">
        <v>50.779812</v>
      </c>
      <c r="S25" s="175">
        <v>51.219344999999997</v>
      </c>
      <c r="T25" s="175">
        <v>51.674301</v>
      </c>
      <c r="U25" s="175">
        <v>52.231579000000004</v>
      </c>
      <c r="V25" s="175">
        <v>52.558425999999997</v>
      </c>
      <c r="W25" s="175">
        <v>52.808188999999999</v>
      </c>
      <c r="X25" s="175">
        <v>52.984974000000001</v>
      </c>
      <c r="Y25" s="175">
        <v>53.223258999999999</v>
      </c>
      <c r="Z25" s="175">
        <v>53.349930000000001</v>
      </c>
      <c r="AA25" s="175">
        <v>53.548645</v>
      </c>
      <c r="AB25" s="175">
        <v>53.654530000000001</v>
      </c>
      <c r="AC25" s="175">
        <v>53.715496000000002</v>
      </c>
      <c r="AD25" s="175">
        <v>53.847445999999998</v>
      </c>
      <c r="AE25" s="175">
        <v>53.972465999999997</v>
      </c>
      <c r="AF25" s="175">
        <v>54.298808999999999</v>
      </c>
      <c r="AG25" s="176">
        <v>1.2E-2</v>
      </c>
    </row>
    <row r="26" spans="1:33">
      <c r="A26" s="175" t="s">
        <v>2840</v>
      </c>
      <c r="B26" s="175" t="s">
        <v>2849</v>
      </c>
      <c r="C26" s="175" t="s">
        <v>2850</v>
      </c>
      <c r="D26" s="175" t="s">
        <v>415</v>
      </c>
      <c r="F26" s="175">
        <v>53.113453</v>
      </c>
      <c r="G26" s="175">
        <v>57.640594</v>
      </c>
      <c r="H26" s="175">
        <v>63.325600000000001</v>
      </c>
      <c r="I26" s="175">
        <v>68.261688000000007</v>
      </c>
      <c r="J26" s="175">
        <v>68.800171000000006</v>
      </c>
      <c r="K26" s="175">
        <v>66.580070000000006</v>
      </c>
      <c r="L26" s="175">
        <v>66.171570000000003</v>
      </c>
      <c r="M26" s="175">
        <v>67.334129000000004</v>
      </c>
      <c r="N26" s="175">
        <v>70.141272999999998</v>
      </c>
      <c r="O26" s="175">
        <v>69.021690000000007</v>
      </c>
      <c r="P26" s="175">
        <v>70.175094999999999</v>
      </c>
      <c r="Q26" s="175">
        <v>72.345962999999998</v>
      </c>
      <c r="R26" s="175">
        <v>73.417396999999994</v>
      </c>
      <c r="S26" s="175">
        <v>74.362701000000001</v>
      </c>
      <c r="T26" s="175">
        <v>75.273003000000003</v>
      </c>
      <c r="U26" s="175">
        <v>76.767471</v>
      </c>
      <c r="V26" s="175">
        <v>77.966553000000005</v>
      </c>
      <c r="W26" s="175">
        <v>78.546875</v>
      </c>
      <c r="X26" s="175">
        <v>79.005652999999995</v>
      </c>
      <c r="Y26" s="175">
        <v>79.448586000000006</v>
      </c>
      <c r="Z26" s="175">
        <v>79.814239999999998</v>
      </c>
      <c r="AA26" s="175">
        <v>80.153214000000006</v>
      </c>
      <c r="AB26" s="175">
        <v>80.456695999999994</v>
      </c>
      <c r="AC26" s="175">
        <v>80.688453999999993</v>
      </c>
      <c r="AD26" s="175">
        <v>80.951462000000006</v>
      </c>
      <c r="AE26" s="175">
        <v>81.205382999999998</v>
      </c>
      <c r="AF26" s="175">
        <v>81.537047999999999</v>
      </c>
      <c r="AG26" s="176">
        <v>1.7000000000000001E-2</v>
      </c>
    </row>
    <row r="27" spans="1:33">
      <c r="A27" s="175" t="s">
        <v>2843</v>
      </c>
      <c r="B27" s="175" t="s">
        <v>2851</v>
      </c>
      <c r="C27" s="175" t="s">
        <v>2852</v>
      </c>
      <c r="D27" s="175" t="s">
        <v>415</v>
      </c>
      <c r="F27" s="175">
        <v>34.459515000000003</v>
      </c>
      <c r="G27" s="175">
        <v>37.642277</v>
      </c>
      <c r="H27" s="175">
        <v>41.127471999999997</v>
      </c>
      <c r="I27" s="175">
        <v>40.267257999999998</v>
      </c>
      <c r="J27" s="175">
        <v>40.255310000000001</v>
      </c>
      <c r="K27" s="175">
        <v>40.242519000000001</v>
      </c>
      <c r="L27" s="175">
        <v>40.218753999999997</v>
      </c>
      <c r="M27" s="175">
        <v>40.700054000000002</v>
      </c>
      <c r="N27" s="175">
        <v>41.130524000000001</v>
      </c>
      <c r="O27" s="175">
        <v>40.554600000000001</v>
      </c>
      <c r="P27" s="175">
        <v>40.930511000000003</v>
      </c>
      <c r="Q27" s="175">
        <v>41.310794999999999</v>
      </c>
      <c r="R27" s="175">
        <v>41.765965000000001</v>
      </c>
      <c r="S27" s="175">
        <v>42.053348999999997</v>
      </c>
      <c r="T27" s="175">
        <v>42.351562000000001</v>
      </c>
      <c r="U27" s="175">
        <v>42.643214999999998</v>
      </c>
      <c r="V27" s="175">
        <v>42.837719</v>
      </c>
      <c r="W27" s="175">
        <v>43.033183999999999</v>
      </c>
      <c r="X27" s="175">
        <v>43.158431999999998</v>
      </c>
      <c r="Y27" s="175">
        <v>43.308086000000003</v>
      </c>
      <c r="Z27" s="175">
        <v>43.407924999999999</v>
      </c>
      <c r="AA27" s="175">
        <v>43.533504000000001</v>
      </c>
      <c r="AB27" s="175">
        <v>43.621684999999999</v>
      </c>
      <c r="AC27" s="175">
        <v>43.68882</v>
      </c>
      <c r="AD27" s="175">
        <v>43.782268999999999</v>
      </c>
      <c r="AE27" s="175">
        <v>43.872546999999997</v>
      </c>
      <c r="AF27" s="175">
        <v>44.049908000000002</v>
      </c>
      <c r="AG27" s="176">
        <v>8.9999999999999993E-3</v>
      </c>
    </row>
    <row r="28" spans="1:33">
      <c r="A28" s="175" t="s">
        <v>2853</v>
      </c>
      <c r="B28" s="175" t="s">
        <v>2854</v>
      </c>
      <c r="C28" s="175" t="s">
        <v>2855</v>
      </c>
      <c r="D28" s="175" t="s">
        <v>415</v>
      </c>
      <c r="F28" s="175">
        <v>36.992213999999997</v>
      </c>
      <c r="G28" s="175">
        <v>40.049953000000002</v>
      </c>
      <c r="H28" s="175">
        <v>42.808971</v>
      </c>
      <c r="I28" s="175">
        <v>43.230891999999997</v>
      </c>
      <c r="J28" s="175">
        <v>44.016902999999999</v>
      </c>
      <c r="K28" s="175">
        <v>44.308898999999997</v>
      </c>
      <c r="L28" s="175">
        <v>44.989899000000001</v>
      </c>
      <c r="M28" s="175">
        <v>45.614960000000004</v>
      </c>
      <c r="N28" s="175">
        <v>46.454155</v>
      </c>
      <c r="O28" s="175">
        <v>45.667557000000002</v>
      </c>
      <c r="P28" s="175">
        <v>46.478081000000003</v>
      </c>
      <c r="Q28" s="175">
        <v>47.149428999999998</v>
      </c>
      <c r="R28" s="175">
        <v>47.616024000000003</v>
      </c>
      <c r="S28" s="175">
        <v>48.020485000000001</v>
      </c>
      <c r="T28" s="175">
        <v>48.435195999999998</v>
      </c>
      <c r="U28" s="175">
        <v>48.949013000000001</v>
      </c>
      <c r="V28" s="175">
        <v>49.253231</v>
      </c>
      <c r="W28" s="175">
        <v>49.479267</v>
      </c>
      <c r="X28" s="175">
        <v>49.642772999999998</v>
      </c>
      <c r="Y28" s="175">
        <v>49.856163000000002</v>
      </c>
      <c r="Z28" s="175">
        <v>49.976058999999999</v>
      </c>
      <c r="AA28" s="175">
        <v>50.153815999999999</v>
      </c>
      <c r="AB28" s="175">
        <v>50.256393000000003</v>
      </c>
      <c r="AC28" s="175">
        <v>50.313774000000002</v>
      </c>
      <c r="AD28" s="175">
        <v>50.431538000000003</v>
      </c>
      <c r="AE28" s="175">
        <v>50.545406</v>
      </c>
      <c r="AF28" s="175">
        <v>50.836013999999999</v>
      </c>
      <c r="AG28" s="176">
        <v>1.2E-2</v>
      </c>
    </row>
    <row r="29" spans="1:33">
      <c r="A29" s="175" t="s">
        <v>2840</v>
      </c>
      <c r="B29" s="175" t="s">
        <v>2856</v>
      </c>
      <c r="C29" s="175" t="s">
        <v>2857</v>
      </c>
      <c r="D29" s="175" t="s">
        <v>415</v>
      </c>
      <c r="F29" s="175">
        <v>48.381923999999998</v>
      </c>
      <c r="G29" s="175">
        <v>51.754009000000003</v>
      </c>
      <c r="H29" s="175">
        <v>55.653796999999997</v>
      </c>
      <c r="I29" s="175">
        <v>59.137737000000001</v>
      </c>
      <c r="J29" s="175">
        <v>61.278339000000003</v>
      </c>
      <c r="K29" s="175">
        <v>61.308632000000003</v>
      </c>
      <c r="L29" s="175">
        <v>62.883270000000003</v>
      </c>
      <c r="M29" s="175">
        <v>63.968285000000002</v>
      </c>
      <c r="N29" s="175">
        <v>66.642882999999998</v>
      </c>
      <c r="O29" s="175">
        <v>65.576897000000002</v>
      </c>
      <c r="P29" s="175">
        <v>66.660210000000006</v>
      </c>
      <c r="Q29" s="175">
        <v>68.722472999999994</v>
      </c>
      <c r="R29" s="175">
        <v>69.727547000000001</v>
      </c>
      <c r="S29" s="175">
        <v>70.613060000000004</v>
      </c>
      <c r="T29" s="175">
        <v>71.466324</v>
      </c>
      <c r="U29" s="175">
        <v>72.886696000000001</v>
      </c>
      <c r="V29" s="175">
        <v>74.021286000000003</v>
      </c>
      <c r="W29" s="175">
        <v>74.566199999999995</v>
      </c>
      <c r="X29" s="175">
        <v>74.998435999999998</v>
      </c>
      <c r="Y29" s="175">
        <v>75.416839999999993</v>
      </c>
      <c r="Z29" s="175">
        <v>75.761993000000004</v>
      </c>
      <c r="AA29" s="175">
        <v>76.083054000000004</v>
      </c>
      <c r="AB29" s="175">
        <v>76.370345999999998</v>
      </c>
      <c r="AC29" s="175">
        <v>76.590514999999996</v>
      </c>
      <c r="AD29" s="175">
        <v>76.839706000000007</v>
      </c>
      <c r="AE29" s="175">
        <v>77.080558999999994</v>
      </c>
      <c r="AF29" s="175">
        <v>77.395804999999996</v>
      </c>
      <c r="AG29" s="176">
        <v>1.7999999999999999E-2</v>
      </c>
    </row>
    <row r="30" spans="1:33">
      <c r="A30" s="175" t="s">
        <v>2843</v>
      </c>
      <c r="B30" s="175" t="s">
        <v>2858</v>
      </c>
      <c r="C30" s="175" t="s">
        <v>2859</v>
      </c>
      <c r="D30" s="175" t="s">
        <v>415</v>
      </c>
      <c r="F30" s="175">
        <v>32.114288000000002</v>
      </c>
      <c r="G30" s="175">
        <v>34.514839000000002</v>
      </c>
      <c r="H30" s="175">
        <v>36.986862000000002</v>
      </c>
      <c r="I30" s="175">
        <v>36.634200999999997</v>
      </c>
      <c r="J30" s="175">
        <v>37.092925999999999</v>
      </c>
      <c r="K30" s="175">
        <v>37.343777000000003</v>
      </c>
      <c r="L30" s="175">
        <v>37.577010999999999</v>
      </c>
      <c r="M30" s="175">
        <v>38.011017000000002</v>
      </c>
      <c r="N30" s="175">
        <v>38.403038000000002</v>
      </c>
      <c r="O30" s="175">
        <v>37.869067999999999</v>
      </c>
      <c r="P30" s="175">
        <v>38.209907999999999</v>
      </c>
      <c r="Q30" s="175">
        <v>38.555424000000002</v>
      </c>
      <c r="R30" s="175">
        <v>38.963661000000002</v>
      </c>
      <c r="S30" s="175">
        <v>39.224598</v>
      </c>
      <c r="T30" s="175">
        <v>39.495063999999999</v>
      </c>
      <c r="U30" s="175">
        <v>39.75996</v>
      </c>
      <c r="V30" s="175">
        <v>39.93721</v>
      </c>
      <c r="W30" s="175">
        <v>40.114798999999998</v>
      </c>
      <c r="X30" s="175">
        <v>40.230305000000001</v>
      </c>
      <c r="Y30" s="175">
        <v>40.368130000000001</v>
      </c>
      <c r="Z30" s="175">
        <v>40.460380999999998</v>
      </c>
      <c r="AA30" s="175">
        <v>40.576186999999997</v>
      </c>
      <c r="AB30" s="175">
        <v>40.657494</v>
      </c>
      <c r="AC30" s="175">
        <v>40.719509000000002</v>
      </c>
      <c r="AD30" s="175">
        <v>40.805653</v>
      </c>
      <c r="AE30" s="175">
        <v>40.888672</v>
      </c>
      <c r="AF30" s="175">
        <v>41.051575</v>
      </c>
      <c r="AG30" s="176">
        <v>8.9999999999999993E-3</v>
      </c>
    </row>
    <row r="31" spans="1:33">
      <c r="A31" s="175" t="s">
        <v>2860</v>
      </c>
      <c r="B31" s="175" t="s">
        <v>2861</v>
      </c>
      <c r="C31" s="175" t="s">
        <v>2862</v>
      </c>
      <c r="D31" s="175" t="s">
        <v>415</v>
      </c>
      <c r="F31" s="175">
        <v>27.538564999999998</v>
      </c>
      <c r="G31" s="175">
        <v>29.747971</v>
      </c>
      <c r="H31" s="175">
        <v>31.720669000000001</v>
      </c>
      <c r="I31" s="175">
        <v>32.058968</v>
      </c>
      <c r="J31" s="175">
        <v>32.641983000000003</v>
      </c>
      <c r="K31" s="175">
        <v>32.859589</v>
      </c>
      <c r="L31" s="175">
        <v>33.335555999999997</v>
      </c>
      <c r="M31" s="175">
        <v>33.786160000000002</v>
      </c>
      <c r="N31" s="175">
        <v>34.398437999999999</v>
      </c>
      <c r="O31" s="175">
        <v>33.841163999999999</v>
      </c>
      <c r="P31" s="175">
        <v>34.423504000000001</v>
      </c>
      <c r="Q31" s="175">
        <v>34.906590000000001</v>
      </c>
      <c r="R31" s="175">
        <v>35.232799999999997</v>
      </c>
      <c r="S31" s="175">
        <v>35.521309000000002</v>
      </c>
      <c r="T31" s="175">
        <v>35.816288</v>
      </c>
      <c r="U31" s="175">
        <v>36.185467000000003</v>
      </c>
      <c r="V31" s="175">
        <v>36.402821000000003</v>
      </c>
      <c r="W31" s="175">
        <v>36.561584000000003</v>
      </c>
      <c r="X31" s="175">
        <v>36.675685999999999</v>
      </c>
      <c r="Y31" s="175">
        <v>36.824798999999999</v>
      </c>
      <c r="Z31" s="175">
        <v>36.907935999999999</v>
      </c>
      <c r="AA31" s="175">
        <v>37.031731000000001</v>
      </c>
      <c r="AB31" s="175">
        <v>37.102466999999997</v>
      </c>
      <c r="AC31" s="175">
        <v>37.140445999999997</v>
      </c>
      <c r="AD31" s="175">
        <v>37.221237000000002</v>
      </c>
      <c r="AE31" s="175">
        <v>37.299518999999997</v>
      </c>
      <c r="AF31" s="175">
        <v>37.503345000000003</v>
      </c>
      <c r="AG31" s="176">
        <v>1.2E-2</v>
      </c>
    </row>
    <row r="32" spans="1:33">
      <c r="A32" s="175" t="s">
        <v>2840</v>
      </c>
      <c r="B32" s="175" t="s">
        <v>2863</v>
      </c>
      <c r="C32" s="175" t="s">
        <v>2864</v>
      </c>
      <c r="D32" s="175" t="s">
        <v>415</v>
      </c>
      <c r="F32" s="175">
        <v>35.736514999999997</v>
      </c>
      <c r="G32" s="175">
        <v>38.187514999999998</v>
      </c>
      <c r="H32" s="175">
        <v>41.026561999999998</v>
      </c>
      <c r="I32" s="175">
        <v>43.567794999999997</v>
      </c>
      <c r="J32" s="175">
        <v>45.129069999999999</v>
      </c>
      <c r="K32" s="175">
        <v>45.143227000000003</v>
      </c>
      <c r="L32" s="175">
        <v>46.28548</v>
      </c>
      <c r="M32" s="175">
        <v>47.069462000000001</v>
      </c>
      <c r="N32" s="175">
        <v>49.029162999999997</v>
      </c>
      <c r="O32" s="175">
        <v>48.263415999999999</v>
      </c>
      <c r="P32" s="175">
        <v>49.042400000000001</v>
      </c>
      <c r="Q32" s="175">
        <v>50.544037000000003</v>
      </c>
      <c r="R32" s="175">
        <v>51.270535000000002</v>
      </c>
      <c r="S32" s="175">
        <v>51.909388999999997</v>
      </c>
      <c r="T32" s="175">
        <v>52.522804000000001</v>
      </c>
      <c r="U32" s="175">
        <v>53.556106999999997</v>
      </c>
      <c r="V32" s="175">
        <v>54.379283999999998</v>
      </c>
      <c r="W32" s="175">
        <v>54.768990000000002</v>
      </c>
      <c r="X32" s="175">
        <v>55.077838999999997</v>
      </c>
      <c r="Y32" s="175">
        <v>55.373089</v>
      </c>
      <c r="Z32" s="175">
        <v>55.619441999999999</v>
      </c>
      <c r="AA32" s="175">
        <v>55.844054999999997</v>
      </c>
      <c r="AB32" s="175">
        <v>56.048706000000003</v>
      </c>
      <c r="AC32" s="175">
        <v>56.203578999999998</v>
      </c>
      <c r="AD32" s="175">
        <v>56.377032999999997</v>
      </c>
      <c r="AE32" s="175">
        <v>56.545631</v>
      </c>
      <c r="AF32" s="175">
        <v>56.762431999999997</v>
      </c>
      <c r="AG32" s="176">
        <v>1.7999999999999999E-2</v>
      </c>
    </row>
    <row r="33" spans="1:33">
      <c r="A33" s="175" t="s">
        <v>2843</v>
      </c>
      <c r="B33" s="175" t="s">
        <v>2865</v>
      </c>
      <c r="C33" s="175" t="s">
        <v>2866</v>
      </c>
      <c r="D33" s="175" t="s">
        <v>415</v>
      </c>
      <c r="F33" s="175">
        <v>23.988018</v>
      </c>
      <c r="G33" s="175">
        <v>25.717506</v>
      </c>
      <c r="H33" s="175">
        <v>27.470897999999998</v>
      </c>
      <c r="I33" s="175">
        <v>27.241520000000001</v>
      </c>
      <c r="J33" s="175">
        <v>27.584202000000001</v>
      </c>
      <c r="K33" s="175">
        <v>27.775763999999999</v>
      </c>
      <c r="L33" s="175">
        <v>27.919968000000001</v>
      </c>
      <c r="M33" s="175">
        <v>28.231255000000001</v>
      </c>
      <c r="N33" s="175">
        <v>28.510629999999999</v>
      </c>
      <c r="O33" s="175">
        <v>28.137867</v>
      </c>
      <c r="P33" s="175">
        <v>28.37771</v>
      </c>
      <c r="Q33" s="175">
        <v>28.619430999999999</v>
      </c>
      <c r="R33" s="175">
        <v>28.901937</v>
      </c>
      <c r="S33" s="175">
        <v>29.085546000000001</v>
      </c>
      <c r="T33" s="175">
        <v>29.275507000000001</v>
      </c>
      <c r="U33" s="175">
        <v>29.461161000000001</v>
      </c>
      <c r="V33" s="175">
        <v>29.584817999999999</v>
      </c>
      <c r="W33" s="175">
        <v>29.708748</v>
      </c>
      <c r="X33" s="175">
        <v>29.788166</v>
      </c>
      <c r="Y33" s="175">
        <v>29.883118</v>
      </c>
      <c r="Z33" s="175">
        <v>29.946400000000001</v>
      </c>
      <c r="AA33" s="175">
        <v>30.026071999999999</v>
      </c>
      <c r="AB33" s="175">
        <v>30.081591</v>
      </c>
      <c r="AC33" s="175">
        <v>30.123497</v>
      </c>
      <c r="AD33" s="175">
        <v>30.182155999999999</v>
      </c>
      <c r="AE33" s="175">
        <v>30.238665000000001</v>
      </c>
      <c r="AF33" s="175">
        <v>30.351025</v>
      </c>
      <c r="AG33" s="176">
        <v>8.9999999999999993E-3</v>
      </c>
    </row>
    <row r="34" spans="1:33">
      <c r="A34" s="175" t="s">
        <v>2867</v>
      </c>
      <c r="B34" s="175" t="s">
        <v>2868</v>
      </c>
      <c r="C34" s="175" t="s">
        <v>2869</v>
      </c>
      <c r="D34" s="175" t="s">
        <v>415</v>
      </c>
      <c r="F34" s="175">
        <v>22.673542000000001</v>
      </c>
      <c r="G34" s="175">
        <v>23.019804000000001</v>
      </c>
      <c r="H34" s="175">
        <v>23.398861</v>
      </c>
      <c r="I34" s="175">
        <v>23.830568</v>
      </c>
      <c r="J34" s="175">
        <v>24.300024000000001</v>
      </c>
      <c r="K34" s="175">
        <v>24.836760000000002</v>
      </c>
      <c r="L34" s="175">
        <v>25.429971999999999</v>
      </c>
      <c r="M34" s="175">
        <v>25.986374000000001</v>
      </c>
      <c r="N34" s="175">
        <v>26.538643</v>
      </c>
      <c r="O34" s="175">
        <v>27.064734999999999</v>
      </c>
      <c r="P34" s="175">
        <v>27.521101000000002</v>
      </c>
      <c r="Q34" s="175">
        <v>27.975999999999999</v>
      </c>
      <c r="R34" s="175">
        <v>28.511520000000001</v>
      </c>
      <c r="S34" s="175">
        <v>29.075071000000001</v>
      </c>
      <c r="T34" s="175">
        <v>29.604527999999998</v>
      </c>
      <c r="U34" s="175">
        <v>30.117156999999999</v>
      </c>
      <c r="V34" s="175">
        <v>30.573536000000001</v>
      </c>
      <c r="W34" s="175">
        <v>30.986899999999999</v>
      </c>
      <c r="X34" s="175">
        <v>31.437296</v>
      </c>
      <c r="Y34" s="175">
        <v>31.758548999999999</v>
      </c>
      <c r="Z34" s="175">
        <v>32.106952999999997</v>
      </c>
      <c r="AA34" s="175">
        <v>32.412998000000002</v>
      </c>
      <c r="AB34" s="175">
        <v>32.726719000000003</v>
      </c>
      <c r="AC34" s="175">
        <v>32.964526999999997</v>
      </c>
      <c r="AD34" s="175">
        <v>33.336478999999997</v>
      </c>
      <c r="AE34" s="175">
        <v>33.624088</v>
      </c>
      <c r="AF34" s="175">
        <v>33.818747999999999</v>
      </c>
      <c r="AG34" s="176">
        <v>1.4999999999999999E-2</v>
      </c>
    </row>
    <row r="35" spans="1:33">
      <c r="A35" s="175" t="s">
        <v>2870</v>
      </c>
      <c r="B35" s="175" t="s">
        <v>2871</v>
      </c>
      <c r="C35" s="175" t="s">
        <v>2872</v>
      </c>
      <c r="D35" s="175" t="s">
        <v>415</v>
      </c>
      <c r="F35" s="175">
        <v>13.769277000000001</v>
      </c>
      <c r="G35" s="175">
        <v>13.86491</v>
      </c>
      <c r="H35" s="175">
        <v>13.983874999999999</v>
      </c>
      <c r="I35" s="175">
        <v>14.109709000000001</v>
      </c>
      <c r="J35" s="175">
        <v>14.421766</v>
      </c>
      <c r="K35" s="175">
        <v>14.424688</v>
      </c>
      <c r="L35" s="175">
        <v>14.556281999999999</v>
      </c>
      <c r="M35" s="175">
        <v>14.750196000000001</v>
      </c>
      <c r="N35" s="175">
        <v>14.936327</v>
      </c>
      <c r="O35" s="175">
        <v>15.064475</v>
      </c>
      <c r="P35" s="175">
        <v>15.224270000000001</v>
      </c>
      <c r="Q35" s="175">
        <v>15.464074</v>
      </c>
      <c r="R35" s="175">
        <v>15.665839999999999</v>
      </c>
      <c r="S35" s="175">
        <v>15.84999</v>
      </c>
      <c r="T35" s="175">
        <v>16.032001000000001</v>
      </c>
      <c r="U35" s="175">
        <v>16.187612999999999</v>
      </c>
      <c r="V35" s="175">
        <v>16.309277000000002</v>
      </c>
      <c r="W35" s="175">
        <v>16.511687999999999</v>
      </c>
      <c r="X35" s="175">
        <v>16.675953</v>
      </c>
      <c r="Y35" s="175">
        <v>16.834778</v>
      </c>
      <c r="Z35" s="175">
        <v>16.980089</v>
      </c>
      <c r="AA35" s="175">
        <v>17.087033999999999</v>
      </c>
      <c r="AB35" s="175">
        <v>17.201184999999999</v>
      </c>
      <c r="AC35" s="175">
        <v>17.306694</v>
      </c>
      <c r="AD35" s="175">
        <v>17.349647999999998</v>
      </c>
      <c r="AE35" s="175">
        <v>17.431222999999999</v>
      </c>
      <c r="AF35" s="175">
        <v>17.567291000000001</v>
      </c>
      <c r="AG35" s="176">
        <v>8.9999999999999993E-3</v>
      </c>
    </row>
    <row r="36" spans="1:33">
      <c r="A36" s="175" t="s">
        <v>2873</v>
      </c>
      <c r="B36" s="175" t="s">
        <v>2874</v>
      </c>
      <c r="C36" s="175" t="s">
        <v>2875</v>
      </c>
      <c r="D36" s="175" t="s">
        <v>415</v>
      </c>
      <c r="F36" s="175">
        <v>13.296923</v>
      </c>
      <c r="G36" s="175">
        <v>13.351376999999999</v>
      </c>
      <c r="H36" s="175">
        <v>13.405718999999999</v>
      </c>
      <c r="I36" s="175">
        <v>13.465928999999999</v>
      </c>
      <c r="J36" s="175">
        <v>13.534836</v>
      </c>
      <c r="K36" s="175">
        <v>13.601525000000001</v>
      </c>
      <c r="L36" s="175">
        <v>13.675136</v>
      </c>
      <c r="M36" s="175">
        <v>13.75475</v>
      </c>
      <c r="N36" s="175">
        <v>13.839869</v>
      </c>
      <c r="O36" s="175">
        <v>13.933196000000001</v>
      </c>
      <c r="P36" s="175">
        <v>14.030329999999999</v>
      </c>
      <c r="Q36" s="175">
        <v>14.136103</v>
      </c>
      <c r="R36" s="175">
        <v>14.245768</v>
      </c>
      <c r="S36" s="175">
        <v>14.363693</v>
      </c>
      <c r="T36" s="175">
        <v>14.48442</v>
      </c>
      <c r="U36" s="175">
        <v>14.607023</v>
      </c>
      <c r="V36" s="175">
        <v>14.721759</v>
      </c>
      <c r="W36" s="175">
        <v>14.851385000000001</v>
      </c>
      <c r="X36" s="175">
        <v>14.978259</v>
      </c>
      <c r="Y36" s="175">
        <v>15.111693000000001</v>
      </c>
      <c r="Z36" s="175">
        <v>15.246414</v>
      </c>
      <c r="AA36" s="175">
        <v>15.375544</v>
      </c>
      <c r="AB36" s="175">
        <v>15.505302</v>
      </c>
      <c r="AC36" s="175">
        <v>15.6272</v>
      </c>
      <c r="AD36" s="175">
        <v>15.74775</v>
      </c>
      <c r="AE36" s="175">
        <v>15.865226</v>
      </c>
      <c r="AF36" s="175">
        <v>15.983394000000001</v>
      </c>
      <c r="AG36" s="176">
        <v>7.0000000000000001E-3</v>
      </c>
    </row>
    <row r="37" spans="1:33">
      <c r="A37" s="175" t="s">
        <v>2876</v>
      </c>
      <c r="B37" s="175" t="s">
        <v>2877</v>
      </c>
      <c r="C37" s="175" t="s">
        <v>2878</v>
      </c>
      <c r="D37" s="175" t="s">
        <v>415</v>
      </c>
      <c r="F37" s="175">
        <v>7.7570230000000002</v>
      </c>
      <c r="G37" s="175">
        <v>7.8260310000000004</v>
      </c>
      <c r="H37" s="175">
        <v>7.9062919999999997</v>
      </c>
      <c r="I37" s="175">
        <v>7.9960290000000001</v>
      </c>
      <c r="J37" s="175">
        <v>8.0947890000000005</v>
      </c>
      <c r="K37" s="175">
        <v>8.1991750000000003</v>
      </c>
      <c r="L37" s="175">
        <v>8.3074709999999996</v>
      </c>
      <c r="M37" s="175">
        <v>8.4176070000000003</v>
      </c>
      <c r="N37" s="175">
        <v>8.5283219999999993</v>
      </c>
      <c r="O37" s="175">
        <v>8.6380099999999995</v>
      </c>
      <c r="P37" s="175">
        <v>8.7450679999999998</v>
      </c>
      <c r="Q37" s="175">
        <v>8.8470669999999991</v>
      </c>
      <c r="R37" s="175">
        <v>8.9420540000000006</v>
      </c>
      <c r="S37" s="175">
        <v>9.029954</v>
      </c>
      <c r="T37" s="175">
        <v>9.1127330000000004</v>
      </c>
      <c r="U37" s="175">
        <v>9.1914820000000006</v>
      </c>
      <c r="V37" s="175">
        <v>9.2668909999999993</v>
      </c>
      <c r="W37" s="175">
        <v>9.3372069999999994</v>
      </c>
      <c r="X37" s="175">
        <v>9.4020580000000002</v>
      </c>
      <c r="Y37" s="175">
        <v>9.4613700000000005</v>
      </c>
      <c r="Z37" s="175">
        <v>9.5162099999999992</v>
      </c>
      <c r="AA37" s="175">
        <v>9.5691059999999997</v>
      </c>
      <c r="AB37" s="175">
        <v>9.6208910000000003</v>
      </c>
      <c r="AC37" s="175">
        <v>9.6705670000000001</v>
      </c>
      <c r="AD37" s="175">
        <v>9.7169790000000003</v>
      </c>
      <c r="AE37" s="175">
        <v>9.7613710000000005</v>
      </c>
      <c r="AF37" s="175">
        <v>9.8045439999999999</v>
      </c>
      <c r="AG37" s="176">
        <v>8.9999999999999993E-3</v>
      </c>
    </row>
    <row r="38" spans="1:33">
      <c r="A38" s="175" t="s">
        <v>2879</v>
      </c>
    </row>
    <row r="39" spans="1:33">
      <c r="A39" s="175" t="s">
        <v>2880</v>
      </c>
      <c r="B39" s="175" t="s">
        <v>2881</v>
      </c>
      <c r="C39" s="175" t="s">
        <v>2882</v>
      </c>
      <c r="D39" s="175" t="s">
        <v>454</v>
      </c>
      <c r="F39" s="175">
        <v>85.368492000000003</v>
      </c>
      <c r="G39" s="175">
        <v>85.782234000000003</v>
      </c>
      <c r="H39" s="175">
        <v>86.453063999999998</v>
      </c>
      <c r="I39" s="175">
        <v>87.127350000000007</v>
      </c>
      <c r="J39" s="175">
        <v>87.815926000000005</v>
      </c>
      <c r="K39" s="175">
        <v>88.497085999999996</v>
      </c>
      <c r="L39" s="175">
        <v>89.183655000000002</v>
      </c>
      <c r="M39" s="175">
        <v>89.886848000000001</v>
      </c>
      <c r="N39" s="175">
        <v>90.639893000000001</v>
      </c>
      <c r="O39" s="175">
        <v>91.399001999999996</v>
      </c>
      <c r="P39" s="175">
        <v>92.155806999999996</v>
      </c>
      <c r="Q39" s="175">
        <v>92.914574000000002</v>
      </c>
      <c r="R39" s="175">
        <v>93.675323000000006</v>
      </c>
      <c r="S39" s="175">
        <v>94.433295999999999</v>
      </c>
      <c r="T39" s="175">
        <v>95.211731</v>
      </c>
      <c r="U39" s="175">
        <v>95.983520999999996</v>
      </c>
      <c r="V39" s="175">
        <v>96.768569999999997</v>
      </c>
      <c r="W39" s="175">
        <v>97.563377000000003</v>
      </c>
      <c r="X39" s="175">
        <v>98.389313000000001</v>
      </c>
      <c r="Y39" s="175">
        <v>99.21096</v>
      </c>
      <c r="Z39" s="175">
        <v>100.03321099999999</v>
      </c>
      <c r="AA39" s="175">
        <v>100.86144299999999</v>
      </c>
      <c r="AB39" s="175">
        <v>101.69375599999999</v>
      </c>
      <c r="AC39" s="175">
        <v>102.534424</v>
      </c>
      <c r="AD39" s="175">
        <v>103.379761</v>
      </c>
      <c r="AE39" s="175">
        <v>104.22199999999999</v>
      </c>
      <c r="AF39" s="175">
        <v>105.063164</v>
      </c>
      <c r="AG39" s="176">
        <v>8.0000000000000002E-3</v>
      </c>
    </row>
    <row r="40" spans="1:33">
      <c r="A40" s="175" t="s">
        <v>2883</v>
      </c>
    </row>
    <row r="41" spans="1:33">
      <c r="A41" s="175" t="s">
        <v>180</v>
      </c>
      <c r="B41" s="175" t="s">
        <v>2884</v>
      </c>
      <c r="C41" s="175" t="s">
        <v>2885</v>
      </c>
      <c r="D41" s="175" t="s">
        <v>2886</v>
      </c>
      <c r="F41" s="175">
        <v>3.3734500000000001</v>
      </c>
      <c r="G41" s="175">
        <v>3.3770099999999998</v>
      </c>
      <c r="H41" s="175">
        <v>3.3805740000000002</v>
      </c>
      <c r="I41" s="175">
        <v>3.3841420000000002</v>
      </c>
      <c r="J41" s="175">
        <v>3.3877130000000002</v>
      </c>
      <c r="K41" s="175">
        <v>3.391289</v>
      </c>
      <c r="L41" s="175">
        <v>3.3948680000000002</v>
      </c>
      <c r="M41" s="175">
        <v>3.3984510000000001</v>
      </c>
      <c r="N41" s="175">
        <v>3.402037</v>
      </c>
      <c r="O41" s="175">
        <v>3.4056280000000001</v>
      </c>
      <c r="P41" s="175">
        <v>3.4092220000000002</v>
      </c>
      <c r="Q41" s="175">
        <v>3.41282</v>
      </c>
      <c r="R41" s="175">
        <v>3.4164219999999998</v>
      </c>
      <c r="S41" s="175">
        <v>3.4200270000000002</v>
      </c>
      <c r="T41" s="175">
        <v>3.4236369999999998</v>
      </c>
      <c r="U41" s="175">
        <v>3.4272499999999999</v>
      </c>
      <c r="V41" s="175">
        <v>3.4308670000000001</v>
      </c>
      <c r="W41" s="175">
        <v>3.434488</v>
      </c>
      <c r="X41" s="175">
        <v>3.438113</v>
      </c>
      <c r="Y41" s="175">
        <v>3.4417409999999999</v>
      </c>
      <c r="Z41" s="175">
        <v>3.445373</v>
      </c>
      <c r="AA41" s="175">
        <v>3.4490099999999999</v>
      </c>
      <c r="AB41" s="175">
        <v>3.4526490000000001</v>
      </c>
      <c r="AC41" s="175">
        <v>3.4562930000000001</v>
      </c>
      <c r="AD41" s="175">
        <v>3.4599410000000002</v>
      </c>
      <c r="AE41" s="175">
        <v>3.4635929999999999</v>
      </c>
      <c r="AF41" s="175">
        <v>3.4672480000000001</v>
      </c>
      <c r="AG41" s="176">
        <v>1E-3</v>
      </c>
    </row>
    <row r="42" spans="1:33">
      <c r="A42" s="175" t="s">
        <v>213</v>
      </c>
      <c r="B42" s="175" t="s">
        <v>2887</v>
      </c>
      <c r="C42" s="175" t="s">
        <v>2888</v>
      </c>
      <c r="D42" s="175" t="s">
        <v>2886</v>
      </c>
      <c r="F42" s="175">
        <v>4.8577789999999998</v>
      </c>
      <c r="G42" s="175">
        <v>4.876665</v>
      </c>
      <c r="H42" s="175">
        <v>4.8956239999999998</v>
      </c>
      <c r="I42" s="175">
        <v>4.9146570000000001</v>
      </c>
      <c r="J42" s="175">
        <v>4.933764</v>
      </c>
      <c r="K42" s="175">
        <v>4.9529449999999997</v>
      </c>
      <c r="L42" s="175">
        <v>4.9722</v>
      </c>
      <c r="M42" s="175">
        <v>4.9915310000000002</v>
      </c>
      <c r="N42" s="175">
        <v>5.0109370000000002</v>
      </c>
      <c r="O42" s="175">
        <v>5.0304180000000001</v>
      </c>
      <c r="P42" s="175">
        <v>5.0499749999999999</v>
      </c>
      <c r="Q42" s="175">
        <v>5.0696079999999997</v>
      </c>
      <c r="R42" s="175">
        <v>5.0893170000000003</v>
      </c>
      <c r="S42" s="175">
        <v>5.1091030000000002</v>
      </c>
      <c r="T42" s="175">
        <v>5.1289660000000001</v>
      </c>
      <c r="U42" s="175">
        <v>5.1489060000000002</v>
      </c>
      <c r="V42" s="175">
        <v>5.1689230000000004</v>
      </c>
      <c r="W42" s="175">
        <v>5.189019</v>
      </c>
      <c r="X42" s="175">
        <v>5.2091919999999998</v>
      </c>
      <c r="Y42" s="175">
        <v>5.2294450000000001</v>
      </c>
      <c r="Z42" s="175">
        <v>5.2497749999999996</v>
      </c>
      <c r="AA42" s="175">
        <v>5.2701849999999997</v>
      </c>
      <c r="AB42" s="175">
        <v>5.2906740000000001</v>
      </c>
      <c r="AC42" s="175">
        <v>5.3112430000000002</v>
      </c>
      <c r="AD42" s="175">
        <v>5.3318919999999999</v>
      </c>
      <c r="AE42" s="175">
        <v>5.3526210000000001</v>
      </c>
      <c r="AF42" s="175">
        <v>5.3734299999999999</v>
      </c>
      <c r="AG42" s="176">
        <v>4.0000000000000001E-3</v>
      </c>
    </row>
    <row r="43" spans="1:33">
      <c r="A43" s="175" t="s">
        <v>44</v>
      </c>
    </row>
    <row r="44" spans="1:33">
      <c r="A44" s="175" t="s">
        <v>2889</v>
      </c>
    </row>
    <row r="45" spans="1:33">
      <c r="A45" s="175" t="s">
        <v>333</v>
      </c>
      <c r="B45" s="175" t="s">
        <v>2890</v>
      </c>
      <c r="C45" s="175" t="s">
        <v>2891</v>
      </c>
      <c r="D45" s="175" t="s">
        <v>2892</v>
      </c>
      <c r="F45" s="175">
        <v>15.264656</v>
      </c>
      <c r="G45" s="175">
        <v>15.318794</v>
      </c>
      <c r="H45" s="175">
        <v>15.263797</v>
      </c>
      <c r="I45" s="175">
        <v>15.137206000000001</v>
      </c>
      <c r="J45" s="175">
        <v>14.977221</v>
      </c>
      <c r="K45" s="175">
        <v>14.792021999999999</v>
      </c>
      <c r="L45" s="175">
        <v>14.586777</v>
      </c>
      <c r="M45" s="175">
        <v>14.410761000000001</v>
      </c>
      <c r="N45" s="175">
        <v>14.212754</v>
      </c>
      <c r="O45" s="175">
        <v>14.032137000000001</v>
      </c>
      <c r="P45" s="175">
        <v>13.876548</v>
      </c>
      <c r="Q45" s="175">
        <v>13.716936</v>
      </c>
      <c r="R45" s="175">
        <v>13.53182</v>
      </c>
      <c r="S45" s="175">
        <v>13.355209</v>
      </c>
      <c r="T45" s="175">
        <v>13.213084</v>
      </c>
      <c r="U45" s="175">
        <v>13.074738</v>
      </c>
      <c r="V45" s="175">
        <v>12.960391</v>
      </c>
      <c r="W45" s="175">
        <v>12.861575999999999</v>
      </c>
      <c r="X45" s="175">
        <v>12.746392999999999</v>
      </c>
      <c r="Y45" s="175">
        <v>12.672746999999999</v>
      </c>
      <c r="Z45" s="175">
        <v>12.58318</v>
      </c>
      <c r="AA45" s="175">
        <v>12.516975</v>
      </c>
      <c r="AB45" s="175">
        <v>12.440613000000001</v>
      </c>
      <c r="AC45" s="175">
        <v>12.393321</v>
      </c>
      <c r="AD45" s="175">
        <v>12.311717</v>
      </c>
      <c r="AE45" s="175">
        <v>12.264787</v>
      </c>
      <c r="AF45" s="175">
        <v>12.255931</v>
      </c>
      <c r="AG45" s="176">
        <v>-8.0000000000000002E-3</v>
      </c>
    </row>
    <row r="46" spans="1:33">
      <c r="A46" s="175" t="s">
        <v>311</v>
      </c>
      <c r="B46" s="175" t="s">
        <v>2893</v>
      </c>
      <c r="C46" s="175" t="s">
        <v>2894</v>
      </c>
      <c r="D46" s="175" t="s">
        <v>2892</v>
      </c>
      <c r="F46" s="175">
        <v>0.87437500000000001</v>
      </c>
      <c r="G46" s="175">
        <v>0.85573900000000003</v>
      </c>
      <c r="H46" s="175">
        <v>0.83974099999999996</v>
      </c>
      <c r="I46" s="175">
        <v>0.82906299999999999</v>
      </c>
      <c r="J46" s="175">
        <v>0.81703800000000004</v>
      </c>
      <c r="K46" s="175">
        <v>0.80652299999999999</v>
      </c>
      <c r="L46" s="175">
        <v>0.79705300000000001</v>
      </c>
      <c r="M46" s="175">
        <v>0.78666800000000003</v>
      </c>
      <c r="N46" s="175">
        <v>0.77601900000000001</v>
      </c>
      <c r="O46" s="175">
        <v>0.76574799999999998</v>
      </c>
      <c r="P46" s="175">
        <v>0.75515299999999996</v>
      </c>
      <c r="Q46" s="175">
        <v>0.74423300000000003</v>
      </c>
      <c r="R46" s="175">
        <v>0.73315399999999997</v>
      </c>
      <c r="S46" s="175">
        <v>0.72199100000000005</v>
      </c>
      <c r="T46" s="175">
        <v>0.71085900000000002</v>
      </c>
      <c r="U46" s="175">
        <v>0.69993099999999997</v>
      </c>
      <c r="V46" s="175">
        <v>0.68972299999999997</v>
      </c>
      <c r="W46" s="175">
        <v>0.67865399999999998</v>
      </c>
      <c r="X46" s="175">
        <v>0.66812099999999996</v>
      </c>
      <c r="Y46" s="175">
        <v>0.65726200000000001</v>
      </c>
      <c r="Z46" s="175">
        <v>0.64687300000000003</v>
      </c>
      <c r="AA46" s="175">
        <v>0.63653199999999999</v>
      </c>
      <c r="AB46" s="175">
        <v>0.62642500000000001</v>
      </c>
      <c r="AC46" s="175">
        <v>0.61649600000000004</v>
      </c>
      <c r="AD46" s="175">
        <v>0.60653199999999996</v>
      </c>
      <c r="AE46" s="175">
        <v>0.59660599999999997</v>
      </c>
      <c r="AF46" s="175">
        <v>0.58668299999999995</v>
      </c>
      <c r="AG46" s="176">
        <v>-1.4999999999999999E-2</v>
      </c>
    </row>
    <row r="47" spans="1:33">
      <c r="A47" s="175" t="s">
        <v>279</v>
      </c>
      <c r="B47" s="175" t="s">
        <v>2895</v>
      </c>
      <c r="C47" s="175" t="s">
        <v>2896</v>
      </c>
      <c r="D47" s="175" t="s">
        <v>2892</v>
      </c>
      <c r="F47" s="175">
        <v>0.20785899999999999</v>
      </c>
      <c r="G47" s="175">
        <v>0.21351600000000001</v>
      </c>
      <c r="H47" s="175">
        <v>0.21612999999999999</v>
      </c>
      <c r="I47" s="175">
        <v>0.21712600000000001</v>
      </c>
      <c r="J47" s="175">
        <v>0.21748200000000001</v>
      </c>
      <c r="K47" s="175">
        <v>0.21742800000000001</v>
      </c>
      <c r="L47" s="175">
        <v>0.21724399999999999</v>
      </c>
      <c r="M47" s="175">
        <v>0.21624199999999999</v>
      </c>
      <c r="N47" s="175">
        <v>0.21476500000000001</v>
      </c>
      <c r="O47" s="175">
        <v>0.21318599999999999</v>
      </c>
      <c r="P47" s="175">
        <v>0.21190600000000001</v>
      </c>
      <c r="Q47" s="175">
        <v>0.210372</v>
      </c>
      <c r="R47" s="175">
        <v>0.208783</v>
      </c>
      <c r="S47" s="175">
        <v>0.20722499999999999</v>
      </c>
      <c r="T47" s="175">
        <v>0.20564499999999999</v>
      </c>
      <c r="U47" s="175">
        <v>0.20397999999999999</v>
      </c>
      <c r="V47" s="175">
        <v>0.20218700000000001</v>
      </c>
      <c r="W47" s="175">
        <v>0.20030100000000001</v>
      </c>
      <c r="X47" s="175">
        <v>0.198292</v>
      </c>
      <c r="Y47" s="175">
        <v>0.19633700000000001</v>
      </c>
      <c r="Z47" s="175">
        <v>0.19428100000000001</v>
      </c>
      <c r="AA47" s="175">
        <v>0.19231999999999999</v>
      </c>
      <c r="AB47" s="175">
        <v>0.190195</v>
      </c>
      <c r="AC47" s="175">
        <v>0.18795100000000001</v>
      </c>
      <c r="AD47" s="175">
        <v>0.18579200000000001</v>
      </c>
      <c r="AE47" s="175">
        <v>0.18369099999999999</v>
      </c>
      <c r="AF47" s="175">
        <v>0.18190400000000001</v>
      </c>
      <c r="AG47" s="176">
        <v>-5.0000000000000001E-3</v>
      </c>
    </row>
    <row r="48" spans="1:33">
      <c r="A48" s="175" t="s">
        <v>312</v>
      </c>
      <c r="B48" s="175" t="s">
        <v>2897</v>
      </c>
      <c r="C48" s="175" t="s">
        <v>2898</v>
      </c>
      <c r="D48" s="175" t="s">
        <v>2892</v>
      </c>
      <c r="F48" s="175">
        <v>6.005128</v>
      </c>
      <c r="G48" s="175">
        <v>6.058611</v>
      </c>
      <c r="H48" s="175">
        <v>6.0625530000000003</v>
      </c>
      <c r="I48" s="175">
        <v>6.0522770000000001</v>
      </c>
      <c r="J48" s="175">
        <v>6.0186789999999997</v>
      </c>
      <c r="K48" s="175">
        <v>5.988855</v>
      </c>
      <c r="L48" s="175">
        <v>5.9601290000000002</v>
      </c>
      <c r="M48" s="175">
        <v>5.9234799999999996</v>
      </c>
      <c r="N48" s="175">
        <v>5.8891929999999997</v>
      </c>
      <c r="O48" s="175">
        <v>5.8513450000000002</v>
      </c>
      <c r="P48" s="175">
        <v>5.82186</v>
      </c>
      <c r="Q48" s="175">
        <v>5.7964849999999997</v>
      </c>
      <c r="R48" s="175">
        <v>5.7830719999999998</v>
      </c>
      <c r="S48" s="175">
        <v>5.7776480000000001</v>
      </c>
      <c r="T48" s="175">
        <v>5.7755739999999998</v>
      </c>
      <c r="U48" s="175">
        <v>5.7705010000000003</v>
      </c>
      <c r="V48" s="175">
        <v>5.7706039999999996</v>
      </c>
      <c r="W48" s="175">
        <v>5.7710679999999996</v>
      </c>
      <c r="X48" s="175">
        <v>5.774972</v>
      </c>
      <c r="Y48" s="175">
        <v>5.7765789999999999</v>
      </c>
      <c r="Z48" s="175">
        <v>5.7777500000000002</v>
      </c>
      <c r="AA48" s="175">
        <v>5.7845149999999999</v>
      </c>
      <c r="AB48" s="175">
        <v>5.7897829999999999</v>
      </c>
      <c r="AC48" s="175">
        <v>5.816376</v>
      </c>
      <c r="AD48" s="175">
        <v>5.8437739999999998</v>
      </c>
      <c r="AE48" s="175">
        <v>5.8675810000000004</v>
      </c>
      <c r="AF48" s="175">
        <v>5.8845640000000001</v>
      </c>
      <c r="AG48" s="176">
        <v>-1E-3</v>
      </c>
    </row>
    <row r="49" spans="1:33">
      <c r="A49" s="175" t="s">
        <v>180</v>
      </c>
      <c r="B49" s="175" t="s">
        <v>2899</v>
      </c>
      <c r="C49" s="175" t="s">
        <v>2900</v>
      </c>
      <c r="D49" s="175" t="s">
        <v>2892</v>
      </c>
      <c r="F49" s="175">
        <v>4.3892E-2</v>
      </c>
      <c r="G49" s="175">
        <v>4.6490999999999998E-2</v>
      </c>
      <c r="H49" s="175">
        <v>4.7928999999999999E-2</v>
      </c>
      <c r="I49" s="175">
        <v>4.8710999999999997E-2</v>
      </c>
      <c r="J49" s="175">
        <v>4.9231999999999998E-2</v>
      </c>
      <c r="K49" s="175">
        <v>4.9773999999999999E-2</v>
      </c>
      <c r="L49" s="175">
        <v>5.0394000000000001E-2</v>
      </c>
      <c r="M49" s="175">
        <v>5.0847000000000003E-2</v>
      </c>
      <c r="N49" s="175">
        <v>5.1249999999999997E-2</v>
      </c>
      <c r="O49" s="175">
        <v>5.1577999999999999E-2</v>
      </c>
      <c r="P49" s="175">
        <v>5.1859000000000002E-2</v>
      </c>
      <c r="Q49" s="175">
        <v>5.2283999999999997E-2</v>
      </c>
      <c r="R49" s="175">
        <v>5.2821E-2</v>
      </c>
      <c r="S49" s="175">
        <v>5.3370000000000001E-2</v>
      </c>
      <c r="T49" s="175">
        <v>5.3935999999999998E-2</v>
      </c>
      <c r="U49" s="175">
        <v>5.4448999999999997E-2</v>
      </c>
      <c r="V49" s="175">
        <v>5.4919999999999997E-2</v>
      </c>
      <c r="W49" s="175">
        <v>5.534E-2</v>
      </c>
      <c r="X49" s="175">
        <v>5.5737000000000002E-2</v>
      </c>
      <c r="Y49" s="175">
        <v>5.6128999999999998E-2</v>
      </c>
      <c r="Z49" s="175">
        <v>5.6454999999999998E-2</v>
      </c>
      <c r="AA49" s="175">
        <v>5.6805000000000001E-2</v>
      </c>
      <c r="AB49" s="175">
        <v>5.7083000000000002E-2</v>
      </c>
      <c r="AC49" s="175">
        <v>5.7393E-2</v>
      </c>
      <c r="AD49" s="175">
        <v>5.7764999999999997E-2</v>
      </c>
      <c r="AE49" s="175">
        <v>5.8137000000000001E-2</v>
      </c>
      <c r="AF49" s="175">
        <v>5.8624999999999997E-2</v>
      </c>
      <c r="AG49" s="176">
        <v>1.0999999999999999E-2</v>
      </c>
    </row>
    <row r="50" spans="1:33">
      <c r="A50" s="175" t="s">
        <v>180</v>
      </c>
      <c r="B50" s="175" t="s">
        <v>2901</v>
      </c>
      <c r="C50" s="175" t="s">
        <v>2902</v>
      </c>
      <c r="D50" s="175" t="s">
        <v>2892</v>
      </c>
      <c r="F50" s="175">
        <v>0.43423099999999998</v>
      </c>
      <c r="G50" s="175">
        <v>0.44375900000000001</v>
      </c>
      <c r="H50" s="175">
        <v>0.43258099999999999</v>
      </c>
      <c r="I50" s="175">
        <v>0.41775200000000001</v>
      </c>
      <c r="J50" s="175">
        <v>0.41742499999999999</v>
      </c>
      <c r="K50" s="175">
        <v>0.41593799999999997</v>
      </c>
      <c r="L50" s="175">
        <v>0.403474</v>
      </c>
      <c r="M50" s="175">
        <v>0.40317799999999998</v>
      </c>
      <c r="N50" s="175">
        <v>0.38383200000000001</v>
      </c>
      <c r="O50" s="175">
        <v>0.38530700000000001</v>
      </c>
      <c r="P50" s="175">
        <v>0.38127499999999998</v>
      </c>
      <c r="Q50" s="175">
        <v>0.38103999999999999</v>
      </c>
      <c r="R50" s="175">
        <v>0.38219799999999998</v>
      </c>
      <c r="S50" s="175">
        <v>0.38373699999999999</v>
      </c>
      <c r="T50" s="175">
        <v>0.38856000000000002</v>
      </c>
      <c r="U50" s="175">
        <v>0.38572499999999998</v>
      </c>
      <c r="V50" s="175">
        <v>0.38717000000000001</v>
      </c>
      <c r="W50" s="175">
        <v>0.38733400000000001</v>
      </c>
      <c r="X50" s="175">
        <v>0.38897700000000002</v>
      </c>
      <c r="Y50" s="175">
        <v>0.39084999999999998</v>
      </c>
      <c r="Z50" s="175">
        <v>0.39176299999999997</v>
      </c>
      <c r="AA50" s="175">
        <v>0.39273799999999998</v>
      </c>
      <c r="AB50" s="175">
        <v>0.39265099999999997</v>
      </c>
      <c r="AC50" s="175">
        <v>0.39648099999999997</v>
      </c>
      <c r="AD50" s="175">
        <v>0.39958100000000002</v>
      </c>
      <c r="AE50" s="175">
        <v>0.40209800000000001</v>
      </c>
      <c r="AF50" s="175">
        <v>0.40297500000000003</v>
      </c>
      <c r="AG50" s="176">
        <v>-3.0000000000000001E-3</v>
      </c>
    </row>
    <row r="51" spans="1:33" s="177" customFormat="1">
      <c r="A51" s="177" t="s">
        <v>2903</v>
      </c>
      <c r="B51" s="177" t="s">
        <v>2904</v>
      </c>
      <c r="C51" s="177" t="s">
        <v>2905</v>
      </c>
      <c r="D51" s="177" t="s">
        <v>2892</v>
      </c>
      <c r="F51" s="177">
        <v>9.4440999999999997E-2</v>
      </c>
      <c r="G51" s="177">
        <v>9.5329999999999998E-2</v>
      </c>
      <c r="H51" s="177">
        <v>9.4565999999999997E-2</v>
      </c>
      <c r="I51" s="177">
        <v>9.3798000000000006E-2</v>
      </c>
      <c r="J51" s="177">
        <v>9.3107999999999996E-2</v>
      </c>
      <c r="K51" s="177">
        <v>9.2339000000000004E-2</v>
      </c>
      <c r="L51" s="177">
        <v>9.1481000000000007E-2</v>
      </c>
      <c r="M51" s="177">
        <v>9.0542999999999998E-2</v>
      </c>
      <c r="N51" s="177">
        <v>8.9462E-2</v>
      </c>
      <c r="O51" s="177">
        <v>8.8707999999999995E-2</v>
      </c>
      <c r="P51" s="177">
        <v>8.8034000000000001E-2</v>
      </c>
      <c r="Q51" s="177">
        <v>8.7319999999999995E-2</v>
      </c>
      <c r="R51" s="177">
        <v>8.6580000000000004E-2</v>
      </c>
      <c r="S51" s="177">
        <v>8.5944999999999994E-2</v>
      </c>
      <c r="T51" s="177">
        <v>8.5342000000000001E-2</v>
      </c>
      <c r="U51" s="177">
        <v>8.4675E-2</v>
      </c>
      <c r="V51" s="177">
        <v>8.4112000000000006E-2</v>
      </c>
      <c r="W51" s="177">
        <v>8.3540000000000003E-2</v>
      </c>
      <c r="X51" s="177">
        <v>8.2974000000000006E-2</v>
      </c>
      <c r="Y51" s="177">
        <v>8.2354999999999998E-2</v>
      </c>
      <c r="Z51" s="177">
        <v>8.1680000000000003E-2</v>
      </c>
      <c r="AA51" s="177">
        <v>8.1034999999999996E-2</v>
      </c>
      <c r="AB51" s="177">
        <v>8.0381999999999995E-2</v>
      </c>
      <c r="AC51" s="177">
        <v>7.9953999999999997E-2</v>
      </c>
      <c r="AD51" s="177">
        <v>7.9430000000000001E-2</v>
      </c>
      <c r="AE51" s="177">
        <v>7.8866000000000006E-2</v>
      </c>
      <c r="AF51" s="177">
        <v>7.8278E-2</v>
      </c>
      <c r="AG51" s="178">
        <v>-7.0000000000000001E-3</v>
      </c>
    </row>
    <row r="52" spans="1:33" s="177" customFormat="1">
      <c r="A52" s="177" t="s">
        <v>2903</v>
      </c>
      <c r="B52" s="177" t="s">
        <v>2906</v>
      </c>
      <c r="C52" s="177" t="s">
        <v>2907</v>
      </c>
      <c r="D52" s="177" t="s">
        <v>2892</v>
      </c>
      <c r="F52" s="177">
        <v>0.75211899999999998</v>
      </c>
      <c r="G52" s="177">
        <v>0.73338199999999998</v>
      </c>
      <c r="H52" s="177">
        <v>0.74175500000000005</v>
      </c>
      <c r="I52" s="177">
        <v>0.75531999999999999</v>
      </c>
      <c r="J52" s="177">
        <v>0.76629499999999995</v>
      </c>
      <c r="K52" s="177">
        <v>0.778196</v>
      </c>
      <c r="L52" s="177">
        <v>0.78992600000000002</v>
      </c>
      <c r="M52" s="177">
        <v>0.80055600000000005</v>
      </c>
      <c r="N52" s="177">
        <v>0.81212399999999996</v>
      </c>
      <c r="O52" s="177">
        <v>0.82328699999999999</v>
      </c>
      <c r="P52" s="177">
        <v>0.83492999999999995</v>
      </c>
      <c r="Q52" s="177">
        <v>0.84416400000000003</v>
      </c>
      <c r="R52" s="177">
        <v>0.85184199999999999</v>
      </c>
      <c r="S52" s="177">
        <v>0.85928400000000005</v>
      </c>
      <c r="T52" s="177">
        <v>0.86581799999999998</v>
      </c>
      <c r="U52" s="177">
        <v>0.87240700000000004</v>
      </c>
      <c r="V52" s="177">
        <v>0.87826199999999999</v>
      </c>
      <c r="W52" s="177">
        <v>0.88398900000000002</v>
      </c>
      <c r="X52" s="177">
        <v>0.88983500000000004</v>
      </c>
      <c r="Y52" s="177">
        <v>0.89557200000000003</v>
      </c>
      <c r="Z52" s="177">
        <v>0.90109300000000003</v>
      </c>
      <c r="AA52" s="177">
        <v>0.90631600000000001</v>
      </c>
      <c r="AB52" s="177">
        <v>0.91075899999999999</v>
      </c>
      <c r="AC52" s="177">
        <v>0.91678400000000004</v>
      </c>
      <c r="AD52" s="177">
        <v>0.92391900000000005</v>
      </c>
      <c r="AE52" s="177">
        <v>0.93080399999999996</v>
      </c>
      <c r="AF52" s="177">
        <v>0.93727300000000002</v>
      </c>
      <c r="AG52" s="178">
        <v>8.9999999999999993E-3</v>
      </c>
    </row>
    <row r="53" spans="1:33">
      <c r="A53" s="175" t="s">
        <v>281</v>
      </c>
      <c r="B53" s="175" t="s">
        <v>2908</v>
      </c>
      <c r="C53" s="175" t="s">
        <v>2909</v>
      </c>
      <c r="D53" s="175" t="s">
        <v>2892</v>
      </c>
      <c r="F53" s="175">
        <v>0.20760500000000001</v>
      </c>
      <c r="G53" s="175">
        <v>0.20604500000000001</v>
      </c>
      <c r="H53" s="175">
        <v>0.20525199999999999</v>
      </c>
      <c r="I53" s="175">
        <v>0.204434</v>
      </c>
      <c r="J53" s="175">
        <v>0.20314499999999999</v>
      </c>
      <c r="K53" s="175">
        <v>0.20208499999999999</v>
      </c>
      <c r="L53" s="175">
        <v>0.20075299999999999</v>
      </c>
      <c r="M53" s="175">
        <v>0.19906499999999999</v>
      </c>
      <c r="N53" s="175">
        <v>0.19771900000000001</v>
      </c>
      <c r="O53" s="175">
        <v>0.19650300000000001</v>
      </c>
      <c r="P53" s="175">
        <v>0.19525300000000001</v>
      </c>
      <c r="Q53" s="175">
        <v>0.19423499999999999</v>
      </c>
      <c r="R53" s="175">
        <v>0.193269</v>
      </c>
      <c r="S53" s="175">
        <v>0.19245499999999999</v>
      </c>
      <c r="T53" s="175">
        <v>0.19170200000000001</v>
      </c>
      <c r="U53" s="175">
        <v>0.19090599999999999</v>
      </c>
      <c r="V53" s="175">
        <v>0.19012599999999999</v>
      </c>
      <c r="W53" s="175">
        <v>0.18931899999999999</v>
      </c>
      <c r="X53" s="175">
        <v>0.18861600000000001</v>
      </c>
      <c r="Y53" s="175">
        <v>0.187856</v>
      </c>
      <c r="Z53" s="175">
        <v>0.18696299999999999</v>
      </c>
      <c r="AA53" s="175">
        <v>0.18601500000000001</v>
      </c>
      <c r="AB53" s="175">
        <v>0.18501600000000001</v>
      </c>
      <c r="AC53" s="175">
        <v>0.18428600000000001</v>
      </c>
      <c r="AD53" s="175">
        <v>0.183617</v>
      </c>
      <c r="AE53" s="175">
        <v>0.18285100000000001</v>
      </c>
      <c r="AF53" s="175">
        <v>0.18205499999999999</v>
      </c>
      <c r="AG53" s="176">
        <v>-5.0000000000000001E-3</v>
      </c>
    </row>
    <row r="54" spans="1:33" s="179" customFormat="1">
      <c r="A54" s="179" t="s">
        <v>185</v>
      </c>
      <c r="B54" s="179" t="s">
        <v>2910</v>
      </c>
      <c r="C54" s="179" t="s">
        <v>2911</v>
      </c>
      <c r="D54" s="179" t="s">
        <v>2892</v>
      </c>
      <c r="F54" s="179">
        <v>3.2683239999999998</v>
      </c>
      <c r="G54" s="179">
        <v>3.2620330000000002</v>
      </c>
      <c r="H54" s="179">
        <v>3.2887469999999999</v>
      </c>
      <c r="I54" s="179">
        <v>3.3238750000000001</v>
      </c>
      <c r="J54" s="179">
        <v>3.351261</v>
      </c>
      <c r="K54" s="179">
        <v>3.3835480000000002</v>
      </c>
      <c r="L54" s="179">
        <v>3.411572</v>
      </c>
      <c r="M54" s="179">
        <v>3.4309509999999999</v>
      </c>
      <c r="N54" s="179">
        <v>3.4546049999999999</v>
      </c>
      <c r="O54" s="179">
        <v>3.4793050000000001</v>
      </c>
      <c r="P54" s="179">
        <v>3.5032459999999999</v>
      </c>
      <c r="Q54" s="179">
        <v>3.5340240000000001</v>
      </c>
      <c r="R54" s="179">
        <v>3.5675560000000002</v>
      </c>
      <c r="S54" s="179">
        <v>3.6071569999999999</v>
      </c>
      <c r="T54" s="179">
        <v>3.6496209999999998</v>
      </c>
      <c r="U54" s="179">
        <v>3.6931419999999999</v>
      </c>
      <c r="V54" s="179">
        <v>3.735951</v>
      </c>
      <c r="W54" s="179">
        <v>3.776446</v>
      </c>
      <c r="X54" s="179">
        <v>3.821688</v>
      </c>
      <c r="Y54" s="179">
        <v>3.8639779999999999</v>
      </c>
      <c r="Z54" s="179">
        <v>3.9011779999999998</v>
      </c>
      <c r="AA54" s="179">
        <v>3.9369100000000001</v>
      </c>
      <c r="AB54" s="179">
        <v>3.970224</v>
      </c>
      <c r="AC54" s="179">
        <v>4.0111319999999999</v>
      </c>
      <c r="AD54" s="179">
        <v>4.0551300000000001</v>
      </c>
      <c r="AE54" s="179">
        <v>4.0945159999999996</v>
      </c>
      <c r="AF54" s="179">
        <v>4.1335119999999996</v>
      </c>
      <c r="AG54" s="180">
        <v>8.9999999999999993E-3</v>
      </c>
    </row>
    <row r="55" spans="1:33">
      <c r="A55" s="175" t="s">
        <v>278</v>
      </c>
      <c r="B55" s="175" t="s">
        <v>2912</v>
      </c>
      <c r="C55" s="175" t="s">
        <v>2913</v>
      </c>
      <c r="D55" s="175" t="s">
        <v>2892</v>
      </c>
      <c r="F55" s="175">
        <v>0.44478899999999999</v>
      </c>
      <c r="G55" s="175">
        <v>0.44984499999999999</v>
      </c>
      <c r="H55" s="175">
        <v>0.45296900000000001</v>
      </c>
      <c r="I55" s="175">
        <v>0.45489600000000002</v>
      </c>
      <c r="J55" s="175">
        <v>0.455762</v>
      </c>
      <c r="K55" s="175">
        <v>0.45559300000000003</v>
      </c>
      <c r="L55" s="175">
        <v>0.45537699999999998</v>
      </c>
      <c r="M55" s="175">
        <v>0.45584200000000002</v>
      </c>
      <c r="N55" s="175">
        <v>0.45621699999999998</v>
      </c>
      <c r="O55" s="175">
        <v>0.45661000000000002</v>
      </c>
      <c r="P55" s="175">
        <v>0.45693299999999998</v>
      </c>
      <c r="Q55" s="175">
        <v>0.45718500000000001</v>
      </c>
      <c r="R55" s="175">
        <v>0.45763300000000001</v>
      </c>
      <c r="S55" s="175">
        <v>0.45822099999999999</v>
      </c>
      <c r="T55" s="175">
        <v>0.458787</v>
      </c>
      <c r="U55" s="175">
        <v>0.459339</v>
      </c>
      <c r="V55" s="175">
        <v>0.45987499999999998</v>
      </c>
      <c r="W55" s="175">
        <v>0.460399</v>
      </c>
      <c r="X55" s="175">
        <v>0.46091399999999999</v>
      </c>
      <c r="Y55" s="175">
        <v>0.46142300000000003</v>
      </c>
      <c r="Z55" s="175">
        <v>0.46192699999999998</v>
      </c>
      <c r="AA55" s="175">
        <v>0.46242499999999997</v>
      </c>
      <c r="AB55" s="175">
        <v>0.462922</v>
      </c>
      <c r="AC55" s="175">
        <v>0.46341900000000003</v>
      </c>
      <c r="AD55" s="175">
        <v>0.46391300000000002</v>
      </c>
      <c r="AE55" s="175">
        <v>0.46440799999999999</v>
      </c>
      <c r="AF55" s="175">
        <v>0.46490399999999998</v>
      </c>
      <c r="AG55" s="176">
        <v>2E-3</v>
      </c>
    </row>
    <row r="56" spans="1:33">
      <c r="A56" s="175" t="s">
        <v>282</v>
      </c>
      <c r="B56" s="175" t="s">
        <v>2914</v>
      </c>
      <c r="C56" s="175" t="s">
        <v>2915</v>
      </c>
      <c r="D56" s="175" t="s">
        <v>2892</v>
      </c>
      <c r="F56" s="175">
        <v>0.134269</v>
      </c>
      <c r="G56" s="175">
        <v>0.13466500000000001</v>
      </c>
      <c r="H56" s="175">
        <v>0.13530500000000001</v>
      </c>
      <c r="I56" s="175">
        <v>0.135764</v>
      </c>
      <c r="J56" s="175">
        <v>0.13597200000000001</v>
      </c>
      <c r="K56" s="175">
        <v>0.13608500000000001</v>
      </c>
      <c r="L56" s="175">
        <v>0.136129</v>
      </c>
      <c r="M56" s="175">
        <v>0.13605500000000001</v>
      </c>
      <c r="N56" s="175">
        <v>0.135958</v>
      </c>
      <c r="O56" s="175">
        <v>0.13591</v>
      </c>
      <c r="P56" s="175">
        <v>0.13589200000000001</v>
      </c>
      <c r="Q56" s="175">
        <v>0.13586300000000001</v>
      </c>
      <c r="R56" s="175">
        <v>0.135821</v>
      </c>
      <c r="S56" s="175">
        <v>0.13577600000000001</v>
      </c>
      <c r="T56" s="175">
        <v>0.13575699999999999</v>
      </c>
      <c r="U56" s="175">
        <v>0.135764</v>
      </c>
      <c r="V56" s="175">
        <v>0.135768</v>
      </c>
      <c r="W56" s="175">
        <v>0.135743</v>
      </c>
      <c r="X56" s="175">
        <v>0.13569899999999999</v>
      </c>
      <c r="Y56" s="175">
        <v>0.135634</v>
      </c>
      <c r="Z56" s="175">
        <v>0.13556699999999999</v>
      </c>
      <c r="AA56" s="175">
        <v>0.13550100000000001</v>
      </c>
      <c r="AB56" s="175">
        <v>0.13541800000000001</v>
      </c>
      <c r="AC56" s="175">
        <v>0.135323</v>
      </c>
      <c r="AD56" s="175">
        <v>0.13519600000000001</v>
      </c>
      <c r="AE56" s="175">
        <v>0.13505600000000001</v>
      </c>
      <c r="AF56" s="175">
        <v>0.13491900000000001</v>
      </c>
      <c r="AG56" s="176">
        <v>0</v>
      </c>
    </row>
    <row r="57" spans="1:33">
      <c r="A57" s="175" t="s">
        <v>2916</v>
      </c>
      <c r="B57" s="175" t="s">
        <v>2917</v>
      </c>
      <c r="C57" s="175" t="s">
        <v>2918</v>
      </c>
      <c r="D57" s="175" t="s">
        <v>2892</v>
      </c>
      <c r="F57" s="175">
        <v>0.92415800000000004</v>
      </c>
      <c r="G57" s="175">
        <v>0.87021000000000004</v>
      </c>
      <c r="H57" s="175">
        <v>0.86357099999999998</v>
      </c>
      <c r="I57" s="175">
        <v>0.83560900000000005</v>
      </c>
      <c r="J57" s="175">
        <v>0.79156499999999996</v>
      </c>
      <c r="K57" s="175">
        <v>0.75778999999999996</v>
      </c>
      <c r="L57" s="175">
        <v>0.71301099999999995</v>
      </c>
      <c r="M57" s="175">
        <v>0.70335300000000001</v>
      </c>
      <c r="N57" s="175">
        <v>0.71609599999999995</v>
      </c>
      <c r="O57" s="175">
        <v>0.70919600000000005</v>
      </c>
      <c r="P57" s="175">
        <v>0.70162199999999997</v>
      </c>
      <c r="Q57" s="175">
        <v>0.70198499999999997</v>
      </c>
      <c r="R57" s="175">
        <v>0.70706999999999998</v>
      </c>
      <c r="S57" s="175">
        <v>0.71651200000000004</v>
      </c>
      <c r="T57" s="175">
        <v>0.72648199999999996</v>
      </c>
      <c r="U57" s="175">
        <v>0.73760999999999999</v>
      </c>
      <c r="V57" s="175">
        <v>0.746228</v>
      </c>
      <c r="W57" s="175">
        <v>0.752332</v>
      </c>
      <c r="X57" s="175">
        <v>0.75695699999999999</v>
      </c>
      <c r="Y57" s="175">
        <v>0.76515100000000003</v>
      </c>
      <c r="Z57" s="175">
        <v>0.77486100000000002</v>
      </c>
      <c r="AA57" s="175">
        <v>0.78181100000000003</v>
      </c>
      <c r="AB57" s="175">
        <v>0.79294299999999995</v>
      </c>
      <c r="AC57" s="175">
        <v>0.80118500000000004</v>
      </c>
      <c r="AD57" s="175">
        <v>0.81029300000000004</v>
      </c>
      <c r="AE57" s="175">
        <v>0.81983700000000004</v>
      </c>
      <c r="AF57" s="175">
        <v>0.83159899999999998</v>
      </c>
      <c r="AG57" s="176">
        <v>-4.0000000000000001E-3</v>
      </c>
    </row>
    <row r="58" spans="1:33">
      <c r="A58" s="175" t="s">
        <v>1143</v>
      </c>
      <c r="B58" s="175" t="s">
        <v>2919</v>
      </c>
      <c r="C58" s="175" t="s">
        <v>2920</v>
      </c>
      <c r="D58" s="175" t="s">
        <v>2892</v>
      </c>
      <c r="F58" s="175">
        <v>0.36798999999999998</v>
      </c>
      <c r="G58" s="175">
        <v>0.42041099999999998</v>
      </c>
      <c r="H58" s="175">
        <v>0.44769300000000001</v>
      </c>
      <c r="I58" s="175">
        <v>0.44849299999999998</v>
      </c>
      <c r="J58" s="175">
        <v>0.53499699999999994</v>
      </c>
      <c r="K58" s="175">
        <v>0.59558800000000001</v>
      </c>
      <c r="L58" s="175">
        <v>0.65857699999999997</v>
      </c>
      <c r="M58" s="175">
        <v>0.70078799999999997</v>
      </c>
      <c r="N58" s="175">
        <v>0.76951800000000004</v>
      </c>
      <c r="O58" s="175">
        <v>0.83505300000000005</v>
      </c>
      <c r="P58" s="175">
        <v>0.87701099999999999</v>
      </c>
      <c r="Q58" s="175">
        <v>0.89379399999999998</v>
      </c>
      <c r="R58" s="175">
        <v>0.91217599999999999</v>
      </c>
      <c r="S58" s="175">
        <v>0.92736099999999999</v>
      </c>
      <c r="T58" s="175">
        <v>0.93575200000000003</v>
      </c>
      <c r="U58" s="175">
        <v>0.93575200000000003</v>
      </c>
      <c r="V58" s="175">
        <v>0.93735100000000005</v>
      </c>
      <c r="W58" s="175">
        <v>0.93575200000000003</v>
      </c>
      <c r="X58" s="175">
        <v>0.93574199999999996</v>
      </c>
      <c r="Y58" s="175">
        <v>0.93075399999999997</v>
      </c>
      <c r="Z58" s="175">
        <v>0.93217099999999997</v>
      </c>
      <c r="AA58" s="175">
        <v>0.92952699999999999</v>
      </c>
      <c r="AB58" s="175">
        <v>0.93468700000000005</v>
      </c>
      <c r="AC58" s="175">
        <v>0.93499699999999997</v>
      </c>
      <c r="AD58" s="175">
        <v>0.93623199999999995</v>
      </c>
      <c r="AE58" s="175">
        <v>0.93412899999999999</v>
      </c>
      <c r="AF58" s="175">
        <v>0.93501800000000002</v>
      </c>
      <c r="AG58" s="176">
        <v>3.6999999999999998E-2</v>
      </c>
    </row>
    <row r="59" spans="1:33">
      <c r="A59" s="175" t="s">
        <v>193</v>
      </c>
      <c r="B59" s="175" t="s">
        <v>2921</v>
      </c>
      <c r="C59" s="175" t="s">
        <v>2922</v>
      </c>
      <c r="D59" s="175" t="s">
        <v>2892</v>
      </c>
      <c r="F59" s="175">
        <v>29.023834000000001</v>
      </c>
      <c r="G59" s="175">
        <v>29.108829</v>
      </c>
      <c r="H59" s="175">
        <v>29.092590000000001</v>
      </c>
      <c r="I59" s="175">
        <v>28.954325000000001</v>
      </c>
      <c r="J59" s="175">
        <v>28.829184000000001</v>
      </c>
      <c r="K59" s="175">
        <v>28.671766000000002</v>
      </c>
      <c r="L59" s="175">
        <v>28.471896999999998</v>
      </c>
      <c r="M59" s="175">
        <v>28.308323000000001</v>
      </c>
      <c r="N59" s="175">
        <v>28.159511999999999</v>
      </c>
      <c r="O59" s="175">
        <v>28.023869999999999</v>
      </c>
      <c r="P59" s="175">
        <v>27.891521000000001</v>
      </c>
      <c r="Q59" s="175">
        <v>27.749924</v>
      </c>
      <c r="R59" s="175">
        <v>27.603794000000001</v>
      </c>
      <c r="S59" s="175">
        <v>27.481891999999998</v>
      </c>
      <c r="T59" s="175">
        <v>27.396920999999999</v>
      </c>
      <c r="U59" s="175">
        <v>27.298918</v>
      </c>
      <c r="V59" s="175">
        <v>27.232672000000001</v>
      </c>
      <c r="W59" s="175">
        <v>27.171799</v>
      </c>
      <c r="X59" s="175">
        <v>27.104918000000001</v>
      </c>
      <c r="Y59" s="175">
        <v>27.072628000000002</v>
      </c>
      <c r="Z59" s="175">
        <v>27.025742000000001</v>
      </c>
      <c r="AA59" s="175">
        <v>26.999421999999999</v>
      </c>
      <c r="AB59" s="175">
        <v>26.969100999999998</v>
      </c>
      <c r="AC59" s="175">
        <v>26.995097999999999</v>
      </c>
      <c r="AD59" s="175">
        <v>26.992891</v>
      </c>
      <c r="AE59" s="175">
        <v>27.013369000000001</v>
      </c>
      <c r="AF59" s="175">
        <v>27.068242999999999</v>
      </c>
      <c r="AG59" s="176">
        <v>-3.0000000000000001E-3</v>
      </c>
    </row>
    <row r="60" spans="1:33">
      <c r="A60" s="175" t="s">
        <v>2923</v>
      </c>
    </row>
    <row r="61" spans="1:33">
      <c r="A61" s="175" t="s">
        <v>333</v>
      </c>
      <c r="B61" s="175" t="s">
        <v>2890</v>
      </c>
      <c r="C61" s="175" t="s">
        <v>2924</v>
      </c>
      <c r="D61" s="175" t="s">
        <v>2925</v>
      </c>
      <c r="F61" s="175">
        <v>8.2808890000000002</v>
      </c>
      <c r="G61" s="175">
        <v>8.3093610000000009</v>
      </c>
      <c r="H61" s="175">
        <v>8.2775669999999995</v>
      </c>
      <c r="I61" s="175">
        <v>8.2064699999999995</v>
      </c>
      <c r="J61" s="175">
        <v>8.1172900000000006</v>
      </c>
      <c r="K61" s="175">
        <v>8.0142310000000005</v>
      </c>
      <c r="L61" s="175">
        <v>7.9001390000000002</v>
      </c>
      <c r="M61" s="175">
        <v>7.8022710000000002</v>
      </c>
      <c r="N61" s="175">
        <v>7.6924460000000003</v>
      </c>
      <c r="O61" s="175">
        <v>7.5924829999999996</v>
      </c>
      <c r="P61" s="175">
        <v>7.5060650000000004</v>
      </c>
      <c r="Q61" s="175">
        <v>7.4175789999999999</v>
      </c>
      <c r="R61" s="175">
        <v>7.3148879999999998</v>
      </c>
      <c r="S61" s="175">
        <v>7.216888</v>
      </c>
      <c r="T61" s="175">
        <v>7.1375099999999998</v>
      </c>
      <c r="U61" s="175">
        <v>7.060346</v>
      </c>
      <c r="V61" s="175">
        <v>6.996391</v>
      </c>
      <c r="W61" s="175">
        <v>6.9408979999999998</v>
      </c>
      <c r="X61" s="175">
        <v>6.876627</v>
      </c>
      <c r="Y61" s="175">
        <v>6.8351490000000004</v>
      </c>
      <c r="Z61" s="175">
        <v>6.7852079999999999</v>
      </c>
      <c r="AA61" s="175">
        <v>6.7480399999999996</v>
      </c>
      <c r="AB61" s="175">
        <v>6.705527</v>
      </c>
      <c r="AC61" s="175">
        <v>6.6790250000000002</v>
      </c>
      <c r="AD61" s="175">
        <v>6.6338410000000003</v>
      </c>
      <c r="AE61" s="175">
        <v>6.6075730000000004</v>
      </c>
      <c r="AF61" s="175">
        <v>6.6020709999999996</v>
      </c>
      <c r="AG61" s="176">
        <v>-8.9999999999999993E-3</v>
      </c>
    </row>
    <row r="62" spans="1:33">
      <c r="A62" s="175" t="s">
        <v>311</v>
      </c>
      <c r="B62" s="175" t="s">
        <v>2893</v>
      </c>
      <c r="C62" s="175" t="s">
        <v>2926</v>
      </c>
      <c r="D62" s="175" t="s">
        <v>2925</v>
      </c>
      <c r="F62" s="175">
        <v>0.45701599999999998</v>
      </c>
      <c r="G62" s="175">
        <v>0.44781300000000002</v>
      </c>
      <c r="H62" s="175">
        <v>0.44001899999999999</v>
      </c>
      <c r="I62" s="175">
        <v>0.43496899999999999</v>
      </c>
      <c r="J62" s="175">
        <v>0.42930299999999999</v>
      </c>
      <c r="K62" s="175">
        <v>0.42444999999999999</v>
      </c>
      <c r="L62" s="175">
        <v>0.42006100000000002</v>
      </c>
      <c r="M62" s="175">
        <v>0.415188</v>
      </c>
      <c r="N62" s="175">
        <v>0.41015800000000002</v>
      </c>
      <c r="O62" s="175">
        <v>0.40529700000000002</v>
      </c>
      <c r="P62" s="175">
        <v>0.40024300000000002</v>
      </c>
      <c r="Q62" s="175">
        <v>0.39499000000000001</v>
      </c>
      <c r="R62" s="175">
        <v>0.389598</v>
      </c>
      <c r="S62" s="175">
        <v>0.38410699999999998</v>
      </c>
      <c r="T62" s="175">
        <v>0.37855699999999998</v>
      </c>
      <c r="U62" s="175">
        <v>0.37307699999999999</v>
      </c>
      <c r="V62" s="175">
        <v>0.36791600000000002</v>
      </c>
      <c r="W62" s="175">
        <v>0.36227700000000002</v>
      </c>
      <c r="X62" s="175">
        <v>0.35687000000000002</v>
      </c>
      <c r="Y62" s="175">
        <v>0.35124300000000003</v>
      </c>
      <c r="Z62" s="175">
        <v>0.34584900000000002</v>
      </c>
      <c r="AA62" s="175">
        <v>0.34045500000000001</v>
      </c>
      <c r="AB62" s="175">
        <v>0.33516899999999999</v>
      </c>
      <c r="AC62" s="175">
        <v>0.329957</v>
      </c>
      <c r="AD62" s="175">
        <v>0.32472099999999998</v>
      </c>
      <c r="AE62" s="175">
        <v>0.319494</v>
      </c>
      <c r="AF62" s="175">
        <v>0.31426399999999999</v>
      </c>
      <c r="AG62" s="176">
        <v>-1.4E-2</v>
      </c>
    </row>
    <row r="63" spans="1:33">
      <c r="A63" s="175" t="s">
        <v>279</v>
      </c>
      <c r="B63" s="175" t="s">
        <v>2895</v>
      </c>
      <c r="C63" s="175" t="s">
        <v>2927</v>
      </c>
      <c r="D63" s="175" t="s">
        <v>2925</v>
      </c>
      <c r="F63" s="175">
        <v>0.103228</v>
      </c>
      <c r="G63" s="175">
        <v>0.10592600000000001</v>
      </c>
      <c r="H63" s="175">
        <v>0.107151</v>
      </c>
      <c r="I63" s="175">
        <v>0.107583</v>
      </c>
      <c r="J63" s="175">
        <v>0.10771799999999999</v>
      </c>
      <c r="K63" s="175">
        <v>0.10764799999999999</v>
      </c>
      <c r="L63" s="175">
        <v>0.107517</v>
      </c>
      <c r="M63" s="175">
        <v>0.10698199999999999</v>
      </c>
      <c r="N63" s="175">
        <v>0.106228</v>
      </c>
      <c r="O63" s="175">
        <v>0.105447</v>
      </c>
      <c r="P63" s="175">
        <v>0.104835</v>
      </c>
      <c r="Q63" s="175">
        <v>0.104076</v>
      </c>
      <c r="R63" s="175">
        <v>0.103287</v>
      </c>
      <c r="S63" s="175">
        <v>0.102533</v>
      </c>
      <c r="T63" s="175">
        <v>0.101759</v>
      </c>
      <c r="U63" s="175">
        <v>0.10094400000000001</v>
      </c>
      <c r="V63" s="175">
        <v>0.10005500000000001</v>
      </c>
      <c r="W63" s="175">
        <v>9.9111000000000005E-2</v>
      </c>
      <c r="X63" s="175">
        <v>9.8109000000000002E-2</v>
      </c>
      <c r="Y63" s="175">
        <v>9.7108E-2</v>
      </c>
      <c r="Z63" s="175">
        <v>9.6051999999999998E-2</v>
      </c>
      <c r="AA63" s="175">
        <v>9.5036999999999996E-2</v>
      </c>
      <c r="AB63" s="175">
        <v>9.3949000000000005E-2</v>
      </c>
      <c r="AC63" s="175">
        <v>9.2840000000000006E-2</v>
      </c>
      <c r="AD63" s="175">
        <v>9.1764999999999999E-2</v>
      </c>
      <c r="AE63" s="175">
        <v>9.0727000000000002E-2</v>
      </c>
      <c r="AF63" s="175">
        <v>8.9831999999999995E-2</v>
      </c>
      <c r="AG63" s="176">
        <v>-5.0000000000000001E-3</v>
      </c>
    </row>
    <row r="64" spans="1:33">
      <c r="A64" s="175" t="s">
        <v>312</v>
      </c>
      <c r="B64" s="175" t="s">
        <v>2897</v>
      </c>
      <c r="C64" s="175" t="s">
        <v>2928</v>
      </c>
      <c r="D64" s="175" t="s">
        <v>2925</v>
      </c>
      <c r="F64" s="175">
        <v>2.8939409999999999</v>
      </c>
      <c r="G64" s="175">
        <v>2.9200170000000001</v>
      </c>
      <c r="H64" s="175">
        <v>2.9221780000000002</v>
      </c>
      <c r="I64" s="175">
        <v>2.9175800000000001</v>
      </c>
      <c r="J64" s="175">
        <v>2.9023850000000002</v>
      </c>
      <c r="K64" s="175">
        <v>2.8892139999999999</v>
      </c>
      <c r="L64" s="175">
        <v>2.8769239999999998</v>
      </c>
      <c r="M64" s="175">
        <v>2.8609070000000001</v>
      </c>
      <c r="N64" s="175">
        <v>2.8461609999999999</v>
      </c>
      <c r="O64" s="175">
        <v>2.8299210000000001</v>
      </c>
      <c r="P64" s="175">
        <v>2.817726</v>
      </c>
      <c r="Q64" s="175">
        <v>2.8072620000000001</v>
      </c>
      <c r="R64" s="175">
        <v>2.8023570000000002</v>
      </c>
      <c r="S64" s="175">
        <v>2.8011180000000002</v>
      </c>
      <c r="T64" s="175">
        <v>2.8012329999999999</v>
      </c>
      <c r="U64" s="175">
        <v>2.7997049999999999</v>
      </c>
      <c r="V64" s="175">
        <v>2.800392</v>
      </c>
      <c r="W64" s="175">
        <v>2.8007070000000001</v>
      </c>
      <c r="X64" s="175">
        <v>2.80227</v>
      </c>
      <c r="Y64" s="175">
        <v>2.802311</v>
      </c>
      <c r="Z64" s="175">
        <v>2.8020360000000002</v>
      </c>
      <c r="AA64" s="175">
        <v>2.8042590000000001</v>
      </c>
      <c r="AB64" s="175">
        <v>2.805666</v>
      </c>
      <c r="AC64" s="175">
        <v>2.8171620000000002</v>
      </c>
      <c r="AD64" s="175">
        <v>2.8287710000000001</v>
      </c>
      <c r="AE64" s="175">
        <v>2.8385180000000001</v>
      </c>
      <c r="AF64" s="175">
        <v>2.8448889999999998</v>
      </c>
      <c r="AG64" s="176">
        <v>-1E-3</v>
      </c>
    </row>
    <row r="65" spans="1:33">
      <c r="A65" s="175" t="s">
        <v>180</v>
      </c>
      <c r="B65" s="175" t="s">
        <v>2899</v>
      </c>
      <c r="C65" s="175" t="s">
        <v>2929</v>
      </c>
      <c r="D65" s="175" t="s">
        <v>2925</v>
      </c>
      <c r="F65" s="175">
        <v>2.0774999999999998E-2</v>
      </c>
      <c r="G65" s="175">
        <v>2.2003999999999999E-2</v>
      </c>
      <c r="H65" s="175">
        <v>2.2683999999999999E-2</v>
      </c>
      <c r="I65" s="175">
        <v>2.3053000000000001E-2</v>
      </c>
      <c r="J65" s="175">
        <v>2.3300000000000001E-2</v>
      </c>
      <c r="K65" s="175">
        <v>2.3556000000000001E-2</v>
      </c>
      <c r="L65" s="175">
        <v>2.3848999999999999E-2</v>
      </c>
      <c r="M65" s="175">
        <v>2.4063999999999999E-2</v>
      </c>
      <c r="N65" s="175">
        <v>2.4254000000000001E-2</v>
      </c>
      <c r="O65" s="175">
        <v>2.4410000000000001E-2</v>
      </c>
      <c r="P65" s="175">
        <v>2.4542999999999999E-2</v>
      </c>
      <c r="Q65" s="175">
        <v>2.4743000000000001E-2</v>
      </c>
      <c r="R65" s="175">
        <v>2.4997999999999999E-2</v>
      </c>
      <c r="S65" s="175">
        <v>2.5257999999999999E-2</v>
      </c>
      <c r="T65" s="175">
        <v>2.5526E-2</v>
      </c>
      <c r="U65" s="175">
        <v>2.5769E-2</v>
      </c>
      <c r="V65" s="175">
        <v>2.5992000000000001E-2</v>
      </c>
      <c r="W65" s="175">
        <v>2.6190999999999999E-2</v>
      </c>
      <c r="X65" s="175">
        <v>2.6377999999999999E-2</v>
      </c>
      <c r="Y65" s="175">
        <v>2.6564000000000001E-2</v>
      </c>
      <c r="Z65" s="175">
        <v>2.6717999999999999E-2</v>
      </c>
      <c r="AA65" s="175">
        <v>2.6884000000000002E-2</v>
      </c>
      <c r="AB65" s="175">
        <v>2.7015999999999998E-2</v>
      </c>
      <c r="AC65" s="175">
        <v>2.7163E-2</v>
      </c>
      <c r="AD65" s="175">
        <v>2.7338999999999999E-2</v>
      </c>
      <c r="AE65" s="175">
        <v>2.7515000000000001E-2</v>
      </c>
      <c r="AF65" s="175">
        <v>2.7746E-2</v>
      </c>
      <c r="AG65" s="176">
        <v>1.0999999999999999E-2</v>
      </c>
    </row>
    <row r="66" spans="1:33">
      <c r="A66" s="175" t="s">
        <v>180</v>
      </c>
      <c r="B66" s="175" t="s">
        <v>2901</v>
      </c>
      <c r="C66" s="175" t="s">
        <v>2930</v>
      </c>
      <c r="D66" s="175" t="s">
        <v>2925</v>
      </c>
      <c r="F66" s="175">
        <v>0.205982</v>
      </c>
      <c r="G66" s="175">
        <v>0.21049599999999999</v>
      </c>
      <c r="H66" s="175">
        <v>0.205175</v>
      </c>
      <c r="I66" s="175">
        <v>0.19812299999999999</v>
      </c>
      <c r="J66" s="175">
        <v>0.19797799999999999</v>
      </c>
      <c r="K66" s="175">
        <v>0.197273</v>
      </c>
      <c r="L66" s="175">
        <v>0.19136500000000001</v>
      </c>
      <c r="M66" s="175">
        <v>0.191222</v>
      </c>
      <c r="N66" s="175">
        <v>0.18204500000000001</v>
      </c>
      <c r="O66" s="175">
        <v>0.18274399999999999</v>
      </c>
      <c r="P66" s="175">
        <v>0.180835</v>
      </c>
      <c r="Q66" s="175">
        <v>0.18072099999999999</v>
      </c>
      <c r="R66" s="175">
        <v>0.18127199999999999</v>
      </c>
      <c r="S66" s="175">
        <v>0.182005</v>
      </c>
      <c r="T66" s="175">
        <v>0.18429200000000001</v>
      </c>
      <c r="U66" s="175">
        <v>0.182949</v>
      </c>
      <c r="V66" s="175">
        <v>0.18363699999999999</v>
      </c>
      <c r="W66" s="175">
        <v>0.18371299999999999</v>
      </c>
      <c r="X66" s="175">
        <v>0.18449199999999999</v>
      </c>
      <c r="Y66" s="175">
        <v>0.18537999999999999</v>
      </c>
      <c r="Z66" s="175">
        <v>0.18581500000000001</v>
      </c>
      <c r="AA66" s="175">
        <v>0.186277</v>
      </c>
      <c r="AB66" s="175">
        <v>0.18623899999999999</v>
      </c>
      <c r="AC66" s="175">
        <v>0.188059</v>
      </c>
      <c r="AD66" s="175">
        <v>0.189528</v>
      </c>
      <c r="AE66" s="175">
        <v>0.19072</v>
      </c>
      <c r="AF66" s="175">
        <v>0.191137</v>
      </c>
      <c r="AG66" s="176">
        <v>-3.0000000000000001E-3</v>
      </c>
    </row>
    <row r="67" spans="1:33">
      <c r="A67" s="175" t="s">
        <v>2903</v>
      </c>
      <c r="B67" s="175" t="s">
        <v>2904</v>
      </c>
      <c r="C67" s="175" t="s">
        <v>2931</v>
      </c>
      <c r="D67" s="175" t="s">
        <v>2925</v>
      </c>
      <c r="F67" s="175">
        <v>4.4743999999999999E-2</v>
      </c>
      <c r="G67" s="175">
        <v>4.5169000000000001E-2</v>
      </c>
      <c r="H67" s="175">
        <v>4.4804999999999998E-2</v>
      </c>
      <c r="I67" s="175">
        <v>4.4438999999999999E-2</v>
      </c>
      <c r="J67" s="175">
        <v>4.4117000000000003E-2</v>
      </c>
      <c r="K67" s="175">
        <v>4.3755000000000002E-2</v>
      </c>
      <c r="L67" s="175">
        <v>4.3351000000000001E-2</v>
      </c>
      <c r="M67" s="175">
        <v>4.2908000000000002E-2</v>
      </c>
      <c r="N67" s="175">
        <v>4.2397999999999998E-2</v>
      </c>
      <c r="O67" s="175">
        <v>4.2042000000000003E-2</v>
      </c>
      <c r="P67" s="175">
        <v>4.1724999999999998E-2</v>
      </c>
      <c r="Q67" s="175">
        <v>4.1388000000000001E-2</v>
      </c>
      <c r="R67" s="175">
        <v>4.104E-2</v>
      </c>
      <c r="S67" s="175">
        <v>4.0740999999999999E-2</v>
      </c>
      <c r="T67" s="175">
        <v>4.0457E-2</v>
      </c>
      <c r="U67" s="175">
        <v>4.0143999999999999E-2</v>
      </c>
      <c r="V67" s="175">
        <v>3.9878999999999998E-2</v>
      </c>
      <c r="W67" s="175">
        <v>3.9607999999999997E-2</v>
      </c>
      <c r="X67" s="175">
        <v>3.9338999999999999E-2</v>
      </c>
      <c r="Y67" s="175">
        <v>3.9045999999999997E-2</v>
      </c>
      <c r="Z67" s="175">
        <v>3.8725999999999997E-2</v>
      </c>
      <c r="AA67" s="175">
        <v>3.8419000000000002E-2</v>
      </c>
      <c r="AB67" s="175">
        <v>3.8109999999999998E-2</v>
      </c>
      <c r="AC67" s="175">
        <v>3.7907999999999997E-2</v>
      </c>
      <c r="AD67" s="175">
        <v>3.7658999999999998E-2</v>
      </c>
      <c r="AE67" s="175">
        <v>3.7391000000000001E-2</v>
      </c>
      <c r="AF67" s="175">
        <v>3.7111999999999999E-2</v>
      </c>
      <c r="AG67" s="176">
        <v>-7.0000000000000001E-3</v>
      </c>
    </row>
    <row r="68" spans="1:33">
      <c r="A68" s="175" t="s">
        <v>2903</v>
      </c>
      <c r="B68" s="175" t="s">
        <v>2906</v>
      </c>
      <c r="C68" s="175" t="s">
        <v>2932</v>
      </c>
      <c r="D68" s="175" t="s">
        <v>2925</v>
      </c>
      <c r="F68" s="175">
        <v>0.33552599999999999</v>
      </c>
      <c r="G68" s="175">
        <v>0.32803199999999999</v>
      </c>
      <c r="H68" s="175">
        <v>0.33212399999999997</v>
      </c>
      <c r="I68" s="175">
        <v>0.338171</v>
      </c>
      <c r="J68" s="175">
        <v>0.34316999999999998</v>
      </c>
      <c r="K68" s="175">
        <v>0.348464</v>
      </c>
      <c r="L68" s="175">
        <v>0.35370600000000002</v>
      </c>
      <c r="M68" s="175">
        <v>0.35850500000000002</v>
      </c>
      <c r="N68" s="175">
        <v>0.36379800000000001</v>
      </c>
      <c r="O68" s="175">
        <v>0.36891600000000002</v>
      </c>
      <c r="P68" s="175">
        <v>0.37424099999999999</v>
      </c>
      <c r="Q68" s="175">
        <v>0.37837799999999999</v>
      </c>
      <c r="R68" s="175">
        <v>0.381832</v>
      </c>
      <c r="S68" s="175">
        <v>0.38513900000000001</v>
      </c>
      <c r="T68" s="175">
        <v>0.38807799999999998</v>
      </c>
      <c r="U68" s="175">
        <v>0.39102700000000001</v>
      </c>
      <c r="V68" s="175">
        <v>0.39366099999999998</v>
      </c>
      <c r="W68" s="175">
        <v>0.39625199999999999</v>
      </c>
      <c r="X68" s="175">
        <v>0.398897</v>
      </c>
      <c r="Y68" s="175">
        <v>0.40148099999999998</v>
      </c>
      <c r="Z68" s="175">
        <v>0.40397100000000002</v>
      </c>
      <c r="AA68" s="175">
        <v>0.40631</v>
      </c>
      <c r="AB68" s="175">
        <v>0.40826099999999999</v>
      </c>
      <c r="AC68" s="175">
        <v>0.41094900000000001</v>
      </c>
      <c r="AD68" s="175">
        <v>0.41413299999999997</v>
      </c>
      <c r="AE68" s="175">
        <v>0.41722100000000001</v>
      </c>
      <c r="AF68" s="175">
        <v>0.42011900000000002</v>
      </c>
      <c r="AG68" s="176">
        <v>8.9999999999999993E-3</v>
      </c>
    </row>
    <row r="69" spans="1:33">
      <c r="A69" s="175" t="s">
        <v>281</v>
      </c>
      <c r="B69" s="175" t="s">
        <v>2908</v>
      </c>
      <c r="C69" s="175" t="s">
        <v>2933</v>
      </c>
      <c r="D69" s="175" t="s">
        <v>2925</v>
      </c>
      <c r="F69" s="175">
        <v>0.11264399999999999</v>
      </c>
      <c r="G69" s="175">
        <v>0.11182300000000001</v>
      </c>
      <c r="H69" s="175">
        <v>0.111419</v>
      </c>
      <c r="I69" s="175">
        <v>0.111002</v>
      </c>
      <c r="J69" s="175">
        <v>0.110329</v>
      </c>
      <c r="K69" s="175">
        <v>0.109779</v>
      </c>
      <c r="L69" s="175">
        <v>0.109081</v>
      </c>
      <c r="M69" s="175">
        <v>0.10818999999999999</v>
      </c>
      <c r="N69" s="175">
        <v>0.107484</v>
      </c>
      <c r="O69" s="175">
        <v>0.106848</v>
      </c>
      <c r="P69" s="175">
        <v>0.106194</v>
      </c>
      <c r="Q69" s="175">
        <v>0.105666</v>
      </c>
      <c r="R69" s="175">
        <v>0.105161</v>
      </c>
      <c r="S69" s="175">
        <v>0.104739</v>
      </c>
      <c r="T69" s="175">
        <v>0.10435</v>
      </c>
      <c r="U69" s="175">
        <v>0.103936</v>
      </c>
      <c r="V69" s="175">
        <v>0.103532</v>
      </c>
      <c r="W69" s="175">
        <v>0.10310999999999999</v>
      </c>
      <c r="X69" s="175">
        <v>0.102745</v>
      </c>
      <c r="Y69" s="175">
        <v>0.102349</v>
      </c>
      <c r="Z69" s="175">
        <v>0.10188</v>
      </c>
      <c r="AA69" s="175">
        <v>0.101381</v>
      </c>
      <c r="AB69" s="175">
        <v>0.100854</v>
      </c>
      <c r="AC69" s="175">
        <v>0.10047399999999999</v>
      </c>
      <c r="AD69" s="175">
        <v>0.10012699999999999</v>
      </c>
      <c r="AE69" s="175">
        <v>9.9725999999999995E-2</v>
      </c>
      <c r="AF69" s="175">
        <v>9.9308999999999995E-2</v>
      </c>
      <c r="AG69" s="176">
        <v>-5.0000000000000001E-3</v>
      </c>
    </row>
    <row r="70" spans="1:33">
      <c r="A70" s="175" t="s">
        <v>185</v>
      </c>
      <c r="B70" s="175" t="s">
        <v>2910</v>
      </c>
      <c r="C70" s="175" t="s">
        <v>2934</v>
      </c>
      <c r="D70" s="175" t="s">
        <v>2925</v>
      </c>
      <c r="F70" s="175">
        <v>1.5805739999999999</v>
      </c>
      <c r="G70" s="175">
        <v>1.577537</v>
      </c>
      <c r="H70" s="175">
        <v>1.5904469999999999</v>
      </c>
      <c r="I70" s="175">
        <v>1.607424</v>
      </c>
      <c r="J70" s="175">
        <v>1.6206590000000001</v>
      </c>
      <c r="K70" s="175">
        <v>1.636263</v>
      </c>
      <c r="L70" s="175">
        <v>1.649807</v>
      </c>
      <c r="M70" s="175">
        <v>1.659173</v>
      </c>
      <c r="N70" s="175">
        <v>1.6706049999999999</v>
      </c>
      <c r="O70" s="175">
        <v>1.6825429999999999</v>
      </c>
      <c r="P70" s="175">
        <v>1.6941139999999999</v>
      </c>
      <c r="Q70" s="175">
        <v>1.7089890000000001</v>
      </c>
      <c r="R70" s="175">
        <v>1.7251939999999999</v>
      </c>
      <c r="S70" s="175">
        <v>1.7443310000000001</v>
      </c>
      <c r="T70" s="175">
        <v>1.7648520000000001</v>
      </c>
      <c r="U70" s="175">
        <v>1.785884</v>
      </c>
      <c r="V70" s="175">
        <v>1.8065709999999999</v>
      </c>
      <c r="W70" s="175">
        <v>1.8261400000000001</v>
      </c>
      <c r="X70" s="175">
        <v>1.8480030000000001</v>
      </c>
      <c r="Y70" s="175">
        <v>1.8684400000000001</v>
      </c>
      <c r="Z70" s="175">
        <v>1.886417</v>
      </c>
      <c r="AA70" s="175">
        <v>1.9036839999999999</v>
      </c>
      <c r="AB70" s="175">
        <v>1.9197839999999999</v>
      </c>
      <c r="AC70" s="175">
        <v>1.9395519999999999</v>
      </c>
      <c r="AD70" s="175">
        <v>1.960815</v>
      </c>
      <c r="AE70" s="175">
        <v>1.9798480000000001</v>
      </c>
      <c r="AF70" s="175">
        <v>1.9986919999999999</v>
      </c>
      <c r="AG70" s="176">
        <v>8.9999999999999993E-3</v>
      </c>
    </row>
    <row r="71" spans="1:33">
      <c r="A71" s="175" t="s">
        <v>278</v>
      </c>
      <c r="B71" s="175" t="s">
        <v>2912</v>
      </c>
      <c r="C71" s="175" t="s">
        <v>2935</v>
      </c>
      <c r="D71" s="175" t="s">
        <v>2925</v>
      </c>
      <c r="F71" s="175">
        <v>0.21395900000000001</v>
      </c>
      <c r="G71" s="175">
        <v>0.216389</v>
      </c>
      <c r="H71" s="175">
        <v>0.217888</v>
      </c>
      <c r="I71" s="175">
        <v>0.218809</v>
      </c>
      <c r="J71" s="175">
        <v>0.21922900000000001</v>
      </c>
      <c r="K71" s="175">
        <v>0.21914800000000001</v>
      </c>
      <c r="L71" s="175">
        <v>0.21904499999999999</v>
      </c>
      <c r="M71" s="175">
        <v>0.21926699999999999</v>
      </c>
      <c r="N71" s="175">
        <v>0.219448</v>
      </c>
      <c r="O71" s="175">
        <v>0.219636</v>
      </c>
      <c r="P71" s="175">
        <v>0.21979199999999999</v>
      </c>
      <c r="Q71" s="175">
        <v>0.219913</v>
      </c>
      <c r="R71" s="175">
        <v>0.22012899999999999</v>
      </c>
      <c r="S71" s="175">
        <v>0.220413</v>
      </c>
      <c r="T71" s="175">
        <v>0.22068499999999999</v>
      </c>
      <c r="U71" s="175">
        <v>0.22095100000000001</v>
      </c>
      <c r="V71" s="175">
        <v>0.22120999999999999</v>
      </c>
      <c r="W71" s="175">
        <v>0.22146099999999999</v>
      </c>
      <c r="X71" s="175">
        <v>0.22170899999999999</v>
      </c>
      <c r="Y71" s="175">
        <v>0.22195400000000001</v>
      </c>
      <c r="Z71" s="175">
        <v>0.22219700000000001</v>
      </c>
      <c r="AA71" s="175">
        <v>0.22243599999999999</v>
      </c>
      <c r="AB71" s="175">
        <v>0.22267600000000001</v>
      </c>
      <c r="AC71" s="175">
        <v>0.222916</v>
      </c>
      <c r="AD71" s="175">
        <v>0.22315299999999999</v>
      </c>
      <c r="AE71" s="175">
        <v>0.22339100000000001</v>
      </c>
      <c r="AF71" s="175">
        <v>0.22363</v>
      </c>
      <c r="AG71" s="176">
        <v>2E-3</v>
      </c>
    </row>
    <row r="72" spans="1:33">
      <c r="A72" s="175" t="s">
        <v>282</v>
      </c>
      <c r="B72" s="175" t="s">
        <v>2914</v>
      </c>
      <c r="C72" s="175" t="s">
        <v>2936</v>
      </c>
      <c r="D72" s="175" t="s">
        <v>2925</v>
      </c>
      <c r="F72" s="175">
        <v>6.3423999999999994E-2</v>
      </c>
      <c r="G72" s="175">
        <v>6.3611000000000001E-2</v>
      </c>
      <c r="H72" s="175">
        <v>6.3912999999999998E-2</v>
      </c>
      <c r="I72" s="175">
        <v>6.4130999999999994E-2</v>
      </c>
      <c r="J72" s="175">
        <v>6.4227999999999993E-2</v>
      </c>
      <c r="K72" s="175">
        <v>6.4282000000000006E-2</v>
      </c>
      <c r="L72" s="175">
        <v>6.4302999999999999E-2</v>
      </c>
      <c r="M72" s="175">
        <v>6.4268000000000006E-2</v>
      </c>
      <c r="N72" s="175">
        <v>6.4222000000000001E-2</v>
      </c>
      <c r="O72" s="175">
        <v>6.4199000000000006E-2</v>
      </c>
      <c r="P72" s="175">
        <v>6.4190999999999998E-2</v>
      </c>
      <c r="Q72" s="175">
        <v>6.4176999999999998E-2</v>
      </c>
      <c r="R72" s="175">
        <v>6.4157000000000006E-2</v>
      </c>
      <c r="S72" s="175">
        <v>6.4135999999999999E-2</v>
      </c>
      <c r="T72" s="175">
        <v>6.4127000000000003E-2</v>
      </c>
      <c r="U72" s="175">
        <v>6.4130000000000006E-2</v>
      </c>
      <c r="V72" s="175">
        <v>6.4131999999999995E-2</v>
      </c>
      <c r="W72" s="175">
        <v>6.4120999999999997E-2</v>
      </c>
      <c r="X72" s="175">
        <v>6.4100000000000004E-2</v>
      </c>
      <c r="Y72" s="175">
        <v>6.4069000000000001E-2</v>
      </c>
      <c r="Z72" s="175">
        <v>6.4036999999999997E-2</v>
      </c>
      <c r="AA72" s="175">
        <v>6.4005999999999993E-2</v>
      </c>
      <c r="AB72" s="175">
        <v>6.3966999999999996E-2</v>
      </c>
      <c r="AC72" s="175">
        <v>6.3922000000000007E-2</v>
      </c>
      <c r="AD72" s="175">
        <v>6.3862000000000002E-2</v>
      </c>
      <c r="AE72" s="175">
        <v>6.3796000000000005E-2</v>
      </c>
      <c r="AF72" s="175">
        <v>6.3730999999999996E-2</v>
      </c>
      <c r="AG72" s="176">
        <v>0</v>
      </c>
    </row>
    <row r="73" spans="1:33">
      <c r="A73" s="175" t="s">
        <v>2916</v>
      </c>
      <c r="B73" s="175" t="s">
        <v>2917</v>
      </c>
      <c r="C73" s="175" t="s">
        <v>2937</v>
      </c>
      <c r="D73" s="175" t="s">
        <v>2925</v>
      </c>
      <c r="F73" s="175">
        <v>0.43654100000000001</v>
      </c>
      <c r="G73" s="175">
        <v>0.41105799999999998</v>
      </c>
      <c r="H73" s="175">
        <v>0.40792200000000001</v>
      </c>
      <c r="I73" s="175">
        <v>0.39471400000000001</v>
      </c>
      <c r="J73" s="175">
        <v>0.37390899999999999</v>
      </c>
      <c r="K73" s="175">
        <v>0.35795500000000002</v>
      </c>
      <c r="L73" s="175">
        <v>0.33680300000000002</v>
      </c>
      <c r="M73" s="175">
        <v>0.33223999999999998</v>
      </c>
      <c r="N73" s="175">
        <v>0.33826000000000001</v>
      </c>
      <c r="O73" s="175">
        <v>0.33500099999999999</v>
      </c>
      <c r="P73" s="175">
        <v>0.33142300000000002</v>
      </c>
      <c r="Q73" s="175">
        <v>0.331594</v>
      </c>
      <c r="R73" s="175">
        <v>0.33399600000000002</v>
      </c>
      <c r="S73" s="175">
        <v>0.33845599999999998</v>
      </c>
      <c r="T73" s="175">
        <v>0.34316600000000003</v>
      </c>
      <c r="U73" s="175">
        <v>0.34842200000000001</v>
      </c>
      <c r="V73" s="175">
        <v>0.352493</v>
      </c>
      <c r="W73" s="175">
        <v>0.35537600000000003</v>
      </c>
      <c r="X73" s="175">
        <v>0.35756100000000002</v>
      </c>
      <c r="Y73" s="175">
        <v>0.36143199999999998</v>
      </c>
      <c r="Z73" s="175">
        <v>0.36601800000000001</v>
      </c>
      <c r="AA73" s="175">
        <v>0.36930099999999999</v>
      </c>
      <c r="AB73" s="175">
        <v>0.37456</v>
      </c>
      <c r="AC73" s="175">
        <v>0.37845299999999998</v>
      </c>
      <c r="AD73" s="175">
        <v>0.38275500000000001</v>
      </c>
      <c r="AE73" s="175">
        <v>0.38726300000000002</v>
      </c>
      <c r="AF73" s="175">
        <v>0.39282</v>
      </c>
      <c r="AG73" s="176">
        <v>-4.0000000000000001E-3</v>
      </c>
    </row>
    <row r="74" spans="1:33">
      <c r="A74" s="175" t="s">
        <v>1143</v>
      </c>
      <c r="B74" s="175" t="s">
        <v>2919</v>
      </c>
      <c r="C74" s="175" t="s">
        <v>2938</v>
      </c>
      <c r="D74" s="175" t="s">
        <v>2925</v>
      </c>
      <c r="F74" s="175">
        <v>0.17382600000000001</v>
      </c>
      <c r="G74" s="175">
        <v>0.19858799999999999</v>
      </c>
      <c r="H74" s="175">
        <v>0.211475</v>
      </c>
      <c r="I74" s="175">
        <v>0.21185300000000001</v>
      </c>
      <c r="J74" s="175">
        <v>0.25271500000000002</v>
      </c>
      <c r="K74" s="175">
        <v>0.28133599999999997</v>
      </c>
      <c r="L74" s="175">
        <v>0.31108999999999998</v>
      </c>
      <c r="M74" s="175">
        <v>0.33102900000000002</v>
      </c>
      <c r="N74" s="175">
        <v>0.36349500000000001</v>
      </c>
      <c r="O74" s="175">
        <v>0.394451</v>
      </c>
      <c r="P74" s="175">
        <v>0.414271</v>
      </c>
      <c r="Q74" s="175">
        <v>0.42219899999999999</v>
      </c>
      <c r="R74" s="175">
        <v>0.43088100000000001</v>
      </c>
      <c r="S74" s="175">
        <v>0.438054</v>
      </c>
      <c r="T74" s="175">
        <v>0.44201800000000002</v>
      </c>
      <c r="U74" s="175">
        <v>0.44201800000000002</v>
      </c>
      <c r="V74" s="175">
        <v>0.44277300000000003</v>
      </c>
      <c r="W74" s="175">
        <v>0.44201800000000002</v>
      </c>
      <c r="X74" s="175">
        <v>0.44201299999999999</v>
      </c>
      <c r="Y74" s="175">
        <v>0.43965700000000002</v>
      </c>
      <c r="Z74" s="175">
        <v>0.440326</v>
      </c>
      <c r="AA74" s="175">
        <v>0.43907800000000002</v>
      </c>
      <c r="AB74" s="175">
        <v>0.44151499999999999</v>
      </c>
      <c r="AC74" s="175">
        <v>0.44166100000000003</v>
      </c>
      <c r="AD74" s="175">
        <v>0.442245</v>
      </c>
      <c r="AE74" s="175">
        <v>0.441251</v>
      </c>
      <c r="AF74" s="175">
        <v>0.44167099999999998</v>
      </c>
      <c r="AG74" s="176">
        <v>3.6999999999999998E-2</v>
      </c>
    </row>
    <row r="75" spans="1:33">
      <c r="A75" s="175" t="s">
        <v>193</v>
      </c>
      <c r="B75" s="175" t="s">
        <v>2921</v>
      </c>
      <c r="C75" s="175" t="s">
        <v>2939</v>
      </c>
      <c r="D75" s="175" t="s">
        <v>2925</v>
      </c>
      <c r="F75" s="175">
        <v>14.923069</v>
      </c>
      <c r="G75" s="175">
        <v>14.967827</v>
      </c>
      <c r="H75" s="175">
        <v>14.954769000000001</v>
      </c>
      <c r="I75" s="175">
        <v>14.878322000000001</v>
      </c>
      <c r="J75" s="175">
        <v>14.806329</v>
      </c>
      <c r="K75" s="175">
        <v>14.717354</v>
      </c>
      <c r="L75" s="175">
        <v>14.60704</v>
      </c>
      <c r="M75" s="175">
        <v>14.516214</v>
      </c>
      <c r="N75" s="175">
        <v>14.431001</v>
      </c>
      <c r="O75" s="175">
        <v>14.353937999999999</v>
      </c>
      <c r="P75" s="175">
        <v>14.280196999999999</v>
      </c>
      <c r="Q75" s="175">
        <v>14.201674000000001</v>
      </c>
      <c r="R75" s="175">
        <v>14.118790000000001</v>
      </c>
      <c r="S75" s="175">
        <v>14.047919</v>
      </c>
      <c r="T75" s="175">
        <v>13.996613</v>
      </c>
      <c r="U75" s="175">
        <v>13.939302</v>
      </c>
      <c r="V75" s="175">
        <v>13.898635000000001</v>
      </c>
      <c r="W75" s="175">
        <v>13.860984999999999</v>
      </c>
      <c r="X75" s="175">
        <v>13.819115</v>
      </c>
      <c r="Y75" s="175">
        <v>13.79618</v>
      </c>
      <c r="Z75" s="175">
        <v>13.765250999999999</v>
      </c>
      <c r="AA75" s="175">
        <v>13.745568</v>
      </c>
      <c r="AB75" s="175">
        <v>13.723292000000001</v>
      </c>
      <c r="AC75" s="175">
        <v>13.730040000000001</v>
      </c>
      <c r="AD75" s="175">
        <v>13.720713</v>
      </c>
      <c r="AE75" s="175">
        <v>13.724432999999999</v>
      </c>
      <c r="AF75" s="175">
        <v>13.747025000000001</v>
      </c>
      <c r="AG75" s="176">
        <v>-3.0000000000000001E-3</v>
      </c>
    </row>
    <row r="76" spans="1:33">
      <c r="A76" s="175" t="s">
        <v>2940</v>
      </c>
    </row>
    <row r="77" spans="1:33">
      <c r="A77" s="175" t="s">
        <v>333</v>
      </c>
    </row>
    <row r="78" spans="1:33">
      <c r="A78" s="175" t="s">
        <v>2941</v>
      </c>
      <c r="B78" s="175" t="s">
        <v>2942</v>
      </c>
      <c r="C78" s="175" t="s">
        <v>2943</v>
      </c>
      <c r="D78" s="175" t="s">
        <v>2944</v>
      </c>
      <c r="F78" s="175">
        <v>196.04522700000001</v>
      </c>
      <c r="G78" s="175">
        <v>171.409897</v>
      </c>
      <c r="H78" s="175">
        <v>162.355515</v>
      </c>
      <c r="I78" s="175">
        <v>154.321045</v>
      </c>
      <c r="J78" s="175">
        <v>148.64556899999999</v>
      </c>
      <c r="K78" s="175">
        <v>144.482483</v>
      </c>
      <c r="L78" s="175">
        <v>141.272278</v>
      </c>
      <c r="M78" s="175">
        <v>138.77520799999999</v>
      </c>
      <c r="N78" s="175">
        <v>136.615768</v>
      </c>
      <c r="O78" s="175">
        <v>134.627396</v>
      </c>
      <c r="P78" s="175">
        <v>133.028458</v>
      </c>
      <c r="Q78" s="175">
        <v>131.523697</v>
      </c>
      <c r="R78" s="175">
        <v>130.10266100000001</v>
      </c>
      <c r="S78" s="175">
        <v>128.795334</v>
      </c>
      <c r="T78" s="175">
        <v>127.58626599999999</v>
      </c>
      <c r="U78" s="175">
        <v>126.458855</v>
      </c>
      <c r="V78" s="175">
        <v>125.39215900000001</v>
      </c>
      <c r="W78" s="175">
        <v>124.39598100000001</v>
      </c>
      <c r="X78" s="175">
        <v>123.470978</v>
      </c>
      <c r="Y78" s="175">
        <v>122.61042</v>
      </c>
      <c r="Z78" s="175">
        <v>121.805725</v>
      </c>
      <c r="AA78" s="175">
        <v>121.053917</v>
      </c>
      <c r="AB78" s="175">
        <v>120.34687</v>
      </c>
      <c r="AC78" s="175">
        <v>119.68440200000001</v>
      </c>
      <c r="AD78" s="175">
        <v>119.062546</v>
      </c>
      <c r="AE78" s="175">
        <v>118.478157</v>
      </c>
      <c r="AF78" s="175">
        <v>117.926872</v>
      </c>
      <c r="AG78" s="176">
        <v>-1.9E-2</v>
      </c>
    </row>
    <row r="79" spans="1:33">
      <c r="A79" s="175" t="s">
        <v>2945</v>
      </c>
      <c r="B79" s="175" t="s">
        <v>2946</v>
      </c>
      <c r="C79" s="175" t="s">
        <v>2943</v>
      </c>
      <c r="D79" s="175" t="s">
        <v>2944</v>
      </c>
      <c r="F79" s="175">
        <v>570.03552200000001</v>
      </c>
      <c r="G79" s="175">
        <v>489.47833300000002</v>
      </c>
      <c r="H79" s="175">
        <v>459.87057499999997</v>
      </c>
      <c r="I79" s="175">
        <v>433.59802200000001</v>
      </c>
      <c r="J79" s="175">
        <v>415.03927599999997</v>
      </c>
      <c r="K79" s="175">
        <v>401.425995</v>
      </c>
      <c r="L79" s="175">
        <v>390.92867999999999</v>
      </c>
      <c r="M79" s="175">
        <v>382.763306</v>
      </c>
      <c r="N79" s="175">
        <v>375.70193499999999</v>
      </c>
      <c r="O79" s="175">
        <v>369.19998199999998</v>
      </c>
      <c r="P79" s="175">
        <v>363.971497</v>
      </c>
      <c r="Q79" s="175">
        <v>359.05090300000001</v>
      </c>
      <c r="R79" s="175">
        <v>354.40417500000001</v>
      </c>
      <c r="S79" s="175">
        <v>350.12924199999998</v>
      </c>
      <c r="T79" s="175">
        <v>346.17562900000001</v>
      </c>
      <c r="U79" s="175">
        <v>342.48895299999998</v>
      </c>
      <c r="V79" s="175">
        <v>339.00088499999998</v>
      </c>
      <c r="W79" s="175">
        <v>335.74340799999999</v>
      </c>
      <c r="X79" s="175">
        <v>332.718658</v>
      </c>
      <c r="Y79" s="175">
        <v>329.90460200000001</v>
      </c>
      <c r="Z79" s="175">
        <v>327.27328499999999</v>
      </c>
      <c r="AA79" s="175">
        <v>324.81484999999998</v>
      </c>
      <c r="AB79" s="175">
        <v>322.502838</v>
      </c>
      <c r="AC79" s="175">
        <v>320.33651700000001</v>
      </c>
      <c r="AD79" s="175">
        <v>318.30306999999999</v>
      </c>
      <c r="AE79" s="175">
        <v>316.39218099999999</v>
      </c>
      <c r="AF79" s="175">
        <v>314.58950800000002</v>
      </c>
      <c r="AG79" s="176">
        <v>-2.3E-2</v>
      </c>
    </row>
    <row r="80" spans="1:33">
      <c r="A80" s="175" t="s">
        <v>2947</v>
      </c>
      <c r="B80" s="175" t="s">
        <v>2948</v>
      </c>
      <c r="C80" s="175" t="s">
        <v>2943</v>
      </c>
      <c r="D80" s="175" t="s">
        <v>2944</v>
      </c>
      <c r="F80" s="175">
        <v>570.03552200000001</v>
      </c>
      <c r="G80" s="175">
        <v>489.47833300000002</v>
      </c>
      <c r="H80" s="175">
        <v>459.87057499999997</v>
      </c>
      <c r="I80" s="175">
        <v>433.59802200000001</v>
      </c>
      <c r="J80" s="175">
        <v>415.03927599999997</v>
      </c>
      <c r="K80" s="175">
        <v>401.425995</v>
      </c>
      <c r="L80" s="175">
        <v>390.92867999999999</v>
      </c>
      <c r="M80" s="175">
        <v>382.763306</v>
      </c>
      <c r="N80" s="175">
        <v>375.70193499999999</v>
      </c>
      <c r="O80" s="175">
        <v>369.19998199999998</v>
      </c>
      <c r="P80" s="175">
        <v>363.971497</v>
      </c>
      <c r="Q80" s="175">
        <v>359.05090300000001</v>
      </c>
      <c r="R80" s="175">
        <v>354.40417500000001</v>
      </c>
      <c r="S80" s="175">
        <v>350.12924199999998</v>
      </c>
      <c r="T80" s="175">
        <v>346.17562900000001</v>
      </c>
      <c r="U80" s="175">
        <v>342.48895299999998</v>
      </c>
      <c r="V80" s="175">
        <v>339.00088499999998</v>
      </c>
      <c r="W80" s="175">
        <v>335.74340799999999</v>
      </c>
      <c r="X80" s="175">
        <v>332.718658</v>
      </c>
      <c r="Y80" s="175">
        <v>329.90460200000001</v>
      </c>
      <c r="Z80" s="175">
        <v>327.27328499999999</v>
      </c>
      <c r="AA80" s="175">
        <v>324.81484999999998</v>
      </c>
      <c r="AB80" s="175">
        <v>322.502838</v>
      </c>
      <c r="AC80" s="175">
        <v>320.33651700000001</v>
      </c>
      <c r="AD80" s="175">
        <v>318.30306999999999</v>
      </c>
      <c r="AE80" s="175">
        <v>316.39218099999999</v>
      </c>
      <c r="AF80" s="175">
        <v>314.58950800000002</v>
      </c>
      <c r="AG80" s="176">
        <v>-2.3E-2</v>
      </c>
    </row>
    <row r="81" spans="1:33">
      <c r="A81" s="175" t="s">
        <v>312</v>
      </c>
    </row>
    <row r="82" spans="1:33">
      <c r="A82" s="175" t="s">
        <v>2949</v>
      </c>
      <c r="B82" s="175" t="s">
        <v>2950</v>
      </c>
      <c r="C82" s="175" t="s">
        <v>2951</v>
      </c>
      <c r="D82" s="175" t="s">
        <v>2952</v>
      </c>
      <c r="F82" s="175">
        <v>336.87881499999997</v>
      </c>
      <c r="G82" s="175">
        <v>307.29882800000001</v>
      </c>
      <c r="H82" s="175">
        <v>288.80246</v>
      </c>
      <c r="I82" s="175">
        <v>271.07699600000001</v>
      </c>
      <c r="J82" s="175">
        <v>255.568634</v>
      </c>
      <c r="K82" s="175">
        <v>244.600708</v>
      </c>
      <c r="L82" s="175">
        <v>236.54896500000001</v>
      </c>
      <c r="M82" s="175">
        <v>230.33711199999999</v>
      </c>
      <c r="N82" s="175">
        <v>225.49472</v>
      </c>
      <c r="O82" s="175">
        <v>221.30664100000001</v>
      </c>
      <c r="P82" s="175">
        <v>217.45829800000001</v>
      </c>
      <c r="Q82" s="175">
        <v>214.35638399999999</v>
      </c>
      <c r="R82" s="175">
        <v>211.433594</v>
      </c>
      <c r="S82" s="175">
        <v>208.67517100000001</v>
      </c>
      <c r="T82" s="175">
        <v>206.139725</v>
      </c>
      <c r="U82" s="175">
        <v>203.79489100000001</v>
      </c>
      <c r="V82" s="175">
        <v>201.60882599999999</v>
      </c>
      <c r="W82" s="175">
        <v>199.54255699999999</v>
      </c>
      <c r="X82" s="175">
        <v>197.61050399999999</v>
      </c>
      <c r="Y82" s="175">
        <v>195.81800799999999</v>
      </c>
      <c r="Z82" s="175">
        <v>194.15103099999999</v>
      </c>
      <c r="AA82" s="175">
        <v>192.59423799999999</v>
      </c>
      <c r="AB82" s="175">
        <v>191.14033499999999</v>
      </c>
      <c r="AC82" s="175">
        <v>189.77330000000001</v>
      </c>
      <c r="AD82" s="175">
        <v>188.49174500000001</v>
      </c>
      <c r="AE82" s="175">
        <v>187.289368</v>
      </c>
      <c r="AF82" s="175">
        <v>186.15943899999999</v>
      </c>
      <c r="AG82" s="176">
        <v>-2.3E-2</v>
      </c>
    </row>
    <row r="83" spans="1:33">
      <c r="A83" s="175" t="s">
        <v>2953</v>
      </c>
      <c r="B83" s="175" t="s">
        <v>2954</v>
      </c>
      <c r="C83" s="175" t="s">
        <v>2951</v>
      </c>
      <c r="D83" s="175" t="s">
        <v>2952</v>
      </c>
      <c r="F83" s="175">
        <v>483.723389</v>
      </c>
      <c r="G83" s="175">
        <v>441.24963400000001</v>
      </c>
      <c r="H83" s="175">
        <v>414.69073500000002</v>
      </c>
      <c r="I83" s="175">
        <v>389.23873900000001</v>
      </c>
      <c r="J83" s="175">
        <v>366.97033699999997</v>
      </c>
      <c r="K83" s="175">
        <v>351.22152699999998</v>
      </c>
      <c r="L83" s="175">
        <v>339.66006499999997</v>
      </c>
      <c r="M83" s="175">
        <v>330.74047899999999</v>
      </c>
      <c r="N83" s="175">
        <v>323.78732300000001</v>
      </c>
      <c r="O83" s="175">
        <v>317.77362099999999</v>
      </c>
      <c r="P83" s="175">
        <v>312.247772</v>
      </c>
      <c r="Q83" s="175">
        <v>307.79376200000002</v>
      </c>
      <c r="R83" s="175">
        <v>303.596924</v>
      </c>
      <c r="S83" s="175">
        <v>299.63619999999997</v>
      </c>
      <c r="T83" s="175">
        <v>295.99548299999998</v>
      </c>
      <c r="U83" s="175">
        <v>292.62853999999999</v>
      </c>
      <c r="V83" s="175">
        <v>289.489532</v>
      </c>
      <c r="W83" s="175">
        <v>286.52267499999999</v>
      </c>
      <c r="X83" s="175">
        <v>283.74841300000003</v>
      </c>
      <c r="Y83" s="175">
        <v>281.17456099999998</v>
      </c>
      <c r="Z83" s="175">
        <v>278.78097500000001</v>
      </c>
      <c r="AA83" s="175">
        <v>276.545593</v>
      </c>
      <c r="AB83" s="175">
        <v>274.45788599999997</v>
      </c>
      <c r="AC83" s="175">
        <v>272.49499500000002</v>
      </c>
      <c r="AD83" s="175">
        <v>270.65481599999998</v>
      </c>
      <c r="AE83" s="175">
        <v>268.92828400000002</v>
      </c>
      <c r="AF83" s="175">
        <v>267.30587800000001</v>
      </c>
      <c r="AG83" s="176">
        <v>-2.3E-2</v>
      </c>
    </row>
    <row r="84" spans="1:33">
      <c r="A84" s="175" t="s">
        <v>2955</v>
      </c>
      <c r="B84" s="175" t="s">
        <v>2956</v>
      </c>
      <c r="C84" s="175" t="s">
        <v>2951</v>
      </c>
      <c r="D84" s="175" t="s">
        <v>2952</v>
      </c>
      <c r="F84" s="175">
        <v>362.79254200000003</v>
      </c>
      <c r="G84" s="175">
        <v>330.93722500000001</v>
      </c>
      <c r="H84" s="175">
        <v>311.01800500000002</v>
      </c>
      <c r="I84" s="175">
        <v>291.92904700000003</v>
      </c>
      <c r="J84" s="175">
        <v>275.22778299999999</v>
      </c>
      <c r="K84" s="175">
        <v>263.41613799999999</v>
      </c>
      <c r="L84" s="175">
        <v>254.74504099999999</v>
      </c>
      <c r="M84" s="175">
        <v>248.05534399999999</v>
      </c>
      <c r="N84" s="175">
        <v>242.840485</v>
      </c>
      <c r="O84" s="175">
        <v>238.33019999999999</v>
      </c>
      <c r="P84" s="175">
        <v>234.18585200000001</v>
      </c>
      <c r="Q84" s="175">
        <v>230.84532200000001</v>
      </c>
      <c r="R84" s="175">
        <v>227.69770800000001</v>
      </c>
      <c r="S84" s="175">
        <v>224.727127</v>
      </c>
      <c r="T84" s="175">
        <v>221.99662799999999</v>
      </c>
      <c r="U84" s="175">
        <v>219.47141999999999</v>
      </c>
      <c r="V84" s="175">
        <v>217.11720299999999</v>
      </c>
      <c r="W84" s="175">
        <v>214.891998</v>
      </c>
      <c r="X84" s="175">
        <v>212.81132500000001</v>
      </c>
      <c r="Y84" s="175">
        <v>210.88093599999999</v>
      </c>
      <c r="Z84" s="175">
        <v>209.08573899999999</v>
      </c>
      <c r="AA84" s="175">
        <v>207.40919500000001</v>
      </c>
      <c r="AB84" s="175">
        <v>205.84343000000001</v>
      </c>
      <c r="AC84" s="175">
        <v>204.37124600000001</v>
      </c>
      <c r="AD84" s="175">
        <v>202.99110400000001</v>
      </c>
      <c r="AE84" s="175">
        <v>201.69624300000001</v>
      </c>
      <c r="AF84" s="175">
        <v>200.479401</v>
      </c>
      <c r="AG84" s="176">
        <v>-2.3E-2</v>
      </c>
    </row>
    <row r="85" spans="1:33">
      <c r="A85" s="175" t="s">
        <v>2957</v>
      </c>
      <c r="B85" s="175" t="s">
        <v>2958</v>
      </c>
      <c r="C85" s="175" t="s">
        <v>2951</v>
      </c>
      <c r="D85" s="175" t="s">
        <v>2952</v>
      </c>
      <c r="F85" s="175">
        <v>238.97354100000001</v>
      </c>
      <c r="G85" s="175">
        <v>217.99026499999999</v>
      </c>
      <c r="H85" s="175">
        <v>204.86937</v>
      </c>
      <c r="I85" s="175">
        <v>192.29534899999999</v>
      </c>
      <c r="J85" s="175">
        <v>181.29411300000001</v>
      </c>
      <c r="K85" s="175">
        <v>173.51374799999999</v>
      </c>
      <c r="L85" s="175">
        <v>167.802032</v>
      </c>
      <c r="M85" s="175">
        <v>163.39550800000001</v>
      </c>
      <c r="N85" s="175">
        <v>159.960419</v>
      </c>
      <c r="O85" s="175">
        <v>156.989487</v>
      </c>
      <c r="P85" s="175">
        <v>154.259567</v>
      </c>
      <c r="Q85" s="175">
        <v>152.05914300000001</v>
      </c>
      <c r="R85" s="175">
        <v>149.98577900000001</v>
      </c>
      <c r="S85" s="175">
        <v>148.029068</v>
      </c>
      <c r="T85" s="175">
        <v>146.23045300000001</v>
      </c>
      <c r="U85" s="175">
        <v>144.56707800000001</v>
      </c>
      <c r="V85" s="175">
        <v>143.01632699999999</v>
      </c>
      <c r="W85" s="175">
        <v>141.55059800000001</v>
      </c>
      <c r="X85" s="175">
        <v>140.180069</v>
      </c>
      <c r="Y85" s="175">
        <v>138.908478</v>
      </c>
      <c r="Z85" s="175">
        <v>137.72598300000001</v>
      </c>
      <c r="AA85" s="175">
        <v>136.62162799999999</v>
      </c>
      <c r="AB85" s="175">
        <v>135.590271</v>
      </c>
      <c r="AC85" s="175">
        <v>134.620529</v>
      </c>
      <c r="AD85" s="175">
        <v>133.71142599999999</v>
      </c>
      <c r="AE85" s="175">
        <v>132.85845900000001</v>
      </c>
      <c r="AF85" s="175">
        <v>132.05694600000001</v>
      </c>
      <c r="AG85" s="176">
        <v>-2.3E-2</v>
      </c>
    </row>
    <row r="86" spans="1:33">
      <c r="A86" s="175" t="s">
        <v>2947</v>
      </c>
      <c r="B86" s="175" t="s">
        <v>2959</v>
      </c>
      <c r="C86" s="175" t="s">
        <v>2951</v>
      </c>
      <c r="D86" s="175" t="s">
        <v>2952</v>
      </c>
      <c r="F86" s="175">
        <v>993.36047399999995</v>
      </c>
      <c r="G86" s="175">
        <v>906.13757299999997</v>
      </c>
      <c r="H86" s="175">
        <v>851.59698500000002</v>
      </c>
      <c r="I86" s="175">
        <v>799.32952899999998</v>
      </c>
      <c r="J86" s="175">
        <v>753.59985400000005</v>
      </c>
      <c r="K86" s="175">
        <v>721.25848399999995</v>
      </c>
      <c r="L86" s="175">
        <v>697.51623500000005</v>
      </c>
      <c r="M86" s="175">
        <v>679.19909700000005</v>
      </c>
      <c r="N86" s="175">
        <v>664.92034899999999</v>
      </c>
      <c r="O86" s="175">
        <v>652.57074</v>
      </c>
      <c r="P86" s="175">
        <v>641.22314500000005</v>
      </c>
      <c r="Q86" s="175">
        <v>632.07647699999995</v>
      </c>
      <c r="R86" s="175">
        <v>623.45794699999999</v>
      </c>
      <c r="S86" s="175">
        <v>615.32428000000004</v>
      </c>
      <c r="T86" s="175">
        <v>607.84789999999998</v>
      </c>
      <c r="U86" s="175">
        <v>600.93365500000004</v>
      </c>
      <c r="V86" s="175">
        <v>594.48748799999998</v>
      </c>
      <c r="W86" s="175">
        <v>588.39471400000002</v>
      </c>
      <c r="X86" s="175">
        <v>582.69769299999996</v>
      </c>
      <c r="Y86" s="175">
        <v>577.41204800000003</v>
      </c>
      <c r="Z86" s="175">
        <v>572.49664299999995</v>
      </c>
      <c r="AA86" s="175">
        <v>567.90606700000001</v>
      </c>
      <c r="AB86" s="175">
        <v>563.61889599999995</v>
      </c>
      <c r="AC86" s="175">
        <v>559.58795199999997</v>
      </c>
      <c r="AD86" s="175">
        <v>555.80895999999996</v>
      </c>
      <c r="AE86" s="175">
        <v>552.26348900000005</v>
      </c>
      <c r="AF86" s="175">
        <v>548.93164100000001</v>
      </c>
      <c r="AG86" s="176">
        <v>-2.3E-2</v>
      </c>
    </row>
    <row r="87" spans="1:33">
      <c r="A87" s="175" t="s">
        <v>2960</v>
      </c>
    </row>
    <row r="88" spans="1:33">
      <c r="A88" s="175" t="s">
        <v>2961</v>
      </c>
      <c r="B88" s="175" t="s">
        <v>2962</v>
      </c>
      <c r="C88" s="175" t="s">
        <v>2963</v>
      </c>
      <c r="D88" s="175" t="s">
        <v>2964</v>
      </c>
      <c r="F88" s="175">
        <v>14.660724999999999</v>
      </c>
      <c r="G88" s="175">
        <v>14.47932</v>
      </c>
      <c r="H88" s="175">
        <v>13.539622</v>
      </c>
      <c r="I88" s="175">
        <v>12.501745</v>
      </c>
      <c r="J88" s="175">
        <v>12.459519999999999</v>
      </c>
      <c r="K88" s="175">
        <v>12.533541</v>
      </c>
      <c r="L88" s="175">
        <v>12.655854</v>
      </c>
      <c r="M88" s="175">
        <v>12.79153</v>
      </c>
      <c r="N88" s="175">
        <v>12.88917</v>
      </c>
      <c r="O88" s="175">
        <v>13.116578000000001</v>
      </c>
      <c r="P88" s="175">
        <v>13.132267000000001</v>
      </c>
      <c r="Q88" s="175">
        <v>13.026171</v>
      </c>
      <c r="R88" s="175">
        <v>13.029432</v>
      </c>
      <c r="S88" s="175">
        <v>13.024822</v>
      </c>
      <c r="T88" s="175">
        <v>13.013798</v>
      </c>
      <c r="U88" s="175">
        <v>12.905737</v>
      </c>
      <c r="V88" s="175">
        <v>12.819233000000001</v>
      </c>
      <c r="W88" s="175">
        <v>12.860766999999999</v>
      </c>
      <c r="X88" s="175">
        <v>12.948478</v>
      </c>
      <c r="Y88" s="175">
        <v>13.121888999999999</v>
      </c>
      <c r="Z88" s="175">
        <v>13.205757999999999</v>
      </c>
      <c r="AA88" s="175">
        <v>13.272812999999999</v>
      </c>
      <c r="AB88" s="175">
        <v>13.279309</v>
      </c>
      <c r="AC88" s="175">
        <v>13.341877999999999</v>
      </c>
      <c r="AD88" s="175">
        <v>13.308396999999999</v>
      </c>
      <c r="AE88" s="175">
        <v>13.322649999999999</v>
      </c>
      <c r="AF88" s="175">
        <v>13.292918999999999</v>
      </c>
      <c r="AG88" s="176">
        <v>-4.0000000000000001E-3</v>
      </c>
    </row>
    <row r="89" spans="1:33">
      <c r="A89" s="175" t="s">
        <v>333</v>
      </c>
      <c r="B89" s="175" t="s">
        <v>2965</v>
      </c>
      <c r="C89" s="175" t="s">
        <v>2966</v>
      </c>
      <c r="D89" s="175" t="s">
        <v>2964</v>
      </c>
      <c r="F89" s="175">
        <v>21.406419</v>
      </c>
      <c r="G89" s="175">
        <v>20.894677000000001</v>
      </c>
      <c r="H89" s="175">
        <v>18.821584999999999</v>
      </c>
      <c r="I89" s="175">
        <v>17.486322000000001</v>
      </c>
      <c r="J89" s="175">
        <v>17.284580999999999</v>
      </c>
      <c r="K89" s="175">
        <v>17.332429000000001</v>
      </c>
      <c r="L89" s="175">
        <v>17.445575000000002</v>
      </c>
      <c r="M89" s="175">
        <v>17.659478</v>
      </c>
      <c r="N89" s="175">
        <v>17.786636999999999</v>
      </c>
      <c r="O89" s="175">
        <v>18.025981000000002</v>
      </c>
      <c r="P89" s="175">
        <v>18.087261000000002</v>
      </c>
      <c r="Q89" s="175">
        <v>18.058178000000002</v>
      </c>
      <c r="R89" s="175">
        <v>18.077915000000001</v>
      </c>
      <c r="S89" s="175">
        <v>18.038933</v>
      </c>
      <c r="T89" s="175">
        <v>18.008388</v>
      </c>
      <c r="U89" s="175">
        <v>17.904356</v>
      </c>
      <c r="V89" s="175">
        <v>17.860285000000001</v>
      </c>
      <c r="W89" s="175">
        <v>17.921337000000001</v>
      </c>
      <c r="X89" s="175">
        <v>18.047402999999999</v>
      </c>
      <c r="Y89" s="175">
        <v>18.188303999999999</v>
      </c>
      <c r="Z89" s="175">
        <v>18.280470000000001</v>
      </c>
      <c r="AA89" s="175">
        <v>18.398088000000001</v>
      </c>
      <c r="AB89" s="175">
        <v>18.47851</v>
      </c>
      <c r="AC89" s="175">
        <v>18.575382999999999</v>
      </c>
      <c r="AD89" s="175">
        <v>18.601012999999998</v>
      </c>
      <c r="AE89" s="175">
        <v>18.634260999999999</v>
      </c>
      <c r="AF89" s="175">
        <v>18.651931999999999</v>
      </c>
      <c r="AG89" s="176">
        <v>-5.0000000000000001E-3</v>
      </c>
    </row>
    <row r="90" spans="1:33">
      <c r="A90" s="175" t="s">
        <v>2967</v>
      </c>
      <c r="B90" s="175" t="s">
        <v>2968</v>
      </c>
      <c r="C90" s="175" t="s">
        <v>2966</v>
      </c>
      <c r="D90" s="175" t="s">
        <v>2964</v>
      </c>
      <c r="F90" s="175">
        <v>18.915469000000002</v>
      </c>
      <c r="G90" s="175">
        <v>18.494361000000001</v>
      </c>
      <c r="H90" s="175">
        <v>16.748058</v>
      </c>
      <c r="I90" s="175">
        <v>15.598786</v>
      </c>
      <c r="J90" s="175">
        <v>15.387491000000001</v>
      </c>
      <c r="K90" s="175">
        <v>15.411830999999999</v>
      </c>
      <c r="L90" s="175">
        <v>15.483029999999999</v>
      </c>
      <c r="M90" s="175">
        <v>15.651555999999999</v>
      </c>
      <c r="N90" s="175">
        <v>15.761011</v>
      </c>
      <c r="O90" s="175">
        <v>15.963941</v>
      </c>
      <c r="P90" s="175">
        <v>16.044131</v>
      </c>
      <c r="Q90" s="175">
        <v>16.044027</v>
      </c>
      <c r="R90" s="175">
        <v>16.074539000000001</v>
      </c>
      <c r="S90" s="175">
        <v>16.049256</v>
      </c>
      <c r="T90" s="175">
        <v>16.027716999999999</v>
      </c>
      <c r="U90" s="175">
        <v>15.944241</v>
      </c>
      <c r="V90" s="175">
        <v>15.890953</v>
      </c>
      <c r="W90" s="175">
        <v>15.949241000000001</v>
      </c>
      <c r="X90" s="175">
        <v>16.076356000000001</v>
      </c>
      <c r="Y90" s="175">
        <v>16.220196999999999</v>
      </c>
      <c r="Z90" s="175">
        <v>16.330137000000001</v>
      </c>
      <c r="AA90" s="175">
        <v>16.446974999999998</v>
      </c>
      <c r="AB90" s="175">
        <v>16.533956</v>
      </c>
      <c r="AC90" s="175">
        <v>16.647703</v>
      </c>
      <c r="AD90" s="175">
        <v>16.695798</v>
      </c>
      <c r="AE90" s="175">
        <v>16.747364000000001</v>
      </c>
      <c r="AF90" s="175">
        <v>16.791399999999999</v>
      </c>
      <c r="AG90" s="176">
        <v>-5.0000000000000001E-3</v>
      </c>
    </row>
    <row r="91" spans="1:33">
      <c r="A91" s="175" t="s">
        <v>2969</v>
      </c>
      <c r="B91" s="175" t="s">
        <v>2970</v>
      </c>
      <c r="C91" s="175" t="s">
        <v>2966</v>
      </c>
      <c r="D91" s="175" t="s">
        <v>2964</v>
      </c>
      <c r="F91" s="175">
        <v>24.560234000000001</v>
      </c>
      <c r="G91" s="175">
        <v>23.65334</v>
      </c>
      <c r="H91" s="175">
        <v>20.961617</v>
      </c>
      <c r="I91" s="175">
        <v>19.246886</v>
      </c>
      <c r="J91" s="175">
        <v>18.991436</v>
      </c>
      <c r="K91" s="175">
        <v>18.994349</v>
      </c>
      <c r="L91" s="175">
        <v>19.096301</v>
      </c>
      <c r="M91" s="175">
        <v>19.288595999999998</v>
      </c>
      <c r="N91" s="175">
        <v>19.346433000000001</v>
      </c>
      <c r="O91" s="175">
        <v>19.542026</v>
      </c>
      <c r="P91" s="175">
        <v>19.505562999999999</v>
      </c>
      <c r="Q91" s="175">
        <v>19.382211999999999</v>
      </c>
      <c r="R91" s="175">
        <v>19.341442000000001</v>
      </c>
      <c r="S91" s="175">
        <v>19.236585000000002</v>
      </c>
      <c r="T91" s="175">
        <v>19.152076000000001</v>
      </c>
      <c r="U91" s="175">
        <v>18.982410000000002</v>
      </c>
      <c r="V91" s="175">
        <v>18.923145000000002</v>
      </c>
      <c r="W91" s="175">
        <v>18.947120999999999</v>
      </c>
      <c r="X91" s="175">
        <v>19.024059000000001</v>
      </c>
      <c r="Y91" s="175">
        <v>19.112776</v>
      </c>
      <c r="Z91" s="175">
        <v>19.133858</v>
      </c>
      <c r="AA91" s="175">
        <v>19.210448</v>
      </c>
      <c r="AB91" s="175">
        <v>19.242525000000001</v>
      </c>
      <c r="AC91" s="175">
        <v>19.275586000000001</v>
      </c>
      <c r="AD91" s="175">
        <v>19.235341999999999</v>
      </c>
      <c r="AE91" s="175">
        <v>19.213842</v>
      </c>
      <c r="AF91" s="175">
        <v>19.162220999999999</v>
      </c>
      <c r="AG91" s="176">
        <v>-0.01</v>
      </c>
    </row>
    <row r="92" spans="1:33">
      <c r="A92" s="175" t="s">
        <v>2971</v>
      </c>
      <c r="B92" s="175" t="s">
        <v>2972</v>
      </c>
      <c r="C92" s="175" t="s">
        <v>2966</v>
      </c>
      <c r="D92" s="175" t="s">
        <v>2964</v>
      </c>
      <c r="F92" s="175">
        <v>32.392367999999998</v>
      </c>
      <c r="G92" s="175">
        <v>31.175576</v>
      </c>
      <c r="H92" s="175">
        <v>27.621338000000002</v>
      </c>
      <c r="I92" s="175">
        <v>25.355183</v>
      </c>
      <c r="J92" s="175">
        <v>25.018739</v>
      </c>
      <c r="K92" s="175">
        <v>25.021774000000001</v>
      </c>
      <c r="L92" s="175">
        <v>25.157150000000001</v>
      </c>
      <c r="M92" s="175">
        <v>25.409141999999999</v>
      </c>
      <c r="N92" s="175">
        <v>25.478199</v>
      </c>
      <c r="O92" s="175">
        <v>25.725657999999999</v>
      </c>
      <c r="P92" s="175">
        <v>25.6675</v>
      </c>
      <c r="Q92" s="175">
        <v>25.497035</v>
      </c>
      <c r="R92" s="175">
        <v>25.434052000000001</v>
      </c>
      <c r="S92" s="175">
        <v>25.300881</v>
      </c>
      <c r="T92" s="175">
        <v>25.193921</v>
      </c>
      <c r="U92" s="175">
        <v>24.978705999999999</v>
      </c>
      <c r="V92" s="175">
        <v>24.923964000000002</v>
      </c>
      <c r="W92" s="175">
        <v>24.959510000000002</v>
      </c>
      <c r="X92" s="175">
        <v>25.053393</v>
      </c>
      <c r="Y92" s="175">
        <v>25.160581000000001</v>
      </c>
      <c r="Z92" s="175">
        <v>25.174085999999999</v>
      </c>
      <c r="AA92" s="175">
        <v>25.273709</v>
      </c>
      <c r="AB92" s="175">
        <v>25.316188</v>
      </c>
      <c r="AC92" s="175">
        <v>25.346585000000001</v>
      </c>
      <c r="AD92" s="175">
        <v>25.289458</v>
      </c>
      <c r="AE92" s="175">
        <v>25.253147999999999</v>
      </c>
      <c r="AF92" s="175">
        <v>25.178395999999999</v>
      </c>
      <c r="AG92" s="176">
        <v>-0.01</v>
      </c>
    </row>
    <row r="93" spans="1:33">
      <c r="A93" s="175" t="s">
        <v>2973</v>
      </c>
      <c r="B93" s="175" t="s">
        <v>2974</v>
      </c>
      <c r="C93" s="175" t="s">
        <v>2975</v>
      </c>
      <c r="D93" s="175" t="s">
        <v>2964</v>
      </c>
      <c r="F93" s="175">
        <v>17.499977999999999</v>
      </c>
      <c r="G93" s="175">
        <v>16.868295</v>
      </c>
      <c r="H93" s="175">
        <v>14.858658</v>
      </c>
      <c r="I93" s="175">
        <v>13.690975</v>
      </c>
      <c r="J93" s="175">
        <v>13.510317000000001</v>
      </c>
      <c r="K93" s="175">
        <v>13.550777</v>
      </c>
      <c r="L93" s="175">
        <v>13.650695000000001</v>
      </c>
      <c r="M93" s="175">
        <v>13.814605999999999</v>
      </c>
      <c r="N93" s="175">
        <v>13.887226</v>
      </c>
      <c r="O93" s="175">
        <v>14.057883</v>
      </c>
      <c r="P93" s="175">
        <v>14.094117000000001</v>
      </c>
      <c r="Q93" s="175">
        <v>14.088540999999999</v>
      </c>
      <c r="R93" s="175">
        <v>14.142582000000001</v>
      </c>
      <c r="S93" s="175">
        <v>14.072425000000001</v>
      </c>
      <c r="T93" s="175">
        <v>14.010379</v>
      </c>
      <c r="U93" s="175">
        <v>13.850702</v>
      </c>
      <c r="V93" s="175">
        <v>13.739597</v>
      </c>
      <c r="W93" s="175">
        <v>13.741968</v>
      </c>
      <c r="X93" s="175">
        <v>13.801117</v>
      </c>
      <c r="Y93" s="175">
        <v>13.910145</v>
      </c>
      <c r="Z93" s="175">
        <v>13.958562000000001</v>
      </c>
      <c r="AA93" s="175">
        <v>14.029273999999999</v>
      </c>
      <c r="AB93" s="175">
        <v>14.033215</v>
      </c>
      <c r="AC93" s="175">
        <v>14.086240999999999</v>
      </c>
      <c r="AD93" s="175">
        <v>14.057613</v>
      </c>
      <c r="AE93" s="175">
        <v>14.07015</v>
      </c>
      <c r="AF93" s="175">
        <v>14.052716</v>
      </c>
      <c r="AG93" s="176">
        <v>-8.0000000000000002E-3</v>
      </c>
    </row>
    <row r="94" spans="1:33">
      <c r="A94" s="175" t="s">
        <v>340</v>
      </c>
      <c r="B94" s="175" t="s">
        <v>2976</v>
      </c>
      <c r="C94" s="175" t="s">
        <v>2975</v>
      </c>
      <c r="D94" s="175" t="s">
        <v>2964</v>
      </c>
      <c r="F94" s="175">
        <v>17.109794999999998</v>
      </c>
      <c r="G94" s="175">
        <v>16.165376999999999</v>
      </c>
      <c r="H94" s="175">
        <v>14.333702000000001</v>
      </c>
      <c r="I94" s="175">
        <v>13.116031</v>
      </c>
      <c r="J94" s="175">
        <v>12.958225000000001</v>
      </c>
      <c r="K94" s="175">
        <v>12.986746999999999</v>
      </c>
      <c r="L94" s="175">
        <v>13.083360000000001</v>
      </c>
      <c r="M94" s="175">
        <v>13.197463000000001</v>
      </c>
      <c r="N94" s="175">
        <v>13.253920000000001</v>
      </c>
      <c r="O94" s="175">
        <v>13.438112</v>
      </c>
      <c r="P94" s="175">
        <v>13.430469</v>
      </c>
      <c r="Q94" s="175">
        <v>13.314503</v>
      </c>
      <c r="R94" s="175">
        <v>13.323175000000001</v>
      </c>
      <c r="S94" s="175">
        <v>13.323256000000001</v>
      </c>
      <c r="T94" s="175">
        <v>13.299072000000001</v>
      </c>
      <c r="U94" s="175">
        <v>13.205408</v>
      </c>
      <c r="V94" s="175">
        <v>13.172117</v>
      </c>
      <c r="W94" s="175">
        <v>13.215064</v>
      </c>
      <c r="X94" s="175">
        <v>13.264645</v>
      </c>
      <c r="Y94" s="175">
        <v>13.397519000000001</v>
      </c>
      <c r="Z94" s="175">
        <v>13.428667000000001</v>
      </c>
      <c r="AA94" s="175">
        <v>13.513114</v>
      </c>
      <c r="AB94" s="175">
        <v>13.536572</v>
      </c>
      <c r="AC94" s="175">
        <v>13.570066000000001</v>
      </c>
      <c r="AD94" s="175">
        <v>13.520778</v>
      </c>
      <c r="AE94" s="175">
        <v>13.503270000000001</v>
      </c>
      <c r="AF94" s="175">
        <v>13.441691</v>
      </c>
      <c r="AG94" s="176">
        <v>-8.9999999999999993E-3</v>
      </c>
    </row>
    <row r="95" spans="1:33">
      <c r="A95" s="175" t="s">
        <v>338</v>
      </c>
      <c r="B95" s="175" t="s">
        <v>2977</v>
      </c>
      <c r="C95" s="175" t="s">
        <v>2975</v>
      </c>
      <c r="D95" s="175" t="s">
        <v>2964</v>
      </c>
      <c r="F95" s="175">
        <v>17.561288999999999</v>
      </c>
      <c r="G95" s="175">
        <v>17.024719999999999</v>
      </c>
      <c r="H95" s="175">
        <v>14.998709</v>
      </c>
      <c r="I95" s="175">
        <v>13.865487999999999</v>
      </c>
      <c r="J95" s="175">
        <v>13.694796999999999</v>
      </c>
      <c r="K95" s="175">
        <v>13.753669</v>
      </c>
      <c r="L95" s="175">
        <v>13.866458</v>
      </c>
      <c r="M95" s="175">
        <v>14.061038</v>
      </c>
      <c r="N95" s="175">
        <v>14.151945</v>
      </c>
      <c r="O95" s="175">
        <v>14.327889000000001</v>
      </c>
      <c r="P95" s="175">
        <v>14.392894</v>
      </c>
      <c r="Q95" s="175">
        <v>14.448506</v>
      </c>
      <c r="R95" s="175">
        <v>14.535325</v>
      </c>
      <c r="S95" s="175">
        <v>14.441808999999999</v>
      </c>
      <c r="T95" s="175">
        <v>14.369104999999999</v>
      </c>
      <c r="U95" s="175">
        <v>14.182898</v>
      </c>
      <c r="V95" s="175">
        <v>14.037635999999999</v>
      </c>
      <c r="W95" s="175">
        <v>14.023992</v>
      </c>
      <c r="X95" s="175">
        <v>14.093598</v>
      </c>
      <c r="Y95" s="175">
        <v>14.194001999999999</v>
      </c>
      <c r="Z95" s="175">
        <v>14.256455000000001</v>
      </c>
      <c r="AA95" s="175">
        <v>14.322983000000001</v>
      </c>
      <c r="AB95" s="175">
        <v>14.319469</v>
      </c>
      <c r="AC95" s="175">
        <v>14.387855</v>
      </c>
      <c r="AD95" s="175">
        <v>14.374874999999999</v>
      </c>
      <c r="AE95" s="175">
        <v>14.408455</v>
      </c>
      <c r="AF95" s="175">
        <v>14.418906</v>
      </c>
      <c r="AG95" s="176">
        <v>-8.0000000000000002E-3</v>
      </c>
    </row>
    <row r="96" spans="1:33">
      <c r="A96" s="175" t="s">
        <v>339</v>
      </c>
      <c r="B96" s="175" t="s">
        <v>2978</v>
      </c>
      <c r="C96" s="175" t="s">
        <v>2975</v>
      </c>
      <c r="D96" s="175" t="s">
        <v>2964</v>
      </c>
      <c r="F96" s="175">
        <v>12.941013</v>
      </c>
      <c r="G96" s="175">
        <v>12.624143999999999</v>
      </c>
      <c r="H96" s="175">
        <v>11.719846</v>
      </c>
      <c r="I96" s="175">
        <v>11.091652</v>
      </c>
      <c r="J96" s="175">
        <v>11.041523</v>
      </c>
      <c r="K96" s="175">
        <v>11.135455</v>
      </c>
      <c r="L96" s="175">
        <v>11.261929</v>
      </c>
      <c r="M96" s="175">
        <v>11.467452</v>
      </c>
      <c r="N96" s="175">
        <v>11.591284</v>
      </c>
      <c r="O96" s="175">
        <v>11.827546</v>
      </c>
      <c r="P96" s="175">
        <v>11.914558</v>
      </c>
      <c r="Q96" s="175">
        <v>11.840052999999999</v>
      </c>
      <c r="R96" s="175">
        <v>11.800545</v>
      </c>
      <c r="S96" s="175">
        <v>11.73856</v>
      </c>
      <c r="T96" s="175">
        <v>11.673352</v>
      </c>
      <c r="U96" s="175">
        <v>11.557297999999999</v>
      </c>
      <c r="V96" s="175">
        <v>11.491102</v>
      </c>
      <c r="W96" s="175">
        <v>11.510795</v>
      </c>
      <c r="X96" s="175">
        <v>11.566348</v>
      </c>
      <c r="Y96" s="175">
        <v>11.638818000000001</v>
      </c>
      <c r="Z96" s="175">
        <v>11.67062</v>
      </c>
      <c r="AA96" s="175">
        <v>11.73199</v>
      </c>
      <c r="AB96" s="175">
        <v>11.780459</v>
      </c>
      <c r="AC96" s="175">
        <v>11.801879</v>
      </c>
      <c r="AD96" s="175">
        <v>11.767419</v>
      </c>
      <c r="AE96" s="175">
        <v>11.731590000000001</v>
      </c>
      <c r="AF96" s="175">
        <v>11.686546</v>
      </c>
      <c r="AG96" s="176">
        <v>-4.0000000000000001E-3</v>
      </c>
    </row>
    <row r="97" spans="1:33">
      <c r="A97" s="175" t="s">
        <v>2979</v>
      </c>
      <c r="B97" s="175" t="s">
        <v>2980</v>
      </c>
      <c r="C97" s="175" t="s">
        <v>2981</v>
      </c>
      <c r="D97" s="175" t="s">
        <v>2964</v>
      </c>
      <c r="F97" s="175">
        <v>18.392759999999999</v>
      </c>
      <c r="G97" s="175">
        <v>17.964400000000001</v>
      </c>
      <c r="H97" s="175">
        <v>16.773347000000001</v>
      </c>
      <c r="I97" s="175">
        <v>15.913226999999999</v>
      </c>
      <c r="J97" s="175">
        <v>15.843658</v>
      </c>
      <c r="K97" s="175">
        <v>15.975294999999999</v>
      </c>
      <c r="L97" s="175">
        <v>16.123283000000001</v>
      </c>
      <c r="M97" s="175">
        <v>16.242621</v>
      </c>
      <c r="N97" s="175">
        <v>16.119142</v>
      </c>
      <c r="O97" s="175">
        <v>16.181032999999999</v>
      </c>
      <c r="P97" s="175">
        <v>15.929745</v>
      </c>
      <c r="Q97" s="175">
        <v>15.355148</v>
      </c>
      <c r="R97" s="175">
        <v>14.820855999999999</v>
      </c>
      <c r="S97" s="175">
        <v>14.332749</v>
      </c>
      <c r="T97" s="175">
        <v>13.900952</v>
      </c>
      <c r="U97" s="175">
        <v>13.469419</v>
      </c>
      <c r="V97" s="175">
        <v>13.144062</v>
      </c>
      <c r="W97" s="175">
        <v>12.936470999999999</v>
      </c>
      <c r="X97" s="175">
        <v>12.805147</v>
      </c>
      <c r="Y97" s="175">
        <v>12.721908000000001</v>
      </c>
      <c r="Z97" s="175">
        <v>12.632145</v>
      </c>
      <c r="AA97" s="175">
        <v>12.598369</v>
      </c>
      <c r="AB97" s="175">
        <v>12.569184</v>
      </c>
      <c r="AC97" s="175">
        <v>12.521887</v>
      </c>
      <c r="AD97" s="175">
        <v>12.426758</v>
      </c>
      <c r="AE97" s="175">
        <v>12.339561</v>
      </c>
      <c r="AF97" s="175">
        <v>12.250221</v>
      </c>
      <c r="AG97" s="176">
        <v>-1.6E-2</v>
      </c>
    </row>
    <row r="98" spans="1:33">
      <c r="A98" s="175" t="s">
        <v>2982</v>
      </c>
      <c r="B98" s="175" t="s">
        <v>2983</v>
      </c>
      <c r="C98" s="175" t="s">
        <v>2981</v>
      </c>
      <c r="D98" s="175" t="s">
        <v>2964</v>
      </c>
      <c r="F98" s="175">
        <v>12.941013</v>
      </c>
      <c r="G98" s="175">
        <v>12.624143999999999</v>
      </c>
      <c r="H98" s="175">
        <v>11.719846</v>
      </c>
      <c r="I98" s="175">
        <v>11.091652</v>
      </c>
      <c r="J98" s="175">
        <v>11.041523</v>
      </c>
      <c r="K98" s="175">
        <v>11.135455</v>
      </c>
      <c r="L98" s="175">
        <v>11.261929</v>
      </c>
      <c r="M98" s="175">
        <v>11.467452</v>
      </c>
      <c r="N98" s="175">
        <v>11.591284</v>
      </c>
      <c r="O98" s="175">
        <v>11.827546</v>
      </c>
      <c r="P98" s="175">
        <v>11.914558</v>
      </c>
      <c r="Q98" s="175">
        <v>11.840052999999999</v>
      </c>
      <c r="R98" s="175">
        <v>11.800545</v>
      </c>
      <c r="S98" s="175">
        <v>11.73856</v>
      </c>
      <c r="T98" s="175">
        <v>11.673352</v>
      </c>
      <c r="U98" s="175">
        <v>11.557297999999999</v>
      </c>
      <c r="V98" s="175">
        <v>11.491102</v>
      </c>
      <c r="W98" s="175">
        <v>11.510795</v>
      </c>
      <c r="X98" s="175">
        <v>11.566348</v>
      </c>
      <c r="Y98" s="175">
        <v>11.638818000000001</v>
      </c>
      <c r="Z98" s="175">
        <v>11.67062</v>
      </c>
      <c r="AA98" s="175">
        <v>11.73199</v>
      </c>
      <c r="AB98" s="175">
        <v>11.780459</v>
      </c>
      <c r="AC98" s="175">
        <v>11.801879</v>
      </c>
      <c r="AD98" s="175">
        <v>11.767419</v>
      </c>
      <c r="AE98" s="175">
        <v>11.731590000000001</v>
      </c>
      <c r="AF98" s="175">
        <v>11.686546</v>
      </c>
      <c r="AG98" s="176">
        <v>-4.0000000000000001E-3</v>
      </c>
    </row>
    <row r="99" spans="1:33">
      <c r="A99" s="175" t="s">
        <v>2984</v>
      </c>
      <c r="B99" s="175" t="s">
        <v>2985</v>
      </c>
      <c r="C99" s="175" t="s">
        <v>2981</v>
      </c>
      <c r="D99" s="175" t="s">
        <v>2964</v>
      </c>
      <c r="F99" s="175">
        <v>24.149308999999999</v>
      </c>
      <c r="G99" s="175">
        <v>23.538983999999999</v>
      </c>
      <c r="H99" s="175">
        <v>22.020655000000001</v>
      </c>
      <c r="I99" s="175">
        <v>20.899756</v>
      </c>
      <c r="J99" s="175">
        <v>20.810403000000001</v>
      </c>
      <c r="K99" s="175">
        <v>21.018688999999998</v>
      </c>
      <c r="L99" s="175">
        <v>21.265512999999999</v>
      </c>
      <c r="M99" s="175">
        <v>21.630918000000001</v>
      </c>
      <c r="N99" s="175">
        <v>21.821584999999999</v>
      </c>
      <c r="O99" s="175">
        <v>22.191970999999999</v>
      </c>
      <c r="P99" s="175">
        <v>22.233132000000001</v>
      </c>
      <c r="Q99" s="175">
        <v>21.968354000000001</v>
      </c>
      <c r="R99" s="175">
        <v>21.82507</v>
      </c>
      <c r="S99" s="175">
        <v>21.729991999999999</v>
      </c>
      <c r="T99" s="175">
        <v>21.668022000000001</v>
      </c>
      <c r="U99" s="175">
        <v>21.554518999999999</v>
      </c>
      <c r="V99" s="175">
        <v>21.546306999999999</v>
      </c>
      <c r="W99" s="175">
        <v>21.653545000000001</v>
      </c>
      <c r="X99" s="175">
        <v>21.818480999999998</v>
      </c>
      <c r="Y99" s="175">
        <v>21.973880999999999</v>
      </c>
      <c r="Z99" s="175">
        <v>22.062764000000001</v>
      </c>
      <c r="AA99" s="175">
        <v>22.223499</v>
      </c>
      <c r="AB99" s="175">
        <v>22.378456</v>
      </c>
      <c r="AC99" s="175">
        <v>22.459212000000001</v>
      </c>
      <c r="AD99" s="175">
        <v>22.427599000000001</v>
      </c>
      <c r="AE99" s="175">
        <v>22.37236</v>
      </c>
      <c r="AF99" s="175">
        <v>22.297429000000001</v>
      </c>
      <c r="AG99" s="176">
        <v>-3.0000000000000001E-3</v>
      </c>
    </row>
    <row r="100" spans="1:33">
      <c r="A100" s="175" t="s">
        <v>2986</v>
      </c>
    </row>
    <row r="101" spans="1:33">
      <c r="A101" s="175" t="s">
        <v>2982</v>
      </c>
      <c r="B101" s="175" t="s">
        <v>2987</v>
      </c>
      <c r="C101" s="175" t="s">
        <v>2988</v>
      </c>
      <c r="D101" s="175" t="s">
        <v>2964</v>
      </c>
      <c r="F101" s="175">
        <v>12.941013</v>
      </c>
      <c r="G101" s="175">
        <v>12.624143999999999</v>
      </c>
      <c r="H101" s="175">
        <v>11.719846</v>
      </c>
      <c r="I101" s="175">
        <v>11.091652</v>
      </c>
      <c r="J101" s="175">
        <v>11.041523</v>
      </c>
      <c r="K101" s="175">
        <v>11.135455</v>
      </c>
      <c r="L101" s="175">
        <v>11.261929</v>
      </c>
      <c r="M101" s="175">
        <v>11.467452</v>
      </c>
      <c r="N101" s="175">
        <v>11.591284</v>
      </c>
      <c r="O101" s="175">
        <v>11.827546</v>
      </c>
      <c r="P101" s="175">
        <v>11.914558</v>
      </c>
      <c r="Q101" s="175">
        <v>11.840052999999999</v>
      </c>
      <c r="R101" s="175">
        <v>11.800545</v>
      </c>
      <c r="S101" s="175">
        <v>11.73856</v>
      </c>
      <c r="T101" s="175">
        <v>11.673352</v>
      </c>
      <c r="U101" s="175">
        <v>11.557297999999999</v>
      </c>
      <c r="V101" s="175">
        <v>11.491102</v>
      </c>
      <c r="W101" s="175">
        <v>11.510795</v>
      </c>
      <c r="X101" s="175">
        <v>11.566348</v>
      </c>
      <c r="Y101" s="175">
        <v>11.638818000000001</v>
      </c>
      <c r="Z101" s="175">
        <v>11.67062</v>
      </c>
      <c r="AA101" s="175">
        <v>11.73199</v>
      </c>
      <c r="AB101" s="175">
        <v>11.780459</v>
      </c>
      <c r="AC101" s="175">
        <v>11.801879</v>
      </c>
      <c r="AD101" s="175">
        <v>11.767419</v>
      </c>
      <c r="AE101" s="175">
        <v>11.731590000000001</v>
      </c>
      <c r="AF101" s="175">
        <v>11.686546</v>
      </c>
      <c r="AG101" s="176">
        <v>-4.0000000000000001E-3</v>
      </c>
    </row>
    <row r="102" spans="1:33">
      <c r="A102" s="175" t="s">
        <v>2984</v>
      </c>
      <c r="B102" s="175" t="s">
        <v>2989</v>
      </c>
      <c r="C102" s="175" t="s">
        <v>2988</v>
      </c>
      <c r="D102" s="175" t="s">
        <v>2964</v>
      </c>
      <c r="F102" s="175">
        <v>24.149308999999999</v>
      </c>
      <c r="G102" s="175">
        <v>23.538983999999999</v>
      </c>
      <c r="H102" s="175">
        <v>22.020655000000001</v>
      </c>
      <c r="I102" s="175">
        <v>20.899756</v>
      </c>
      <c r="J102" s="175">
        <v>20.810403000000001</v>
      </c>
      <c r="K102" s="175">
        <v>21.018688999999998</v>
      </c>
      <c r="L102" s="175">
        <v>21.265512999999999</v>
      </c>
      <c r="M102" s="175">
        <v>21.630918000000001</v>
      </c>
      <c r="N102" s="175">
        <v>21.821584999999999</v>
      </c>
      <c r="O102" s="175">
        <v>22.191970999999999</v>
      </c>
      <c r="P102" s="175">
        <v>22.233132000000001</v>
      </c>
      <c r="Q102" s="175">
        <v>21.968354000000001</v>
      </c>
      <c r="R102" s="175">
        <v>21.82507</v>
      </c>
      <c r="S102" s="175">
        <v>21.729991999999999</v>
      </c>
      <c r="T102" s="175">
        <v>21.668022000000001</v>
      </c>
      <c r="U102" s="175">
        <v>21.554518999999999</v>
      </c>
      <c r="V102" s="175">
        <v>21.546306999999999</v>
      </c>
      <c r="W102" s="175">
        <v>21.653545000000001</v>
      </c>
      <c r="X102" s="175">
        <v>21.818480999999998</v>
      </c>
      <c r="Y102" s="175">
        <v>21.973880999999999</v>
      </c>
      <c r="Z102" s="175">
        <v>22.062764000000001</v>
      </c>
      <c r="AA102" s="175">
        <v>22.223499</v>
      </c>
      <c r="AB102" s="175">
        <v>22.378456</v>
      </c>
      <c r="AC102" s="175">
        <v>22.459212000000001</v>
      </c>
      <c r="AD102" s="175">
        <v>22.427599000000001</v>
      </c>
      <c r="AE102" s="175">
        <v>22.37236</v>
      </c>
      <c r="AF102" s="175">
        <v>22.297429000000001</v>
      </c>
      <c r="AG102" s="176">
        <v>-3.0000000000000001E-3</v>
      </c>
    </row>
    <row r="103" spans="1:33">
      <c r="A103" s="175" t="s">
        <v>2990</v>
      </c>
      <c r="B103" s="175" t="s">
        <v>2991</v>
      </c>
      <c r="C103" s="175" t="s">
        <v>2992</v>
      </c>
      <c r="D103" s="175" t="s">
        <v>2993</v>
      </c>
      <c r="F103" s="175">
        <v>8.2315170000000002</v>
      </c>
      <c r="G103" s="175">
        <v>8.356859</v>
      </c>
      <c r="H103" s="175">
        <v>8.3182880000000008</v>
      </c>
      <c r="I103" s="175">
        <v>8.2909299999999995</v>
      </c>
      <c r="J103" s="175">
        <v>8.3077780000000008</v>
      </c>
      <c r="K103" s="175">
        <v>8.3374550000000003</v>
      </c>
      <c r="L103" s="175">
        <v>8.3757319999999993</v>
      </c>
      <c r="M103" s="175">
        <v>8.4028349999999996</v>
      </c>
      <c r="N103" s="175">
        <v>8.4641330000000004</v>
      </c>
      <c r="O103" s="175">
        <v>8.4959319999999998</v>
      </c>
      <c r="P103" s="175">
        <v>8.5403179999999992</v>
      </c>
      <c r="Q103" s="175">
        <v>8.5279729999999994</v>
      </c>
      <c r="R103" s="175">
        <v>8.5055169999999993</v>
      </c>
      <c r="S103" s="175">
        <v>8.4888680000000001</v>
      </c>
      <c r="T103" s="175">
        <v>8.483689</v>
      </c>
      <c r="U103" s="175">
        <v>8.4763900000000003</v>
      </c>
      <c r="V103" s="175">
        <v>8.4840520000000001</v>
      </c>
      <c r="W103" s="175">
        <v>8.5093599999999991</v>
      </c>
      <c r="X103" s="175">
        <v>8.5356719999999999</v>
      </c>
      <c r="Y103" s="175">
        <v>8.5486109999999993</v>
      </c>
      <c r="Z103" s="175">
        <v>8.5571140000000003</v>
      </c>
      <c r="AA103" s="175">
        <v>8.5607380000000006</v>
      </c>
      <c r="AB103" s="175">
        <v>8.5608299999999993</v>
      </c>
      <c r="AC103" s="175">
        <v>8.5542350000000003</v>
      </c>
      <c r="AD103" s="175">
        <v>8.5512890000000006</v>
      </c>
      <c r="AE103" s="175">
        <v>8.5480119999999999</v>
      </c>
      <c r="AF103" s="175">
        <v>8.5461880000000008</v>
      </c>
      <c r="AG103" s="176">
        <v>1E-3</v>
      </c>
    </row>
    <row r="104" spans="1:33">
      <c r="A104" s="175" t="s">
        <v>2994</v>
      </c>
    </row>
    <row r="105" spans="1:33">
      <c r="A105" s="175" t="s">
        <v>316</v>
      </c>
    </row>
    <row r="106" spans="1:33">
      <c r="A106" s="175" t="s">
        <v>312</v>
      </c>
      <c r="B106" s="175" t="s">
        <v>2995</v>
      </c>
      <c r="C106" s="175" t="s">
        <v>2996</v>
      </c>
      <c r="D106" s="175" t="s">
        <v>2997</v>
      </c>
      <c r="F106" s="175">
        <v>17.766323</v>
      </c>
      <c r="G106" s="175">
        <v>17.970210999999999</v>
      </c>
      <c r="H106" s="175">
        <v>17.959671</v>
      </c>
      <c r="I106" s="175">
        <v>17.85622</v>
      </c>
      <c r="J106" s="175">
        <v>17.812985999999999</v>
      </c>
      <c r="K106" s="175">
        <v>17.876345000000001</v>
      </c>
      <c r="L106" s="175">
        <v>17.945992</v>
      </c>
      <c r="M106" s="175">
        <v>17.996148999999999</v>
      </c>
      <c r="N106" s="175">
        <v>18.214977000000001</v>
      </c>
      <c r="O106" s="175">
        <v>18.394098</v>
      </c>
      <c r="P106" s="175">
        <v>18.492505999999999</v>
      </c>
      <c r="Q106" s="175">
        <v>19.302897999999999</v>
      </c>
      <c r="R106" s="175">
        <v>19.313524000000001</v>
      </c>
      <c r="S106" s="175">
        <v>19.199712999999999</v>
      </c>
      <c r="T106" s="175">
        <v>19.099436000000001</v>
      </c>
      <c r="U106" s="175">
        <v>19.006401</v>
      </c>
      <c r="V106" s="175">
        <v>18.972618000000001</v>
      </c>
      <c r="W106" s="175">
        <v>19.015931999999999</v>
      </c>
      <c r="X106" s="175">
        <v>19.059194999999999</v>
      </c>
      <c r="Y106" s="175">
        <v>19.089003000000002</v>
      </c>
      <c r="Z106" s="175">
        <v>19.078462999999999</v>
      </c>
      <c r="AA106" s="175">
        <v>19.073222999999999</v>
      </c>
      <c r="AB106" s="175">
        <v>19.035549</v>
      </c>
      <c r="AC106" s="175">
        <v>18.976642999999999</v>
      </c>
      <c r="AD106" s="175">
        <v>18.914947999999999</v>
      </c>
      <c r="AE106" s="175">
        <v>18.991773999999999</v>
      </c>
      <c r="AF106" s="175">
        <v>18.961599</v>
      </c>
      <c r="AG106" s="176">
        <v>3.0000000000000001E-3</v>
      </c>
    </row>
    <row r="107" spans="1:33">
      <c r="A107" s="175" t="s">
        <v>2984</v>
      </c>
      <c r="B107" s="175" t="s">
        <v>2998</v>
      </c>
      <c r="C107" s="175" t="s">
        <v>2999</v>
      </c>
      <c r="D107" s="175" t="s">
        <v>2997</v>
      </c>
      <c r="F107" s="175">
        <v>19.777598999999999</v>
      </c>
      <c r="G107" s="175">
        <v>19.960829</v>
      </c>
      <c r="H107" s="175">
        <v>19.863551999999999</v>
      </c>
      <c r="I107" s="175">
        <v>19.700586000000001</v>
      </c>
      <c r="J107" s="175">
        <v>19.63954</v>
      </c>
      <c r="K107" s="175">
        <v>19.690778999999999</v>
      </c>
      <c r="L107" s="175">
        <v>19.757977</v>
      </c>
      <c r="M107" s="175">
        <v>19.798511999999999</v>
      </c>
      <c r="N107" s="175">
        <v>20.007479</v>
      </c>
      <c r="O107" s="175">
        <v>20.204947000000001</v>
      </c>
      <c r="P107" s="175">
        <v>20.307542999999999</v>
      </c>
      <c r="Q107" s="175">
        <v>20.827048999999999</v>
      </c>
      <c r="R107" s="175">
        <v>20.821225999999999</v>
      </c>
      <c r="S107" s="175">
        <v>20.723355999999999</v>
      </c>
      <c r="T107" s="175">
        <v>20.637675999999999</v>
      </c>
      <c r="U107" s="175">
        <v>20.552267000000001</v>
      </c>
      <c r="V107" s="175">
        <v>20.518706999999999</v>
      </c>
      <c r="W107" s="175">
        <v>20.559086000000001</v>
      </c>
      <c r="X107" s="175">
        <v>20.594023</v>
      </c>
      <c r="Y107" s="175">
        <v>20.612739999999999</v>
      </c>
      <c r="Z107" s="175">
        <v>20.589821000000001</v>
      </c>
      <c r="AA107" s="175">
        <v>20.572635999999999</v>
      </c>
      <c r="AB107" s="175">
        <v>20.518937999999999</v>
      </c>
      <c r="AC107" s="175">
        <v>20.441102999999998</v>
      </c>
      <c r="AD107" s="175">
        <v>20.358809000000001</v>
      </c>
      <c r="AE107" s="175">
        <v>20.404717999999999</v>
      </c>
      <c r="AF107" s="175">
        <v>20.358135000000001</v>
      </c>
      <c r="AG107" s="176">
        <v>1E-3</v>
      </c>
    </row>
    <row r="108" spans="1:33">
      <c r="A108" s="175" t="s">
        <v>2982</v>
      </c>
      <c r="B108" s="175" t="s">
        <v>3000</v>
      </c>
      <c r="C108" s="175" t="s">
        <v>3001</v>
      </c>
      <c r="D108" s="175" t="s">
        <v>2997</v>
      </c>
      <c r="F108" s="175">
        <v>17.562643000000001</v>
      </c>
      <c r="G108" s="175">
        <v>17.663405999999998</v>
      </c>
      <c r="H108" s="175">
        <v>17.567457000000001</v>
      </c>
      <c r="I108" s="175">
        <v>17.382929000000001</v>
      </c>
      <c r="J108" s="175">
        <v>17.291913999999998</v>
      </c>
      <c r="K108" s="175">
        <v>17.307409</v>
      </c>
      <c r="L108" s="175">
        <v>17.343654999999998</v>
      </c>
      <c r="M108" s="175">
        <v>17.378972999999998</v>
      </c>
      <c r="N108" s="175">
        <v>17.587420999999999</v>
      </c>
      <c r="O108" s="175">
        <v>17.754463000000001</v>
      </c>
      <c r="P108" s="175">
        <v>17.843942999999999</v>
      </c>
      <c r="Q108" s="175">
        <v>18.745529000000001</v>
      </c>
      <c r="R108" s="175">
        <v>18.747879000000001</v>
      </c>
      <c r="S108" s="175">
        <v>18.610184</v>
      </c>
      <c r="T108" s="175">
        <v>18.480103</v>
      </c>
      <c r="U108" s="175">
        <v>18.357793999999998</v>
      </c>
      <c r="V108" s="175">
        <v>18.290929999999999</v>
      </c>
      <c r="W108" s="175">
        <v>18.293406000000001</v>
      </c>
      <c r="X108" s="175">
        <v>18.292567999999999</v>
      </c>
      <c r="Y108" s="175">
        <v>18.276505</v>
      </c>
      <c r="Z108" s="175">
        <v>18.221741000000002</v>
      </c>
      <c r="AA108" s="175">
        <v>18.169429999999998</v>
      </c>
      <c r="AB108" s="175">
        <v>18.083389</v>
      </c>
      <c r="AC108" s="175">
        <v>17.971112999999999</v>
      </c>
      <c r="AD108" s="175">
        <v>17.858927000000001</v>
      </c>
      <c r="AE108" s="175">
        <v>17.892932999999999</v>
      </c>
      <c r="AF108" s="175">
        <v>17.811951000000001</v>
      </c>
      <c r="AG108" s="176">
        <v>1E-3</v>
      </c>
    </row>
    <row r="109" spans="1:33">
      <c r="A109" s="175" t="s">
        <v>3002</v>
      </c>
      <c r="B109" s="175" t="s">
        <v>3003</v>
      </c>
      <c r="C109" s="175" t="s">
        <v>3004</v>
      </c>
      <c r="D109" s="175" t="s">
        <v>2997</v>
      </c>
      <c r="F109" s="175">
        <v>0</v>
      </c>
      <c r="G109" s="175">
        <v>0</v>
      </c>
      <c r="H109" s="175">
        <v>0</v>
      </c>
      <c r="I109" s="175">
        <v>0</v>
      </c>
      <c r="J109" s="175">
        <v>0</v>
      </c>
      <c r="K109" s="175">
        <v>0</v>
      </c>
      <c r="L109" s="175">
        <v>0</v>
      </c>
      <c r="M109" s="175">
        <v>0</v>
      </c>
      <c r="N109" s="175">
        <v>0</v>
      </c>
      <c r="O109" s="175">
        <v>0</v>
      </c>
      <c r="P109" s="175">
        <v>0</v>
      </c>
      <c r="Q109" s="175">
        <v>0</v>
      </c>
      <c r="R109" s="175">
        <v>0</v>
      </c>
      <c r="S109" s="175">
        <v>0</v>
      </c>
      <c r="T109" s="175">
        <v>0</v>
      </c>
      <c r="U109" s="175">
        <v>0</v>
      </c>
      <c r="V109" s="175">
        <v>0</v>
      </c>
      <c r="W109" s="175">
        <v>0</v>
      </c>
      <c r="X109" s="175">
        <v>0</v>
      </c>
      <c r="Y109" s="175">
        <v>0</v>
      </c>
      <c r="Z109" s="175">
        <v>0</v>
      </c>
      <c r="AA109" s="175">
        <v>0</v>
      </c>
      <c r="AB109" s="175">
        <v>0</v>
      </c>
      <c r="AC109" s="175">
        <v>0</v>
      </c>
      <c r="AD109" s="175">
        <v>0</v>
      </c>
      <c r="AE109" s="175">
        <v>0</v>
      </c>
      <c r="AF109" s="175">
        <v>0</v>
      </c>
      <c r="AG109" s="175" t="s">
        <v>117</v>
      </c>
    </row>
    <row r="110" spans="1:33">
      <c r="A110" s="175" t="s">
        <v>422</v>
      </c>
      <c r="B110" s="175" t="s">
        <v>3005</v>
      </c>
      <c r="C110" s="175" t="s">
        <v>3006</v>
      </c>
      <c r="D110" s="175" t="s">
        <v>2997</v>
      </c>
      <c r="F110" s="175">
        <v>11.443804</v>
      </c>
      <c r="G110" s="175">
        <v>12.072668</v>
      </c>
      <c r="H110" s="175">
        <v>11.969920999999999</v>
      </c>
      <c r="I110" s="175">
        <v>11.783875</v>
      </c>
      <c r="J110" s="175">
        <v>11.726345999999999</v>
      </c>
      <c r="K110" s="175">
        <v>11.797737</v>
      </c>
      <c r="L110" s="175">
        <v>11.908505999999999</v>
      </c>
      <c r="M110" s="175">
        <v>11.999717</v>
      </c>
      <c r="N110" s="175">
        <v>12.302014</v>
      </c>
      <c r="O110" s="175">
        <v>12.554612000000001</v>
      </c>
      <c r="P110" s="175">
        <v>12.694451000000001</v>
      </c>
      <c r="Q110" s="175">
        <v>13.0364</v>
      </c>
      <c r="R110" s="175">
        <v>12.997778</v>
      </c>
      <c r="S110" s="175">
        <v>12.920356999999999</v>
      </c>
      <c r="T110" s="175">
        <v>12.858921</v>
      </c>
      <c r="U110" s="175">
        <v>12.790533999999999</v>
      </c>
      <c r="V110" s="175">
        <v>12.798731999999999</v>
      </c>
      <c r="W110" s="175">
        <v>12.878328</v>
      </c>
      <c r="X110" s="175">
        <v>12.934844999999999</v>
      </c>
      <c r="Y110" s="175">
        <v>12.995628</v>
      </c>
      <c r="Z110" s="175">
        <v>12.983548000000001</v>
      </c>
      <c r="AA110" s="175">
        <v>12.963507999999999</v>
      </c>
      <c r="AB110" s="175">
        <v>12.921654999999999</v>
      </c>
      <c r="AC110" s="175">
        <v>12.843486</v>
      </c>
      <c r="AD110" s="175">
        <v>12.780554</v>
      </c>
      <c r="AE110" s="175">
        <v>12.805318</v>
      </c>
      <c r="AF110" s="175">
        <v>12.774438999999999</v>
      </c>
      <c r="AG110" s="176">
        <v>4.0000000000000001E-3</v>
      </c>
    </row>
    <row r="111" spans="1:33">
      <c r="A111" s="175" t="s">
        <v>423</v>
      </c>
      <c r="B111" s="175" t="s">
        <v>3007</v>
      </c>
      <c r="C111" s="175" t="s">
        <v>3008</v>
      </c>
      <c r="D111" s="175" t="s">
        <v>2997</v>
      </c>
      <c r="F111" s="175">
        <v>11.443804</v>
      </c>
      <c r="G111" s="175">
        <v>12.072668</v>
      </c>
      <c r="H111" s="175">
        <v>11.969920999999999</v>
      </c>
      <c r="I111" s="175">
        <v>11.783875</v>
      </c>
      <c r="J111" s="175">
        <v>11.726345999999999</v>
      </c>
      <c r="K111" s="175">
        <v>11.797737</v>
      </c>
      <c r="L111" s="175">
        <v>11.908505999999999</v>
      </c>
      <c r="M111" s="175">
        <v>11.999717</v>
      </c>
      <c r="N111" s="175">
        <v>12.302014</v>
      </c>
      <c r="O111" s="175">
        <v>12.554612000000001</v>
      </c>
      <c r="P111" s="175">
        <v>12.694451000000001</v>
      </c>
      <c r="Q111" s="175">
        <v>13.0364</v>
      </c>
      <c r="R111" s="175">
        <v>12.997778</v>
      </c>
      <c r="S111" s="175">
        <v>12.920356999999999</v>
      </c>
      <c r="T111" s="175">
        <v>12.858921</v>
      </c>
      <c r="U111" s="175">
        <v>12.790533999999999</v>
      </c>
      <c r="V111" s="175">
        <v>12.798731999999999</v>
      </c>
      <c r="W111" s="175">
        <v>12.878328</v>
      </c>
      <c r="X111" s="175">
        <v>12.934844999999999</v>
      </c>
      <c r="Y111" s="175">
        <v>12.995628</v>
      </c>
      <c r="Z111" s="175">
        <v>12.983548000000001</v>
      </c>
      <c r="AA111" s="175">
        <v>12.963507999999999</v>
      </c>
      <c r="AB111" s="175">
        <v>12.921654999999999</v>
      </c>
      <c r="AC111" s="175">
        <v>12.843486</v>
      </c>
      <c r="AD111" s="175">
        <v>12.780554</v>
      </c>
      <c r="AE111" s="175">
        <v>12.805318</v>
      </c>
      <c r="AF111" s="175">
        <v>12.774438999999999</v>
      </c>
      <c r="AG111" s="176">
        <v>4.0000000000000001E-3</v>
      </c>
    </row>
    <row r="112" spans="1:33">
      <c r="A112" s="175" t="s">
        <v>317</v>
      </c>
    </row>
    <row r="113" spans="1:33">
      <c r="A113" s="175" t="s">
        <v>312</v>
      </c>
      <c r="B113" s="175" t="s">
        <v>3009</v>
      </c>
      <c r="C113" s="175" t="s">
        <v>3010</v>
      </c>
      <c r="D113" s="175" t="s">
        <v>2997</v>
      </c>
      <c r="F113" s="175">
        <v>26.082224</v>
      </c>
      <c r="G113" s="175">
        <v>27.372015000000001</v>
      </c>
      <c r="H113" s="175">
        <v>26.960653000000001</v>
      </c>
      <c r="I113" s="175">
        <v>26.532195999999999</v>
      </c>
      <c r="J113" s="175">
        <v>26.423973</v>
      </c>
      <c r="K113" s="175">
        <v>26.564364999999999</v>
      </c>
      <c r="L113" s="175">
        <v>26.776347999999999</v>
      </c>
      <c r="M113" s="175">
        <v>26.899049999999999</v>
      </c>
      <c r="N113" s="175">
        <v>27.525832999999999</v>
      </c>
      <c r="O113" s="175">
        <v>28.011175000000001</v>
      </c>
      <c r="P113" s="175">
        <v>28.278126</v>
      </c>
      <c r="Q113" s="175">
        <v>28.777691000000001</v>
      </c>
      <c r="R113" s="175">
        <v>28.634815</v>
      </c>
      <c r="S113" s="175">
        <v>28.390754999999999</v>
      </c>
      <c r="T113" s="175">
        <v>28.198139000000001</v>
      </c>
      <c r="U113" s="175">
        <v>28.004740000000002</v>
      </c>
      <c r="V113" s="175">
        <v>27.976728000000001</v>
      </c>
      <c r="W113" s="175">
        <v>28.080334000000001</v>
      </c>
      <c r="X113" s="175">
        <v>28.169062</v>
      </c>
      <c r="Y113" s="175">
        <v>28.202684000000001</v>
      </c>
      <c r="Z113" s="175">
        <v>28.142578</v>
      </c>
      <c r="AA113" s="175">
        <v>28.047516000000002</v>
      </c>
      <c r="AB113" s="175">
        <v>27.889599</v>
      </c>
      <c r="AC113" s="175">
        <v>27.643142999999998</v>
      </c>
      <c r="AD113" s="175">
        <v>27.423555</v>
      </c>
      <c r="AE113" s="175">
        <v>27.345938</v>
      </c>
      <c r="AF113" s="175">
        <v>27.191025</v>
      </c>
      <c r="AG113" s="176">
        <v>2E-3</v>
      </c>
    </row>
    <row r="114" spans="1:33">
      <c r="A114" s="175" t="s">
        <v>2984</v>
      </c>
      <c r="B114" s="175" t="s">
        <v>3011</v>
      </c>
      <c r="C114" s="175" t="s">
        <v>3012</v>
      </c>
      <c r="D114" s="175" t="s">
        <v>2997</v>
      </c>
      <c r="F114" s="175">
        <v>27.212330000000001</v>
      </c>
      <c r="G114" s="175">
        <v>28.590579999999999</v>
      </c>
      <c r="H114" s="175">
        <v>28.250004000000001</v>
      </c>
      <c r="I114" s="175">
        <v>27.861284000000001</v>
      </c>
      <c r="J114" s="175">
        <v>27.783439999999999</v>
      </c>
      <c r="K114" s="175">
        <v>27.948340999999999</v>
      </c>
      <c r="L114" s="175">
        <v>28.180513000000001</v>
      </c>
      <c r="M114" s="175">
        <v>28.31982</v>
      </c>
      <c r="N114" s="175">
        <v>28.963902000000001</v>
      </c>
      <c r="O114" s="175">
        <v>29.464773000000001</v>
      </c>
      <c r="P114" s="175">
        <v>29.745934999999999</v>
      </c>
      <c r="Q114" s="175">
        <v>30.258866999999999</v>
      </c>
      <c r="R114" s="175">
        <v>30.127694999999999</v>
      </c>
      <c r="S114" s="175">
        <v>29.898018</v>
      </c>
      <c r="T114" s="175">
        <v>29.718136000000001</v>
      </c>
      <c r="U114" s="175">
        <v>29.539587000000001</v>
      </c>
      <c r="V114" s="175">
        <v>29.532623000000001</v>
      </c>
      <c r="W114" s="175">
        <v>29.663944000000001</v>
      </c>
      <c r="X114" s="175">
        <v>29.776478000000001</v>
      </c>
      <c r="Y114" s="175">
        <v>29.836489</v>
      </c>
      <c r="Z114" s="175">
        <v>29.807697000000001</v>
      </c>
      <c r="AA114" s="175">
        <v>29.742032999999999</v>
      </c>
      <c r="AB114" s="175">
        <v>29.621078000000001</v>
      </c>
      <c r="AC114" s="175">
        <v>29.414465</v>
      </c>
      <c r="AD114" s="175">
        <v>29.243926999999999</v>
      </c>
      <c r="AE114" s="175">
        <v>29.218567</v>
      </c>
      <c r="AF114" s="175">
        <v>29.114000000000001</v>
      </c>
      <c r="AG114" s="176">
        <v>3.0000000000000001E-3</v>
      </c>
    </row>
    <row r="115" spans="1:33">
      <c r="A115" s="175" t="s">
        <v>2982</v>
      </c>
      <c r="B115" s="175" t="s">
        <v>3013</v>
      </c>
      <c r="C115" s="175" t="s">
        <v>3014</v>
      </c>
      <c r="D115" s="175" t="s">
        <v>2997</v>
      </c>
      <c r="F115" s="175">
        <v>24.282774</v>
      </c>
      <c r="G115" s="175">
        <v>25.647283999999999</v>
      </c>
      <c r="H115" s="175">
        <v>25.308827999999998</v>
      </c>
      <c r="I115" s="175">
        <v>24.922684</v>
      </c>
      <c r="J115" s="175">
        <v>24.84449</v>
      </c>
      <c r="K115" s="175">
        <v>25.006926</v>
      </c>
      <c r="L115" s="175">
        <v>25.235980999999999</v>
      </c>
      <c r="M115" s="175">
        <v>25.372945999999999</v>
      </c>
      <c r="N115" s="175">
        <v>26.010107000000001</v>
      </c>
      <c r="O115" s="175">
        <v>26.505376999999999</v>
      </c>
      <c r="P115" s="175">
        <v>26.782921000000002</v>
      </c>
      <c r="Q115" s="175">
        <v>27.294965999999999</v>
      </c>
      <c r="R115" s="175">
        <v>27.164916999999999</v>
      </c>
      <c r="S115" s="175">
        <v>26.936419000000001</v>
      </c>
      <c r="T115" s="175">
        <v>26.757287999999999</v>
      </c>
      <c r="U115" s="175">
        <v>26.579505999999999</v>
      </c>
      <c r="V115" s="175">
        <v>26.571735</v>
      </c>
      <c r="W115" s="175">
        <v>26.701001999999999</v>
      </c>
      <c r="X115" s="175">
        <v>26.811657</v>
      </c>
      <c r="Y115" s="175">
        <v>26.870258</v>
      </c>
      <c r="Z115" s="175">
        <v>26.840878</v>
      </c>
      <c r="AA115" s="175">
        <v>26.774963</v>
      </c>
      <c r="AB115" s="175">
        <v>26.654264000000001</v>
      </c>
      <c r="AC115" s="175">
        <v>26.448715</v>
      </c>
      <c r="AD115" s="175">
        <v>26.278912999999999</v>
      </c>
      <c r="AE115" s="175">
        <v>26.253814999999999</v>
      </c>
      <c r="AF115" s="175">
        <v>26.149422000000001</v>
      </c>
      <c r="AG115" s="176">
        <v>3.0000000000000001E-3</v>
      </c>
    </row>
    <row r="116" spans="1:33">
      <c r="A116" s="175" t="s">
        <v>314</v>
      </c>
      <c r="B116" s="175" t="s">
        <v>3015</v>
      </c>
      <c r="C116" s="175" t="s">
        <v>3016</v>
      </c>
      <c r="D116" s="175" t="s">
        <v>2997</v>
      </c>
      <c r="F116" s="175">
        <v>15.662438</v>
      </c>
      <c r="G116" s="175">
        <v>17.095972</v>
      </c>
      <c r="H116" s="175">
        <v>16.921756999999999</v>
      </c>
      <c r="I116" s="175">
        <v>16.564378999999999</v>
      </c>
      <c r="J116" s="175">
        <v>16.49259</v>
      </c>
      <c r="K116" s="175">
        <v>16.698236000000001</v>
      </c>
      <c r="L116" s="175">
        <v>16.991081000000001</v>
      </c>
      <c r="M116" s="175">
        <v>17.245121000000001</v>
      </c>
      <c r="N116" s="175">
        <v>17.959441999999999</v>
      </c>
      <c r="O116" s="175">
        <v>18.565225999999999</v>
      </c>
      <c r="P116" s="175">
        <v>18.924628999999999</v>
      </c>
      <c r="Q116" s="175">
        <v>19.662490999999999</v>
      </c>
      <c r="R116" s="175">
        <v>19.615673000000001</v>
      </c>
      <c r="S116" s="175">
        <v>19.493829999999999</v>
      </c>
      <c r="T116" s="175">
        <v>19.405608999999998</v>
      </c>
      <c r="U116" s="175">
        <v>19.300985000000001</v>
      </c>
      <c r="V116" s="175">
        <v>19.363647</v>
      </c>
      <c r="W116" s="175">
        <v>19.582083000000001</v>
      </c>
      <c r="X116" s="175">
        <v>19.75009</v>
      </c>
      <c r="Y116" s="175">
        <v>19.927520999999999</v>
      </c>
      <c r="Z116" s="175">
        <v>19.945639</v>
      </c>
      <c r="AA116" s="175">
        <v>19.946338999999998</v>
      </c>
      <c r="AB116" s="175">
        <v>19.898668000000001</v>
      </c>
      <c r="AC116" s="175">
        <v>19.771090999999998</v>
      </c>
      <c r="AD116" s="175">
        <v>19.676361</v>
      </c>
      <c r="AE116" s="175">
        <v>19.762139999999999</v>
      </c>
      <c r="AF116" s="175">
        <v>19.735866999999999</v>
      </c>
      <c r="AG116" s="176">
        <v>8.9999999999999993E-3</v>
      </c>
    </row>
    <row r="117" spans="1:33">
      <c r="A117" s="175" t="s">
        <v>3002</v>
      </c>
      <c r="B117" s="175" t="s">
        <v>3017</v>
      </c>
      <c r="C117" s="175" t="s">
        <v>3018</v>
      </c>
      <c r="D117" s="175" t="s">
        <v>2997</v>
      </c>
      <c r="F117" s="175">
        <v>11.131519000000001</v>
      </c>
      <c r="G117" s="175">
        <v>11.783325</v>
      </c>
      <c r="H117" s="175">
        <v>11.598039</v>
      </c>
      <c r="I117" s="175">
        <v>11.436346</v>
      </c>
      <c r="J117" s="175">
        <v>11.439994</v>
      </c>
      <c r="K117" s="175">
        <v>11.579726000000001</v>
      </c>
      <c r="L117" s="175">
        <v>11.769632</v>
      </c>
      <c r="M117" s="175">
        <v>11.890407</v>
      </c>
      <c r="N117" s="175">
        <v>12.266788</v>
      </c>
      <c r="O117" s="175">
        <v>12.528677999999999</v>
      </c>
      <c r="P117" s="175">
        <v>12.711942000000001</v>
      </c>
      <c r="Q117" s="175">
        <v>13.838943</v>
      </c>
      <c r="R117" s="175">
        <v>13.914254</v>
      </c>
      <c r="S117" s="175">
        <v>13.820492</v>
      </c>
      <c r="T117" s="175">
        <v>13.752132</v>
      </c>
      <c r="U117" s="175">
        <v>13.689482999999999</v>
      </c>
      <c r="V117" s="175">
        <v>13.71308</v>
      </c>
      <c r="W117" s="175">
        <v>13.800635</v>
      </c>
      <c r="X117" s="175">
        <v>13.886991</v>
      </c>
      <c r="Y117" s="175">
        <v>13.943507</v>
      </c>
      <c r="Z117" s="175">
        <v>13.96114</v>
      </c>
      <c r="AA117" s="175">
        <v>13.94815</v>
      </c>
      <c r="AB117" s="175">
        <v>13.912392000000001</v>
      </c>
      <c r="AC117" s="175">
        <v>13.839399999999999</v>
      </c>
      <c r="AD117" s="175">
        <v>13.792706000000001</v>
      </c>
      <c r="AE117" s="175">
        <v>13.955946000000001</v>
      </c>
      <c r="AF117" s="175">
        <v>13.916736999999999</v>
      </c>
      <c r="AG117" s="176">
        <v>8.9999999999999993E-3</v>
      </c>
    </row>
    <row r="118" spans="1:33">
      <c r="A118" s="175" t="s">
        <v>422</v>
      </c>
      <c r="B118" s="175" t="s">
        <v>3019</v>
      </c>
      <c r="C118" s="175" t="s">
        <v>3020</v>
      </c>
      <c r="D118" s="175" t="s">
        <v>2997</v>
      </c>
      <c r="F118" s="175">
        <v>10.518917999999999</v>
      </c>
      <c r="G118" s="175">
        <v>11.220459</v>
      </c>
      <c r="H118" s="175">
        <v>11.048302</v>
      </c>
      <c r="I118" s="175">
        <v>10.882524</v>
      </c>
      <c r="J118" s="175">
        <v>10.878577999999999</v>
      </c>
      <c r="K118" s="175">
        <v>10.997228</v>
      </c>
      <c r="L118" s="175">
        <v>11.141553999999999</v>
      </c>
      <c r="M118" s="175">
        <v>11.237958000000001</v>
      </c>
      <c r="N118" s="175">
        <v>11.587527</v>
      </c>
      <c r="O118" s="175">
        <v>11.865107</v>
      </c>
      <c r="P118" s="175">
        <v>12.042180999999999</v>
      </c>
      <c r="Q118" s="175">
        <v>12.425376999999999</v>
      </c>
      <c r="R118" s="175">
        <v>12.398633999999999</v>
      </c>
      <c r="S118" s="175">
        <v>12.306039999999999</v>
      </c>
      <c r="T118" s="175">
        <v>12.237890999999999</v>
      </c>
      <c r="U118" s="175">
        <v>12.169972</v>
      </c>
      <c r="V118" s="175">
        <v>12.187250000000001</v>
      </c>
      <c r="W118" s="175">
        <v>12.269031999999999</v>
      </c>
      <c r="X118" s="175">
        <v>12.346788999999999</v>
      </c>
      <c r="Y118" s="175">
        <v>12.400518999999999</v>
      </c>
      <c r="Z118" s="175">
        <v>12.414308999999999</v>
      </c>
      <c r="AA118" s="175">
        <v>12.404987999999999</v>
      </c>
      <c r="AB118" s="175">
        <v>12.371383</v>
      </c>
      <c r="AC118" s="175">
        <v>12.301284000000001</v>
      </c>
      <c r="AD118" s="175">
        <v>12.250579</v>
      </c>
      <c r="AE118" s="175">
        <v>12.284452</v>
      </c>
      <c r="AF118" s="175">
        <v>12.258368000000001</v>
      </c>
      <c r="AG118" s="176">
        <v>6.0000000000000001E-3</v>
      </c>
    </row>
    <row r="119" spans="1:33">
      <c r="A119" s="175" t="s">
        <v>423</v>
      </c>
      <c r="B119" s="175" t="s">
        <v>3021</v>
      </c>
      <c r="C119" s="175" t="s">
        <v>3022</v>
      </c>
      <c r="D119" s="175" t="s">
        <v>2997</v>
      </c>
      <c r="F119" s="175">
        <v>11.206511000000001</v>
      </c>
      <c r="G119" s="175">
        <v>11.851167999999999</v>
      </c>
      <c r="H119" s="175">
        <v>11.666744</v>
      </c>
      <c r="I119" s="175">
        <v>11.508732999999999</v>
      </c>
      <c r="J119" s="175">
        <v>11.513063000000001</v>
      </c>
      <c r="K119" s="175">
        <v>11.654737000000001</v>
      </c>
      <c r="L119" s="175">
        <v>11.849112999999999</v>
      </c>
      <c r="M119" s="175">
        <v>11.970824</v>
      </c>
      <c r="N119" s="175">
        <v>12.350697</v>
      </c>
      <c r="O119" s="175">
        <v>12.611025</v>
      </c>
      <c r="P119" s="175">
        <v>12.794636000000001</v>
      </c>
      <c r="Q119" s="175">
        <v>14.018115999999999</v>
      </c>
      <c r="R119" s="175">
        <v>14.107737999999999</v>
      </c>
      <c r="S119" s="175">
        <v>14.015776000000001</v>
      </c>
      <c r="T119" s="175">
        <v>13.949567999999999</v>
      </c>
      <c r="U119" s="175">
        <v>13.890155</v>
      </c>
      <c r="V119" s="175">
        <v>13.92394</v>
      </c>
      <c r="W119" s="175">
        <v>14.023643</v>
      </c>
      <c r="X119" s="175">
        <v>14.124241</v>
      </c>
      <c r="Y119" s="175">
        <v>14.193315</v>
      </c>
      <c r="Z119" s="175">
        <v>14.223763</v>
      </c>
      <c r="AA119" s="175">
        <v>14.221519000000001</v>
      </c>
      <c r="AB119" s="175">
        <v>14.199920000000001</v>
      </c>
      <c r="AC119" s="175">
        <v>14.141954</v>
      </c>
      <c r="AD119" s="175">
        <v>14.111420000000001</v>
      </c>
      <c r="AE119" s="175">
        <v>14.317017</v>
      </c>
      <c r="AF119" s="175">
        <v>14.291043999999999</v>
      </c>
      <c r="AG119" s="176">
        <v>8.9999999999999993E-3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08330-C73C-434F-93CF-4807081A75F5}">
  <dimension ref="A1:AG61"/>
  <sheetViews>
    <sheetView workbookViewId="0"/>
  </sheetViews>
  <sheetFormatPr defaultRowHeight="15"/>
  <cols>
    <col min="1" max="1" width="20.140625" customWidth="1"/>
  </cols>
  <sheetData>
    <row r="1" spans="1:33">
      <c r="A1" t="s">
        <v>331</v>
      </c>
    </row>
    <row r="2" spans="1:33">
      <c r="A2" t="s">
        <v>4093</v>
      </c>
    </row>
    <row r="3" spans="1:33">
      <c r="A3" t="s">
        <v>4092</v>
      </c>
    </row>
    <row r="4" spans="1:33">
      <c r="A4" t="s">
        <v>302</v>
      </c>
    </row>
    <row r="5" spans="1:33">
      <c r="B5" t="s">
        <v>303</v>
      </c>
      <c r="C5" t="s">
        <v>351</v>
      </c>
      <c r="D5" t="s">
        <v>352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2808</v>
      </c>
    </row>
    <row r="6" spans="1:33">
      <c r="A6" t="s">
        <v>44</v>
      </c>
    </row>
    <row r="7" spans="1:33">
      <c r="A7" t="s">
        <v>332</v>
      </c>
    </row>
    <row r="8" spans="1:33">
      <c r="A8" t="s">
        <v>333</v>
      </c>
      <c r="B8" t="s">
        <v>4091</v>
      </c>
      <c r="C8" t="s">
        <v>4090</v>
      </c>
      <c r="D8" t="s">
        <v>354</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31">
        <v>-8.0000000000000002E-3</v>
      </c>
    </row>
    <row r="9" spans="1:33">
      <c r="A9" t="s">
        <v>334</v>
      </c>
      <c r="B9" t="s">
        <v>4089</v>
      </c>
      <c r="C9" t="s">
        <v>4088</v>
      </c>
      <c r="D9" t="s">
        <v>354</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31">
        <v>-2.4E-2</v>
      </c>
    </row>
    <row r="10" spans="1:33">
      <c r="A10" t="s">
        <v>335</v>
      </c>
      <c r="B10" t="s">
        <v>4087</v>
      </c>
      <c r="C10" t="s">
        <v>4086</v>
      </c>
      <c r="D10" t="s">
        <v>354</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31">
        <v>-1E-3</v>
      </c>
    </row>
    <row r="11" spans="1:33">
      <c r="A11" t="s">
        <v>336</v>
      </c>
      <c r="B11" t="s">
        <v>4085</v>
      </c>
      <c r="C11" t="s">
        <v>4084</v>
      </c>
      <c r="D11" t="s">
        <v>354</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31">
        <v>-2.7E-2</v>
      </c>
    </row>
    <row r="12" spans="1:33">
      <c r="A12" t="s">
        <v>311</v>
      </c>
      <c r="B12" t="s">
        <v>4083</v>
      </c>
      <c r="C12" t="s">
        <v>4082</v>
      </c>
      <c r="D12" t="s">
        <v>354</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31">
        <v>-1.4999999999999999E-2</v>
      </c>
    </row>
    <row r="13" spans="1:33">
      <c r="A13" t="s">
        <v>337</v>
      </c>
      <c r="B13" t="s">
        <v>4081</v>
      </c>
      <c r="C13" t="s">
        <v>4080</v>
      </c>
      <c r="D13" t="s">
        <v>354</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31">
        <v>-5.0000000000000001E-3</v>
      </c>
    </row>
    <row r="14" spans="1:33">
      <c r="A14" t="s">
        <v>338</v>
      </c>
      <c r="B14" t="s">
        <v>4079</v>
      </c>
      <c r="C14" t="s">
        <v>4078</v>
      </c>
      <c r="D14" t="s">
        <v>354</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31">
        <v>0</v>
      </c>
    </row>
    <row r="15" spans="1:33">
      <c r="A15" t="s">
        <v>339</v>
      </c>
      <c r="B15" t="s">
        <v>4077</v>
      </c>
      <c r="C15" t="s">
        <v>4076</v>
      </c>
      <c r="D15" t="s">
        <v>354</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31">
        <v>3.0000000000000001E-3</v>
      </c>
    </row>
    <row r="16" spans="1:33">
      <c r="A16" t="s">
        <v>340</v>
      </c>
      <c r="B16" t="s">
        <v>4075</v>
      </c>
      <c r="C16" t="s">
        <v>4074</v>
      </c>
      <c r="D16" t="s">
        <v>354</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31">
        <v>-1.2999999999999999E-2</v>
      </c>
    </row>
    <row r="17" spans="1:33">
      <c r="A17" t="s">
        <v>312</v>
      </c>
      <c r="B17" t="s">
        <v>4073</v>
      </c>
      <c r="C17" t="s">
        <v>4072</v>
      </c>
      <c r="D17" t="s">
        <v>354</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31">
        <v>-1E-3</v>
      </c>
    </row>
    <row r="18" spans="1:33">
      <c r="A18" t="s">
        <v>341</v>
      </c>
      <c r="B18" t="s">
        <v>4071</v>
      </c>
      <c r="C18" t="s">
        <v>4070</v>
      </c>
      <c r="D18" t="s">
        <v>354</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31">
        <v>6.0000000000000001E-3</v>
      </c>
    </row>
    <row r="19" spans="1:33">
      <c r="A19" t="s">
        <v>342</v>
      </c>
      <c r="B19" t="s">
        <v>4069</v>
      </c>
      <c r="C19" t="s">
        <v>4068</v>
      </c>
      <c r="D19" t="s">
        <v>354</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31">
        <v>-7.0000000000000001E-3</v>
      </c>
    </row>
    <row r="20" spans="1:33">
      <c r="A20" t="s">
        <v>392</v>
      </c>
      <c r="B20" t="s">
        <v>4067</v>
      </c>
      <c r="C20" t="s">
        <v>4066</v>
      </c>
      <c r="D20" t="s">
        <v>354</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31">
        <v>-1E-3</v>
      </c>
    </row>
    <row r="21" spans="1:33">
      <c r="A21" t="s">
        <v>343</v>
      </c>
    </row>
    <row r="22" spans="1:33">
      <c r="A22" t="s">
        <v>185</v>
      </c>
      <c r="B22" t="s">
        <v>4065</v>
      </c>
      <c r="C22" t="s">
        <v>3142</v>
      </c>
      <c r="D22" t="s">
        <v>354</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31">
        <v>8.9999999999999993E-3</v>
      </c>
    </row>
    <row r="23" spans="1:33">
      <c r="A23" t="s">
        <v>344</v>
      </c>
      <c r="B23" t="s">
        <v>4064</v>
      </c>
      <c r="C23" t="s">
        <v>4063</v>
      </c>
      <c r="D23" t="s">
        <v>354</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31">
        <v>8.0000000000000002E-3</v>
      </c>
    </row>
    <row r="24" spans="1:33">
      <c r="A24" t="s">
        <v>541</v>
      </c>
      <c r="B24" t="s">
        <v>4062</v>
      </c>
      <c r="C24" t="s">
        <v>4061</v>
      </c>
      <c r="D24" t="s">
        <v>354</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31">
        <v>8.0000000000000002E-3</v>
      </c>
    </row>
    <row r="25" spans="1:33">
      <c r="A25" t="s">
        <v>542</v>
      </c>
      <c r="B25" t="s">
        <v>4060</v>
      </c>
      <c r="C25" t="s">
        <v>4059</v>
      </c>
      <c r="D25" t="s">
        <v>354</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31">
        <v>0.01</v>
      </c>
    </row>
    <row r="26" spans="1:33">
      <c r="A26" t="s">
        <v>543</v>
      </c>
      <c r="B26" t="s">
        <v>4058</v>
      </c>
      <c r="C26" t="s">
        <v>4057</v>
      </c>
      <c r="D26" t="s">
        <v>354</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31">
        <v>0.01</v>
      </c>
    </row>
    <row r="27" spans="1:33">
      <c r="A27" t="s">
        <v>345</v>
      </c>
      <c r="B27" t="s">
        <v>4056</v>
      </c>
      <c r="C27" t="s">
        <v>4055</v>
      </c>
      <c r="D27" t="s">
        <v>354</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31">
        <v>5.0000000000000001E-3</v>
      </c>
    </row>
    <row r="28" spans="1:33">
      <c r="A28" t="s">
        <v>346</v>
      </c>
      <c r="B28" t="s">
        <v>4054</v>
      </c>
      <c r="C28" t="s">
        <v>4053</v>
      </c>
      <c r="D28" t="s">
        <v>354</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31">
        <v>7.0000000000000001E-3</v>
      </c>
    </row>
    <row r="29" spans="1:33">
      <c r="A29" t="s">
        <v>213</v>
      </c>
      <c r="B29" t="s">
        <v>4052</v>
      </c>
      <c r="C29" t="s">
        <v>4051</v>
      </c>
      <c r="D29" t="s">
        <v>354</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31">
        <v>-7.0000000000000001E-3</v>
      </c>
    </row>
    <row r="30" spans="1:33">
      <c r="A30" t="s">
        <v>212</v>
      </c>
      <c r="B30" t="s">
        <v>4050</v>
      </c>
      <c r="C30" t="s">
        <v>4049</v>
      </c>
      <c r="D30" t="s">
        <v>354</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31">
        <v>8.9999999999999993E-3</v>
      </c>
    </row>
    <row r="31" spans="1:33">
      <c r="A31" t="s">
        <v>281</v>
      </c>
      <c r="B31" t="s">
        <v>4048</v>
      </c>
      <c r="C31" t="s">
        <v>4047</v>
      </c>
      <c r="D31" t="s">
        <v>354</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31">
        <v>-5.0000000000000001E-3</v>
      </c>
    </row>
    <row r="32" spans="1:33">
      <c r="A32" t="s">
        <v>180</v>
      </c>
      <c r="B32" t="s">
        <v>4046</v>
      </c>
      <c r="C32" t="s">
        <v>4045</v>
      </c>
      <c r="D32" t="s">
        <v>354</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31">
        <v>-1E-3</v>
      </c>
    </row>
    <row r="33" spans="1:33">
      <c r="A33" t="s">
        <v>346</v>
      </c>
      <c r="B33" t="s">
        <v>4044</v>
      </c>
      <c r="C33" t="s">
        <v>4043</v>
      </c>
      <c r="D33" t="s">
        <v>354</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31">
        <v>-3.0000000000000001E-3</v>
      </c>
    </row>
    <row r="34" spans="1:33">
      <c r="A34" t="s">
        <v>347</v>
      </c>
      <c r="B34" t="s">
        <v>4042</v>
      </c>
      <c r="C34" t="s">
        <v>4041</v>
      </c>
      <c r="D34" t="s">
        <v>354</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31">
        <v>1.0999999999999999E-2</v>
      </c>
    </row>
    <row r="35" spans="1:33">
      <c r="A35" t="s">
        <v>339</v>
      </c>
      <c r="B35" t="s">
        <v>4040</v>
      </c>
      <c r="C35" t="s">
        <v>4039</v>
      </c>
      <c r="D35" t="s">
        <v>354</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31">
        <v>1.2999999999999999E-2</v>
      </c>
    </row>
    <row r="36" spans="1:33">
      <c r="A36" t="s">
        <v>338</v>
      </c>
      <c r="B36" t="s">
        <v>4038</v>
      </c>
      <c r="C36" t="s">
        <v>4037</v>
      </c>
      <c r="D36" t="s">
        <v>354</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31">
        <v>1.2999999999999999E-2</v>
      </c>
    </row>
    <row r="37" spans="1:33">
      <c r="A37" t="s">
        <v>348</v>
      </c>
      <c r="B37" t="s">
        <v>4036</v>
      </c>
      <c r="C37" t="s">
        <v>4035</v>
      </c>
      <c r="D37" t="s">
        <v>354</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31">
        <v>8.9999999999999993E-3</v>
      </c>
    </row>
    <row r="38" spans="1:33">
      <c r="A38" t="s">
        <v>282</v>
      </c>
      <c r="B38" t="s">
        <v>4034</v>
      </c>
      <c r="C38" t="s">
        <v>3238</v>
      </c>
      <c r="D38" t="s">
        <v>354</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31">
        <v>0</v>
      </c>
    </row>
    <row r="39" spans="1:33">
      <c r="A39" t="s">
        <v>283</v>
      </c>
      <c r="B39" t="s">
        <v>4033</v>
      </c>
      <c r="C39" t="s">
        <v>3240</v>
      </c>
      <c r="D39" t="s">
        <v>354</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31">
        <v>-4.0000000000000001E-3</v>
      </c>
    </row>
    <row r="40" spans="1:33">
      <c r="A40" t="s">
        <v>1143</v>
      </c>
      <c r="B40" t="s">
        <v>4032</v>
      </c>
      <c r="C40" t="s">
        <v>3242</v>
      </c>
      <c r="D40" t="s">
        <v>354</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31">
        <v>3.6999999999999998E-2</v>
      </c>
    </row>
    <row r="41" spans="1:33">
      <c r="A41" t="s">
        <v>278</v>
      </c>
      <c r="B41" t="s">
        <v>4031</v>
      </c>
      <c r="C41" t="s">
        <v>4030</v>
      </c>
      <c r="D41" t="s">
        <v>354</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31">
        <v>2E-3</v>
      </c>
    </row>
    <row r="42" spans="1:33">
      <c r="A42" t="s">
        <v>321</v>
      </c>
      <c r="B42" t="s">
        <v>4029</v>
      </c>
      <c r="C42" t="s">
        <v>4028</v>
      </c>
      <c r="D42" t="s">
        <v>354</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31">
        <v>2E-3</v>
      </c>
    </row>
    <row r="43" spans="1:33">
      <c r="A43" t="s">
        <v>315</v>
      </c>
      <c r="B43" t="s">
        <v>4027</v>
      </c>
      <c r="C43" t="s">
        <v>4026</v>
      </c>
      <c r="D43" t="s">
        <v>354</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117</v>
      </c>
    </row>
    <row r="44" spans="1:33">
      <c r="A44" t="s">
        <v>322</v>
      </c>
      <c r="B44" t="s">
        <v>4025</v>
      </c>
      <c r="C44" t="s">
        <v>4024</v>
      </c>
      <c r="D44" t="s">
        <v>354</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31">
        <v>2E-3</v>
      </c>
    </row>
    <row r="45" spans="1:33">
      <c r="A45" t="s">
        <v>193</v>
      </c>
      <c r="B45" t="s">
        <v>4023</v>
      </c>
      <c r="C45" t="s">
        <v>4022</v>
      </c>
      <c r="D45" t="s">
        <v>354</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31">
        <v>-3.0000000000000001E-3</v>
      </c>
    </row>
    <row r="46" spans="1:33">
      <c r="A46" t="s">
        <v>194</v>
      </c>
    </row>
    <row r="47" spans="1:33">
      <c r="A47" t="s">
        <v>304</v>
      </c>
      <c r="B47" t="s">
        <v>4021</v>
      </c>
      <c r="C47" t="s">
        <v>4020</v>
      </c>
      <c r="D47" t="s">
        <v>354</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31">
        <v>-8.9999999999999993E-3</v>
      </c>
    </row>
    <row r="48" spans="1:33">
      <c r="A48" t="s">
        <v>305</v>
      </c>
      <c r="B48" t="s">
        <v>4019</v>
      </c>
      <c r="C48" t="s">
        <v>4018</v>
      </c>
      <c r="D48" t="s">
        <v>354</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31">
        <v>-4.4999999999999998E-2</v>
      </c>
    </row>
    <row r="49" spans="1:33">
      <c r="A49" t="s">
        <v>327</v>
      </c>
      <c r="B49" t="s">
        <v>4017</v>
      </c>
      <c r="C49" t="s">
        <v>4016</v>
      </c>
      <c r="D49" t="s">
        <v>354</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31">
        <v>-6.0000000000000001E-3</v>
      </c>
    </row>
    <row r="50" spans="1:33">
      <c r="A50" t="s">
        <v>349</v>
      </c>
      <c r="B50" t="s">
        <v>4015</v>
      </c>
      <c r="C50" t="s">
        <v>4014</v>
      </c>
      <c r="D50" t="s">
        <v>354</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31">
        <v>8.0000000000000002E-3</v>
      </c>
    </row>
    <row r="51" spans="1:33">
      <c r="A51" t="s">
        <v>315</v>
      </c>
      <c r="B51" t="s">
        <v>4013</v>
      </c>
      <c r="C51" t="s">
        <v>4012</v>
      </c>
      <c r="D51" t="s">
        <v>354</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31">
        <v>5.0000000000000001E-3</v>
      </c>
    </row>
    <row r="52" spans="1:33">
      <c r="A52" t="s">
        <v>320</v>
      </c>
      <c r="B52" t="s">
        <v>4011</v>
      </c>
      <c r="C52" t="s">
        <v>4010</v>
      </c>
      <c r="D52" t="s">
        <v>354</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31">
        <v>0</v>
      </c>
    </row>
    <row r="53" spans="1:33">
      <c r="A53" t="s">
        <v>308</v>
      </c>
      <c r="B53" t="s">
        <v>4009</v>
      </c>
      <c r="C53" t="s">
        <v>4008</v>
      </c>
      <c r="D53" t="s">
        <v>354</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31">
        <v>-0.01</v>
      </c>
    </row>
    <row r="54" spans="1:33">
      <c r="A54" t="s">
        <v>282</v>
      </c>
      <c r="B54" t="s">
        <v>4007</v>
      </c>
      <c r="C54" t="s">
        <v>4006</v>
      </c>
      <c r="D54" t="s">
        <v>354</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31">
        <v>0</v>
      </c>
    </row>
    <row r="55" spans="1:33">
      <c r="A55" t="s">
        <v>350</v>
      </c>
      <c r="B55" t="s">
        <v>4005</v>
      </c>
      <c r="C55" t="s">
        <v>4004</v>
      </c>
      <c r="D55" t="s">
        <v>354</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31">
        <v>-5.0000000000000001E-3</v>
      </c>
    </row>
    <row r="56" spans="1:33">
      <c r="A56" t="s">
        <v>309</v>
      </c>
      <c r="B56" t="s">
        <v>4003</v>
      </c>
      <c r="C56" t="s">
        <v>4002</v>
      </c>
      <c r="D56" t="s">
        <v>354</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31">
        <v>0.10299999999999999</v>
      </c>
    </row>
    <row r="57" spans="1:33">
      <c r="A57" t="s">
        <v>307</v>
      </c>
      <c r="B57" t="s">
        <v>4001</v>
      </c>
      <c r="C57" t="s">
        <v>4000</v>
      </c>
      <c r="D57" t="s">
        <v>354</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31">
        <v>2.9000000000000001E-2</v>
      </c>
    </row>
    <row r="58" spans="1:33">
      <c r="A58" t="s">
        <v>310</v>
      </c>
      <c r="B58" t="s">
        <v>3999</v>
      </c>
      <c r="C58" t="s">
        <v>3998</v>
      </c>
      <c r="D58" t="s">
        <v>354</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31">
        <v>-4.4999999999999998E-2</v>
      </c>
    </row>
    <row r="59" spans="1:33">
      <c r="A59" t="s">
        <v>283</v>
      </c>
      <c r="B59" t="s">
        <v>3239</v>
      </c>
      <c r="C59" t="s">
        <v>3240</v>
      </c>
      <c r="D59" t="s">
        <v>354</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31">
        <v>-4.0000000000000001E-3</v>
      </c>
    </row>
    <row r="60" spans="1:33">
      <c r="A60" t="s">
        <v>1143</v>
      </c>
      <c r="B60" t="s">
        <v>3241</v>
      </c>
      <c r="C60" t="s">
        <v>3242</v>
      </c>
      <c r="D60" t="s">
        <v>354</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31">
        <v>3.6999999999999998E-2</v>
      </c>
    </row>
    <row r="61" spans="1:33">
      <c r="A61" t="s">
        <v>195</v>
      </c>
      <c r="B61" t="s">
        <v>3997</v>
      </c>
      <c r="C61" t="s">
        <v>3244</v>
      </c>
      <c r="D61" t="s">
        <v>354</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31">
        <v>-3.0000000000000001E-3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BD420-1224-4FA0-B842-E652FFF64278}">
  <dimension ref="A1:AH96"/>
  <sheetViews>
    <sheetView workbookViewId="0"/>
  </sheetViews>
  <sheetFormatPr defaultRowHeight="15"/>
  <cols>
    <col min="1" max="1" width="21.42578125" customWidth="1"/>
    <col min="2" max="2" width="39.28515625" customWidth="1"/>
    <col min="3" max="3" width="89.85546875" bestFit="1" customWidth="1"/>
  </cols>
  <sheetData>
    <row r="1" spans="2:34">
      <c r="B1" t="s">
        <v>301</v>
      </c>
    </row>
    <row r="2" spans="2:34">
      <c r="B2" t="s">
        <v>3061</v>
      </c>
    </row>
    <row r="3" spans="2:34">
      <c r="B3" t="s">
        <v>3062</v>
      </c>
    </row>
    <row r="4" spans="2:34">
      <c r="B4" t="s">
        <v>302</v>
      </c>
    </row>
    <row r="5" spans="2:34">
      <c r="C5" t="s">
        <v>303</v>
      </c>
      <c r="D5" t="s">
        <v>351</v>
      </c>
      <c r="E5" t="s">
        <v>352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c r="AH5" t="s">
        <v>2808</v>
      </c>
    </row>
    <row r="6" spans="2:34">
      <c r="B6" t="s">
        <v>276</v>
      </c>
      <c r="C6" t="s">
        <v>3063</v>
      </c>
      <c r="D6" t="s">
        <v>3064</v>
      </c>
      <c r="E6" t="s">
        <v>354</v>
      </c>
      <c r="G6">
        <v>15264.655273</v>
      </c>
      <c r="H6">
        <v>15318.793944999999</v>
      </c>
      <c r="I6">
        <v>15263.795898</v>
      </c>
      <c r="J6">
        <v>15137.205078000001</v>
      </c>
      <c r="K6">
        <v>14977.219727</v>
      </c>
      <c r="L6">
        <v>14792.021484000001</v>
      </c>
      <c r="M6">
        <v>14586.776367</v>
      </c>
      <c r="N6">
        <v>14410.759765999999</v>
      </c>
      <c r="O6">
        <v>14212.753906</v>
      </c>
      <c r="P6">
        <v>14032.136719</v>
      </c>
      <c r="Q6">
        <v>13876.546875</v>
      </c>
      <c r="R6">
        <v>13716.935546999999</v>
      </c>
      <c r="S6">
        <v>13531.819336</v>
      </c>
      <c r="T6">
        <v>13355.208984000001</v>
      </c>
      <c r="U6">
        <v>13213.083984000001</v>
      </c>
      <c r="V6">
        <v>13074.737305000001</v>
      </c>
      <c r="W6">
        <v>12960.390625</v>
      </c>
      <c r="X6">
        <v>12861.575194999999</v>
      </c>
      <c r="Y6">
        <v>12746.392578000001</v>
      </c>
      <c r="Z6">
        <v>12672.746094</v>
      </c>
      <c r="AA6">
        <v>12583.179688</v>
      </c>
      <c r="AB6">
        <v>12516.974609000001</v>
      </c>
      <c r="AC6">
        <v>12440.612305000001</v>
      </c>
      <c r="AD6">
        <v>12393.320312</v>
      </c>
      <c r="AE6">
        <v>12311.716796999999</v>
      </c>
      <c r="AF6">
        <v>12264.786133</v>
      </c>
      <c r="AG6">
        <v>12255.930664</v>
      </c>
      <c r="AH6" s="31">
        <v>-8.0000000000000002E-3</v>
      </c>
    </row>
    <row r="7" spans="2:34">
      <c r="B7" t="s">
        <v>304</v>
      </c>
      <c r="C7" t="s">
        <v>3065</v>
      </c>
      <c r="D7" t="s">
        <v>3066</v>
      </c>
      <c r="E7" t="s">
        <v>354</v>
      </c>
      <c r="G7">
        <v>15082.832031</v>
      </c>
      <c r="H7">
        <v>15102.086914</v>
      </c>
      <c r="I7">
        <v>15001.700194999999</v>
      </c>
      <c r="J7">
        <v>14826.172852</v>
      </c>
      <c r="K7">
        <v>14611.696289</v>
      </c>
      <c r="L7">
        <v>14370.883789</v>
      </c>
      <c r="M7">
        <v>14109.580078000001</v>
      </c>
      <c r="N7">
        <v>13886.185546999999</v>
      </c>
      <c r="O7">
        <v>13640.148438</v>
      </c>
      <c r="P7">
        <v>13418.370117</v>
      </c>
      <c r="Q7">
        <v>13220.600586</v>
      </c>
      <c r="R7">
        <v>13020.751953000001</v>
      </c>
      <c r="S7">
        <v>12794.552734000001</v>
      </c>
      <c r="T7">
        <v>12576.742188</v>
      </c>
      <c r="U7">
        <v>12394.092773</v>
      </c>
      <c r="V7">
        <v>12215.558594</v>
      </c>
      <c r="W7">
        <v>12062.521484000001</v>
      </c>
      <c r="X7">
        <v>11926.910156</v>
      </c>
      <c r="Y7">
        <v>11776.866211</v>
      </c>
      <c r="Z7">
        <v>11670.566406</v>
      </c>
      <c r="AA7">
        <v>11550.738281</v>
      </c>
      <c r="AB7">
        <v>11456.912109000001</v>
      </c>
      <c r="AC7">
        <v>11354.418944999999</v>
      </c>
      <c r="AD7">
        <v>11282.190430000001</v>
      </c>
      <c r="AE7">
        <v>11177.411133</v>
      </c>
      <c r="AF7">
        <v>11107.422852</v>
      </c>
      <c r="AG7">
        <v>11075.950194999999</v>
      </c>
      <c r="AH7" s="31">
        <v>-1.2E-2</v>
      </c>
    </row>
    <row r="8" spans="2:34">
      <c r="B8" t="s">
        <v>305</v>
      </c>
      <c r="C8" t="s">
        <v>3067</v>
      </c>
      <c r="D8" t="s">
        <v>3068</v>
      </c>
      <c r="E8" t="s">
        <v>354</v>
      </c>
      <c r="G8">
        <v>36.493248000000001</v>
      </c>
      <c r="H8">
        <v>35.324047</v>
      </c>
      <c r="I8">
        <v>33.054344</v>
      </c>
      <c r="J8">
        <v>30.216524</v>
      </c>
      <c r="K8">
        <v>29.000741999999999</v>
      </c>
      <c r="L8">
        <v>27.631107</v>
      </c>
      <c r="M8">
        <v>26.088915</v>
      </c>
      <c r="N8">
        <v>23.857711999999999</v>
      </c>
      <c r="O8">
        <v>21.977796999999999</v>
      </c>
      <c r="P8">
        <v>20.037936999999999</v>
      </c>
      <c r="Q8">
        <v>18.306711</v>
      </c>
      <c r="R8">
        <v>16.690548</v>
      </c>
      <c r="S8">
        <v>15.190678</v>
      </c>
      <c r="T8">
        <v>14.10623</v>
      </c>
      <c r="U8">
        <v>12.678630999999999</v>
      </c>
      <c r="V8">
        <v>11.868214</v>
      </c>
      <c r="W8">
        <v>11.293405999999999</v>
      </c>
      <c r="X8">
        <v>10.778375</v>
      </c>
      <c r="Y8">
        <v>10.287208</v>
      </c>
      <c r="Z8">
        <v>9.9186230000000002</v>
      </c>
      <c r="AA8">
        <v>9.7976939999999999</v>
      </c>
      <c r="AB8">
        <v>9.2459539999999993</v>
      </c>
      <c r="AC8">
        <v>9.049213</v>
      </c>
      <c r="AD8">
        <v>9.1681340000000002</v>
      </c>
      <c r="AE8">
        <v>8.9579869999999993</v>
      </c>
      <c r="AF8">
        <v>8.7842780000000005</v>
      </c>
      <c r="AG8">
        <v>8.5644519999999993</v>
      </c>
      <c r="AH8" s="31">
        <v>-5.3999999999999999E-2</v>
      </c>
    </row>
    <row r="9" spans="2:34">
      <c r="B9" t="s">
        <v>306</v>
      </c>
      <c r="C9" t="s">
        <v>3069</v>
      </c>
      <c r="D9" t="s">
        <v>3070</v>
      </c>
      <c r="E9" t="s">
        <v>354</v>
      </c>
      <c r="G9">
        <v>87.055556999999993</v>
      </c>
      <c r="H9">
        <v>95.813736000000006</v>
      </c>
      <c r="I9">
        <v>104.507935</v>
      </c>
      <c r="J9">
        <v>111.845032</v>
      </c>
      <c r="K9">
        <v>118.39093800000001</v>
      </c>
      <c r="L9">
        <v>125.015457</v>
      </c>
      <c r="M9">
        <v>128.80909700000001</v>
      </c>
      <c r="N9">
        <v>132.43237300000001</v>
      </c>
      <c r="O9">
        <v>135.511551</v>
      </c>
      <c r="P9">
        <v>137.266876</v>
      </c>
      <c r="Q9">
        <v>139.63299599999999</v>
      </c>
      <c r="R9">
        <v>141.013901</v>
      </c>
      <c r="S9">
        <v>142.85320999999999</v>
      </c>
      <c r="T9">
        <v>144.476776</v>
      </c>
      <c r="U9">
        <v>146.03744499999999</v>
      </c>
      <c r="V9">
        <v>147.20349100000001</v>
      </c>
      <c r="W9">
        <v>147.97177099999999</v>
      </c>
      <c r="X9">
        <v>148.60348500000001</v>
      </c>
      <c r="Y9">
        <v>149.49903900000001</v>
      </c>
      <c r="Z9">
        <v>149.937286</v>
      </c>
      <c r="AA9">
        <v>149.69160500000001</v>
      </c>
      <c r="AB9">
        <v>149.08166499999999</v>
      </c>
      <c r="AC9">
        <v>148.949219</v>
      </c>
      <c r="AD9">
        <v>148.95747399999999</v>
      </c>
      <c r="AE9">
        <v>148.59544399999999</v>
      </c>
      <c r="AF9">
        <v>148.537384</v>
      </c>
      <c r="AG9">
        <v>148.52256800000001</v>
      </c>
      <c r="AH9" s="31">
        <v>2.1000000000000001E-2</v>
      </c>
    </row>
    <row r="10" spans="2:34">
      <c r="B10" t="s">
        <v>307</v>
      </c>
      <c r="C10" t="s">
        <v>3071</v>
      </c>
      <c r="D10" t="s">
        <v>3072</v>
      </c>
      <c r="E10" t="s">
        <v>354</v>
      </c>
      <c r="G10">
        <v>0.66039800000000004</v>
      </c>
      <c r="H10">
        <v>0.60518499999999997</v>
      </c>
      <c r="I10">
        <v>0.54915499999999995</v>
      </c>
      <c r="J10">
        <v>0.49468299999999998</v>
      </c>
      <c r="K10">
        <v>0.454592</v>
      </c>
      <c r="L10">
        <v>0.42900500000000003</v>
      </c>
      <c r="M10">
        <v>0.39121800000000001</v>
      </c>
      <c r="N10">
        <v>0.353904</v>
      </c>
      <c r="O10">
        <v>0.32100000000000001</v>
      </c>
      <c r="P10">
        <v>0.29277500000000001</v>
      </c>
      <c r="Q10">
        <v>0.265233</v>
      </c>
      <c r="R10">
        <v>0.20321700000000001</v>
      </c>
      <c r="S10">
        <v>0.180974</v>
      </c>
      <c r="T10">
        <v>0.167022</v>
      </c>
      <c r="U10">
        <v>0.153364</v>
      </c>
      <c r="V10">
        <v>0.14274700000000001</v>
      </c>
      <c r="W10">
        <v>0.133997</v>
      </c>
      <c r="X10">
        <v>0.125782</v>
      </c>
      <c r="Y10">
        <v>0.118071</v>
      </c>
      <c r="Z10">
        <v>0.11083800000000001</v>
      </c>
      <c r="AA10">
        <v>0.104047</v>
      </c>
      <c r="AB10">
        <v>9.7719E-2</v>
      </c>
      <c r="AC10">
        <v>9.1732999999999995E-2</v>
      </c>
      <c r="AD10">
        <v>8.6113999999999996E-2</v>
      </c>
      <c r="AE10">
        <v>8.0839999999999995E-2</v>
      </c>
      <c r="AF10">
        <v>7.5889999999999999E-2</v>
      </c>
      <c r="AG10">
        <v>7.1244000000000002E-2</v>
      </c>
      <c r="AH10" s="31">
        <v>-8.2000000000000003E-2</v>
      </c>
    </row>
    <row r="11" spans="2:34">
      <c r="B11" t="s">
        <v>308</v>
      </c>
      <c r="C11" t="s">
        <v>3073</v>
      </c>
      <c r="D11" t="s">
        <v>3074</v>
      </c>
      <c r="E11" t="s">
        <v>354</v>
      </c>
      <c r="G11">
        <v>0.63888999999999996</v>
      </c>
      <c r="H11">
        <v>0.577901</v>
      </c>
      <c r="I11">
        <v>0.51927299999999998</v>
      </c>
      <c r="J11">
        <v>0.47898499999999999</v>
      </c>
      <c r="K11">
        <v>0.44590800000000003</v>
      </c>
      <c r="L11">
        <v>0.41668899999999998</v>
      </c>
      <c r="M11">
        <v>0.38909300000000002</v>
      </c>
      <c r="N11">
        <v>0.364006</v>
      </c>
      <c r="O11">
        <v>0.33676899999999999</v>
      </c>
      <c r="P11">
        <v>0.31163999999999997</v>
      </c>
      <c r="Q11">
        <v>0.29238500000000001</v>
      </c>
      <c r="R11">
        <v>0.274588</v>
      </c>
      <c r="S11">
        <v>0.25867400000000002</v>
      </c>
      <c r="T11">
        <v>0.24304400000000001</v>
      </c>
      <c r="U11">
        <v>0.22870599999999999</v>
      </c>
      <c r="V11">
        <v>0.215165</v>
      </c>
      <c r="W11">
        <v>0.201597</v>
      </c>
      <c r="X11">
        <v>0.18818499999999999</v>
      </c>
      <c r="Y11">
        <v>0.17565600000000001</v>
      </c>
      <c r="Z11">
        <v>0.16469400000000001</v>
      </c>
      <c r="AA11">
        <v>0.154083</v>
      </c>
      <c r="AB11">
        <v>0.14483299999999999</v>
      </c>
      <c r="AC11">
        <v>0.13509199999999999</v>
      </c>
      <c r="AD11">
        <v>0.126557</v>
      </c>
      <c r="AE11">
        <v>0.118808</v>
      </c>
      <c r="AF11">
        <v>0.11133899999999999</v>
      </c>
      <c r="AG11">
        <v>0.105409</v>
      </c>
      <c r="AH11" s="31">
        <v>-6.7000000000000004E-2</v>
      </c>
    </row>
    <row r="12" spans="2:34">
      <c r="B12" t="s">
        <v>309</v>
      </c>
      <c r="C12" t="s">
        <v>3075</v>
      </c>
      <c r="D12" t="s">
        <v>3076</v>
      </c>
      <c r="E12" t="s">
        <v>354</v>
      </c>
      <c r="G12">
        <v>56.573005999999999</v>
      </c>
      <c r="H12">
        <v>83.956969999999998</v>
      </c>
      <c r="I12">
        <v>123.025932</v>
      </c>
      <c r="J12">
        <v>167.55509900000001</v>
      </c>
      <c r="K12">
        <v>216.78942900000001</v>
      </c>
      <c r="L12">
        <v>267.21673600000003</v>
      </c>
      <c r="M12">
        <v>321.101562</v>
      </c>
      <c r="N12">
        <v>367.16476399999999</v>
      </c>
      <c r="O12">
        <v>414.07318099999998</v>
      </c>
      <c r="P12">
        <v>455.49417099999999</v>
      </c>
      <c r="Q12">
        <v>497.10797100000002</v>
      </c>
      <c r="R12">
        <v>537.68353300000001</v>
      </c>
      <c r="S12">
        <v>578.48742700000003</v>
      </c>
      <c r="T12">
        <v>619.20111099999997</v>
      </c>
      <c r="U12">
        <v>659.64343299999996</v>
      </c>
      <c r="V12">
        <v>699.52166699999998</v>
      </c>
      <c r="W12">
        <v>738.06237799999997</v>
      </c>
      <c r="X12">
        <v>774.78204300000004</v>
      </c>
      <c r="Y12">
        <v>809.27581799999996</v>
      </c>
      <c r="Z12">
        <v>841.89172399999995</v>
      </c>
      <c r="AA12">
        <v>872.54925500000002</v>
      </c>
      <c r="AB12">
        <v>901.35949700000003</v>
      </c>
      <c r="AC12">
        <v>927.84582499999999</v>
      </c>
      <c r="AD12">
        <v>952.67511000000002</v>
      </c>
      <c r="AE12">
        <v>976.43872099999999</v>
      </c>
      <c r="AF12">
        <v>999.74530000000004</v>
      </c>
      <c r="AG12">
        <v>1022.609863</v>
      </c>
      <c r="AH12" s="31">
        <v>0.11799999999999999</v>
      </c>
    </row>
    <row r="13" spans="2:34">
      <c r="B13" t="s">
        <v>310</v>
      </c>
      <c r="C13" t="s">
        <v>3077</v>
      </c>
      <c r="D13" t="s">
        <v>3078</v>
      </c>
      <c r="E13" t="s">
        <v>354</v>
      </c>
      <c r="G13">
        <v>0.40270299999999998</v>
      </c>
      <c r="H13">
        <v>0.428566</v>
      </c>
      <c r="I13">
        <v>0.438523</v>
      </c>
      <c r="J13">
        <v>0.44270799999999999</v>
      </c>
      <c r="K13">
        <v>0.44139400000000001</v>
      </c>
      <c r="L13">
        <v>0.42853200000000002</v>
      </c>
      <c r="M13">
        <v>0.41623500000000002</v>
      </c>
      <c r="N13">
        <v>0.40165200000000001</v>
      </c>
      <c r="O13">
        <v>0.38442700000000002</v>
      </c>
      <c r="P13">
        <v>0.362952</v>
      </c>
      <c r="Q13">
        <v>0.34098000000000001</v>
      </c>
      <c r="R13">
        <v>0.31870199999999999</v>
      </c>
      <c r="S13">
        <v>0.29588700000000001</v>
      </c>
      <c r="T13">
        <v>0.272922</v>
      </c>
      <c r="U13">
        <v>0.250058</v>
      </c>
      <c r="V13">
        <v>0.22815199999999999</v>
      </c>
      <c r="W13">
        <v>0.207236</v>
      </c>
      <c r="X13">
        <v>0.18687400000000001</v>
      </c>
      <c r="Y13">
        <v>0.170434</v>
      </c>
      <c r="Z13">
        <v>0.155837</v>
      </c>
      <c r="AA13">
        <v>0.14472299999999999</v>
      </c>
      <c r="AB13">
        <v>0.13236999999999999</v>
      </c>
      <c r="AC13">
        <v>0.123225</v>
      </c>
      <c r="AD13">
        <v>0.116811</v>
      </c>
      <c r="AE13">
        <v>0.112998</v>
      </c>
      <c r="AF13">
        <v>0.10956299999999999</v>
      </c>
      <c r="AG13">
        <v>0.10698199999999999</v>
      </c>
      <c r="AH13" s="31">
        <v>-0.05</v>
      </c>
    </row>
    <row r="14" spans="2:34">
      <c r="B14" t="s">
        <v>311</v>
      </c>
      <c r="C14" t="s">
        <v>3079</v>
      </c>
      <c r="D14" t="s">
        <v>3080</v>
      </c>
      <c r="E14" t="s">
        <v>354</v>
      </c>
      <c r="G14">
        <v>874.37518299999999</v>
      </c>
      <c r="H14">
        <v>855.73950200000002</v>
      </c>
      <c r="I14">
        <v>839.740723</v>
      </c>
      <c r="J14">
        <v>829.06280500000003</v>
      </c>
      <c r="K14">
        <v>817.03814699999998</v>
      </c>
      <c r="L14">
        <v>806.52307099999996</v>
      </c>
      <c r="M14">
        <v>797.05285600000002</v>
      </c>
      <c r="N14">
        <v>786.66845699999999</v>
      </c>
      <c r="O14">
        <v>776.01849400000003</v>
      </c>
      <c r="P14">
        <v>765.74780299999998</v>
      </c>
      <c r="Q14">
        <v>755.152649</v>
      </c>
      <c r="R14">
        <v>744.23339799999997</v>
      </c>
      <c r="S14">
        <v>733.15368699999999</v>
      </c>
      <c r="T14">
        <v>721.99127199999998</v>
      </c>
      <c r="U14">
        <v>710.85888699999998</v>
      </c>
      <c r="V14">
        <v>699.93121299999996</v>
      </c>
      <c r="W14">
        <v>689.72308299999997</v>
      </c>
      <c r="X14">
        <v>678.65417500000001</v>
      </c>
      <c r="Y14">
        <v>668.12085000000002</v>
      </c>
      <c r="Z14">
        <v>657.26190199999996</v>
      </c>
      <c r="AA14">
        <v>646.87323000000004</v>
      </c>
      <c r="AB14">
        <v>636.53192100000001</v>
      </c>
      <c r="AC14">
        <v>626.424622</v>
      </c>
      <c r="AD14">
        <v>616.49578899999995</v>
      </c>
      <c r="AE14">
        <v>606.53204300000004</v>
      </c>
      <c r="AF14">
        <v>596.60644500000001</v>
      </c>
      <c r="AG14">
        <v>586.682861</v>
      </c>
      <c r="AH14" s="31">
        <v>-1.4999999999999999E-2</v>
      </c>
    </row>
    <row r="15" spans="2:34">
      <c r="B15" t="s">
        <v>304</v>
      </c>
      <c r="C15" t="s">
        <v>3081</v>
      </c>
      <c r="D15" t="s">
        <v>3082</v>
      </c>
      <c r="E15" t="s">
        <v>354</v>
      </c>
      <c r="G15">
        <v>608.84582499999999</v>
      </c>
      <c r="H15">
        <v>602.34234600000002</v>
      </c>
      <c r="I15">
        <v>598.57141100000001</v>
      </c>
      <c r="J15">
        <v>598.02734399999997</v>
      </c>
      <c r="K15">
        <v>597.05413799999997</v>
      </c>
      <c r="L15">
        <v>597.51867700000003</v>
      </c>
      <c r="M15">
        <v>597.57959000000005</v>
      </c>
      <c r="N15">
        <v>597.26855499999999</v>
      </c>
      <c r="O15">
        <v>596.43859899999995</v>
      </c>
      <c r="P15">
        <v>595.41339100000005</v>
      </c>
      <c r="Q15">
        <v>593.97943099999998</v>
      </c>
      <c r="R15">
        <v>591.838257</v>
      </c>
      <c r="S15">
        <v>588.94305399999996</v>
      </c>
      <c r="T15">
        <v>585.04077099999995</v>
      </c>
      <c r="U15">
        <v>580.45666500000004</v>
      </c>
      <c r="V15">
        <v>575.171021</v>
      </c>
      <c r="W15">
        <v>569.657104</v>
      </c>
      <c r="X15">
        <v>563.30285600000002</v>
      </c>
      <c r="Y15">
        <v>556.67156999999997</v>
      </c>
      <c r="Z15">
        <v>549.21490500000004</v>
      </c>
      <c r="AA15">
        <v>541.86505099999999</v>
      </c>
      <c r="AB15">
        <v>534.24523899999997</v>
      </c>
      <c r="AC15">
        <v>526.59002699999996</v>
      </c>
      <c r="AD15">
        <v>518.82629399999996</v>
      </c>
      <c r="AE15">
        <v>510.98663299999998</v>
      </c>
      <c r="AF15">
        <v>503.05392499999999</v>
      </c>
      <c r="AG15">
        <v>495.19235200000003</v>
      </c>
      <c r="AH15" s="31">
        <v>-8.0000000000000002E-3</v>
      </c>
    </row>
    <row r="16" spans="2:34">
      <c r="B16" t="s">
        <v>305</v>
      </c>
      <c r="C16" t="s">
        <v>3083</v>
      </c>
      <c r="D16" t="s">
        <v>3084</v>
      </c>
      <c r="E16" t="s">
        <v>354</v>
      </c>
      <c r="G16">
        <v>3.3636499999999998</v>
      </c>
      <c r="H16">
        <v>3.4067470000000002</v>
      </c>
      <c r="I16">
        <v>3.3543240000000001</v>
      </c>
      <c r="J16">
        <v>3.2885390000000001</v>
      </c>
      <c r="K16">
        <v>3.3905889999999999</v>
      </c>
      <c r="L16">
        <v>3.5174259999999999</v>
      </c>
      <c r="M16">
        <v>3.61917</v>
      </c>
      <c r="N16">
        <v>3.6108020000000001</v>
      </c>
      <c r="O16">
        <v>3.6295920000000002</v>
      </c>
      <c r="P16">
        <v>3.659923</v>
      </c>
      <c r="Q16">
        <v>3.6371609999999999</v>
      </c>
      <c r="R16">
        <v>3.6421950000000001</v>
      </c>
      <c r="S16">
        <v>3.6528450000000001</v>
      </c>
      <c r="T16">
        <v>3.7175240000000001</v>
      </c>
      <c r="U16">
        <v>3.6814689999999999</v>
      </c>
      <c r="V16">
        <v>3.7555809999999998</v>
      </c>
      <c r="W16">
        <v>3.8101099999999999</v>
      </c>
      <c r="X16">
        <v>3.8497219999999999</v>
      </c>
      <c r="Y16">
        <v>3.878349</v>
      </c>
      <c r="Z16">
        <v>3.8791020000000001</v>
      </c>
      <c r="AA16">
        <v>3.9045179999999999</v>
      </c>
      <c r="AB16">
        <v>3.919181</v>
      </c>
      <c r="AC16">
        <v>3.9340229999999998</v>
      </c>
      <c r="AD16">
        <v>3.9450240000000001</v>
      </c>
      <c r="AE16">
        <v>3.9532989999999999</v>
      </c>
      <c r="AF16">
        <v>3.9519769999999999</v>
      </c>
      <c r="AG16">
        <v>3.920096</v>
      </c>
      <c r="AH16" s="31">
        <v>6.0000000000000001E-3</v>
      </c>
    </row>
    <row r="17" spans="2:34">
      <c r="B17" t="s">
        <v>306</v>
      </c>
      <c r="C17" t="s">
        <v>3085</v>
      </c>
      <c r="D17" t="s">
        <v>3086</v>
      </c>
      <c r="E17" t="s">
        <v>354</v>
      </c>
      <c r="G17">
        <v>259.73095699999999</v>
      </c>
      <c r="H17">
        <v>246.746262</v>
      </c>
      <c r="I17">
        <v>233.65933200000001</v>
      </c>
      <c r="J17">
        <v>222.639511</v>
      </c>
      <c r="K17">
        <v>210.52593999999999</v>
      </c>
      <c r="L17">
        <v>198.44125399999999</v>
      </c>
      <c r="M17">
        <v>187.82809399999999</v>
      </c>
      <c r="N17">
        <v>176.83654799999999</v>
      </c>
      <c r="O17">
        <v>165.995453</v>
      </c>
      <c r="P17">
        <v>155.707672</v>
      </c>
      <c r="Q17">
        <v>145.472443</v>
      </c>
      <c r="R17">
        <v>135.48971599999999</v>
      </c>
      <c r="S17">
        <v>125.976921</v>
      </c>
      <c r="T17">
        <v>117.19341300000001</v>
      </c>
      <c r="U17">
        <v>109.041771</v>
      </c>
      <c r="V17">
        <v>101.510696</v>
      </c>
      <c r="W17">
        <v>94.802504999999996</v>
      </c>
      <c r="X17">
        <v>87.939010999999994</v>
      </c>
      <c r="Y17">
        <v>81.827179000000001</v>
      </c>
      <c r="Z17">
        <v>76.176422000000002</v>
      </c>
      <c r="AA17">
        <v>70.805824000000001</v>
      </c>
      <c r="AB17">
        <v>65.785888999999997</v>
      </c>
      <c r="AC17">
        <v>61.069122</v>
      </c>
      <c r="AD17">
        <v>56.668498999999997</v>
      </c>
      <c r="AE17">
        <v>52.409759999999999</v>
      </c>
      <c r="AF17">
        <v>48.369202000000001</v>
      </c>
      <c r="AG17">
        <v>44.395896999999998</v>
      </c>
      <c r="AH17" s="31">
        <v>-6.6000000000000003E-2</v>
      </c>
    </row>
    <row r="18" spans="2:34">
      <c r="B18" t="s">
        <v>308</v>
      </c>
      <c r="C18" t="s">
        <v>3087</v>
      </c>
      <c r="D18" t="s">
        <v>3088</v>
      </c>
      <c r="E18" t="s">
        <v>354</v>
      </c>
      <c r="G18">
        <v>1.0250000000000001E-3</v>
      </c>
      <c r="H18">
        <v>1.3290000000000001E-3</v>
      </c>
      <c r="I18">
        <v>1.686E-3</v>
      </c>
      <c r="J18">
        <v>2.0939999999999999E-3</v>
      </c>
      <c r="K18">
        <v>2.506E-3</v>
      </c>
      <c r="L18">
        <v>2.9390000000000002E-3</v>
      </c>
      <c r="M18">
        <v>3.359E-3</v>
      </c>
      <c r="N18">
        <v>3.686E-3</v>
      </c>
      <c r="O18">
        <v>4.0039999999999997E-3</v>
      </c>
      <c r="P18">
        <v>4.2830000000000003E-3</v>
      </c>
      <c r="Q18">
        <v>4.5339999999999998E-3</v>
      </c>
      <c r="R18">
        <v>4.7619999999999997E-3</v>
      </c>
      <c r="S18">
        <v>4.9760000000000004E-3</v>
      </c>
      <c r="T18">
        <v>5.1679999999999999E-3</v>
      </c>
      <c r="U18">
        <v>5.3449999999999999E-3</v>
      </c>
      <c r="V18">
        <v>5.5059999999999996E-3</v>
      </c>
      <c r="W18">
        <v>5.6420000000000003E-3</v>
      </c>
      <c r="X18">
        <v>5.7540000000000004E-3</v>
      </c>
      <c r="Y18">
        <v>5.8479999999999999E-3</v>
      </c>
      <c r="Z18">
        <v>5.9199999999999999E-3</v>
      </c>
      <c r="AA18">
        <v>5.9769999999999997E-3</v>
      </c>
      <c r="AB18">
        <v>6.019E-3</v>
      </c>
      <c r="AC18">
        <v>6.0489999999999997E-3</v>
      </c>
      <c r="AD18">
        <v>6.0699999999999999E-3</v>
      </c>
      <c r="AE18">
        <v>6.0790000000000002E-3</v>
      </c>
      <c r="AF18">
        <v>6.0800000000000003E-3</v>
      </c>
      <c r="AG18">
        <v>6.0730000000000003E-3</v>
      </c>
      <c r="AH18" s="31">
        <v>7.0999999999999994E-2</v>
      </c>
    </row>
    <row r="19" spans="2:34">
      <c r="B19" t="s">
        <v>307</v>
      </c>
      <c r="C19" t="s">
        <v>3089</v>
      </c>
      <c r="D19" t="s">
        <v>3090</v>
      </c>
      <c r="E19" t="s">
        <v>354</v>
      </c>
      <c r="G19">
        <v>1.3639239999999999</v>
      </c>
      <c r="H19">
        <v>1.6967699999999999</v>
      </c>
      <c r="I19">
        <v>2.1010930000000001</v>
      </c>
      <c r="J19">
        <v>2.5268730000000001</v>
      </c>
      <c r="K19">
        <v>2.9791289999999999</v>
      </c>
      <c r="L19">
        <v>3.5089809999999999</v>
      </c>
      <c r="M19">
        <v>4.0691170000000003</v>
      </c>
      <c r="N19">
        <v>4.5565810000000004</v>
      </c>
      <c r="O19">
        <v>5.0722300000000002</v>
      </c>
      <c r="P19">
        <v>5.5800280000000004</v>
      </c>
      <c r="Q19">
        <v>6.1040279999999996</v>
      </c>
      <c r="R19">
        <v>6.6120320000000001</v>
      </c>
      <c r="S19">
        <v>7.1249989999999999</v>
      </c>
      <c r="T19">
        <v>7.669187</v>
      </c>
      <c r="U19">
        <v>8.2990139999999997</v>
      </c>
      <c r="V19">
        <v>9.0218489999999996</v>
      </c>
      <c r="W19">
        <v>9.8359710000000007</v>
      </c>
      <c r="X19">
        <v>10.729393</v>
      </c>
      <c r="Y19">
        <v>11.652920999999999</v>
      </c>
      <c r="Z19">
        <v>12.597635</v>
      </c>
      <c r="AA19">
        <v>13.58042</v>
      </c>
      <c r="AB19">
        <v>14.560661</v>
      </c>
      <c r="AC19">
        <v>15.533315999999999</v>
      </c>
      <c r="AD19">
        <v>16.514008</v>
      </c>
      <c r="AE19">
        <v>17.471374999999998</v>
      </c>
      <c r="AF19">
        <v>18.412832000000002</v>
      </c>
      <c r="AG19">
        <v>19.309812999999998</v>
      </c>
      <c r="AH19" s="31">
        <v>0.107</v>
      </c>
    </row>
    <row r="20" spans="2:34">
      <c r="B20" t="s">
        <v>309</v>
      </c>
      <c r="C20" t="s">
        <v>3091</v>
      </c>
      <c r="D20" t="s">
        <v>3092</v>
      </c>
      <c r="E20" t="s">
        <v>354</v>
      </c>
      <c r="G20">
        <v>1.0697620000000001</v>
      </c>
      <c r="H20">
        <v>1.5460320000000001</v>
      </c>
      <c r="I20">
        <v>2.0528270000000002</v>
      </c>
      <c r="J20">
        <v>2.5784729999999998</v>
      </c>
      <c r="K20">
        <v>3.0858810000000001</v>
      </c>
      <c r="L20">
        <v>3.5337329999999998</v>
      </c>
      <c r="M20">
        <v>3.9535309999999999</v>
      </c>
      <c r="N20">
        <v>4.3923189999999996</v>
      </c>
      <c r="O20">
        <v>4.878654</v>
      </c>
      <c r="P20">
        <v>5.3824829999999997</v>
      </c>
      <c r="Q20">
        <v>5.9551239999999996</v>
      </c>
      <c r="R20">
        <v>6.6463650000000003</v>
      </c>
      <c r="S20">
        <v>7.4508869999999998</v>
      </c>
      <c r="T20">
        <v>8.365183</v>
      </c>
      <c r="U20">
        <v>9.3746519999999993</v>
      </c>
      <c r="V20">
        <v>10.466586</v>
      </c>
      <c r="W20">
        <v>11.611726000000001</v>
      </c>
      <c r="X20">
        <v>12.827472</v>
      </c>
      <c r="Y20">
        <v>14.085025999999999</v>
      </c>
      <c r="Z20">
        <v>15.387928</v>
      </c>
      <c r="AA20">
        <v>16.711383999999999</v>
      </c>
      <c r="AB20">
        <v>18.014876999999998</v>
      </c>
      <c r="AC20">
        <v>19.292100999999999</v>
      </c>
      <c r="AD20">
        <v>20.535923</v>
      </c>
      <c r="AE20">
        <v>21.704830000000001</v>
      </c>
      <c r="AF20">
        <v>22.812384000000002</v>
      </c>
      <c r="AG20">
        <v>23.858597</v>
      </c>
      <c r="AH20" s="31">
        <v>0.127</v>
      </c>
    </row>
    <row r="21" spans="2:34">
      <c r="B21" t="s">
        <v>310</v>
      </c>
      <c r="C21" t="s">
        <v>3093</v>
      </c>
      <c r="D21" t="s">
        <v>3094</v>
      </c>
      <c r="E21" t="s">
        <v>354</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t="s">
        <v>117</v>
      </c>
    </row>
    <row r="22" spans="2:34">
      <c r="B22" t="s">
        <v>312</v>
      </c>
      <c r="C22" t="s">
        <v>3095</v>
      </c>
      <c r="D22" t="s">
        <v>3096</v>
      </c>
      <c r="E22" t="s">
        <v>354</v>
      </c>
      <c r="G22">
        <v>6005.1274409999996</v>
      </c>
      <c r="H22">
        <v>6058.611328</v>
      </c>
      <c r="I22">
        <v>6062.5527339999999</v>
      </c>
      <c r="J22">
        <v>6052.2768550000001</v>
      </c>
      <c r="K22">
        <v>6018.6782229999999</v>
      </c>
      <c r="L22">
        <v>5988.8549800000001</v>
      </c>
      <c r="M22">
        <v>5960.1284180000002</v>
      </c>
      <c r="N22">
        <v>5923.4799800000001</v>
      </c>
      <c r="O22">
        <v>5889.1928710000002</v>
      </c>
      <c r="P22">
        <v>5851.3447269999997</v>
      </c>
      <c r="Q22">
        <v>5821.859375</v>
      </c>
      <c r="R22">
        <v>5796.4853519999997</v>
      </c>
      <c r="S22">
        <v>5783.0722660000001</v>
      </c>
      <c r="T22">
        <v>5777.6474609999996</v>
      </c>
      <c r="U22">
        <v>5775.5737300000001</v>
      </c>
      <c r="V22">
        <v>5770.5004879999997</v>
      </c>
      <c r="W22">
        <v>5770.6040039999998</v>
      </c>
      <c r="X22">
        <v>5771.0673829999996</v>
      </c>
      <c r="Y22">
        <v>5774.9716799999997</v>
      </c>
      <c r="Z22">
        <v>5776.5786129999997</v>
      </c>
      <c r="AA22">
        <v>5777.7495120000003</v>
      </c>
      <c r="AB22">
        <v>5784.5151370000003</v>
      </c>
      <c r="AC22">
        <v>5789.783203</v>
      </c>
      <c r="AD22">
        <v>5816.3759769999997</v>
      </c>
      <c r="AE22">
        <v>5843.7739259999998</v>
      </c>
      <c r="AF22">
        <v>5867.5810549999997</v>
      </c>
      <c r="AG22">
        <v>5884.5639650000003</v>
      </c>
      <c r="AH22" s="31">
        <v>-1E-3</v>
      </c>
    </row>
    <row r="23" spans="2:34">
      <c r="B23" t="s">
        <v>313</v>
      </c>
      <c r="C23" t="s">
        <v>3097</v>
      </c>
      <c r="D23" t="s">
        <v>3098</v>
      </c>
      <c r="E23" t="s">
        <v>354</v>
      </c>
      <c r="G23">
        <v>682.64904799999999</v>
      </c>
      <c r="H23">
        <v>696.67846699999996</v>
      </c>
      <c r="I23">
        <v>706.45770300000004</v>
      </c>
      <c r="J23">
        <v>715.23767099999998</v>
      </c>
      <c r="K23">
        <v>725.20898399999999</v>
      </c>
      <c r="L23">
        <v>740.442139</v>
      </c>
      <c r="M23">
        <v>759.80108600000005</v>
      </c>
      <c r="N23">
        <v>781.30432099999996</v>
      </c>
      <c r="O23">
        <v>805.93072500000005</v>
      </c>
      <c r="P23">
        <v>832.13165300000003</v>
      </c>
      <c r="Q23">
        <v>860.34063700000002</v>
      </c>
      <c r="R23">
        <v>888.86492899999996</v>
      </c>
      <c r="S23">
        <v>918.140625</v>
      </c>
      <c r="T23">
        <v>947.66625999999997</v>
      </c>
      <c r="U23">
        <v>976.79376200000002</v>
      </c>
      <c r="V23">
        <v>1005.037659</v>
      </c>
      <c r="W23">
        <v>1032.881592</v>
      </c>
      <c r="X23">
        <v>1058.080078</v>
      </c>
      <c r="Y23">
        <v>1081.025513</v>
      </c>
      <c r="Z23">
        <v>1100.698486</v>
      </c>
      <c r="AA23">
        <v>1118.5776370000001</v>
      </c>
      <c r="AB23">
        <v>1136.2543949999999</v>
      </c>
      <c r="AC23">
        <v>1152.5543210000001</v>
      </c>
      <c r="AD23">
        <v>1171.06665</v>
      </c>
      <c r="AE23">
        <v>1187.4848629999999</v>
      </c>
      <c r="AF23">
        <v>1201.6254879999999</v>
      </c>
      <c r="AG23">
        <v>1213.2468260000001</v>
      </c>
      <c r="AH23" s="31">
        <v>2.1999999999999999E-2</v>
      </c>
    </row>
    <row r="24" spans="2:34">
      <c r="B24" t="s">
        <v>306</v>
      </c>
      <c r="C24" t="s">
        <v>3099</v>
      </c>
      <c r="D24" t="s">
        <v>3100</v>
      </c>
      <c r="E24" t="s">
        <v>354</v>
      </c>
      <c r="G24">
        <v>5262.0546880000002</v>
      </c>
      <c r="H24">
        <v>5295.5166019999997</v>
      </c>
      <c r="I24">
        <v>5284.3710940000001</v>
      </c>
      <c r="J24">
        <v>5261.173828</v>
      </c>
      <c r="K24">
        <v>5214.8681640000004</v>
      </c>
      <c r="L24">
        <v>5167.3994140000004</v>
      </c>
      <c r="M24">
        <v>5117.4399409999996</v>
      </c>
      <c r="N24">
        <v>5057.9794920000004</v>
      </c>
      <c r="O24">
        <v>4997.7973629999997</v>
      </c>
      <c r="P24">
        <v>4932.8691410000001</v>
      </c>
      <c r="Q24">
        <v>4873.9633789999998</v>
      </c>
      <c r="R24">
        <v>4818.3222660000001</v>
      </c>
      <c r="S24">
        <v>4773.3173829999996</v>
      </c>
      <c r="T24">
        <v>4735.3779299999997</v>
      </c>
      <c r="U24">
        <v>4700.5795900000003</v>
      </c>
      <c r="V24">
        <v>4663.09375</v>
      </c>
      <c r="W24">
        <v>4630.2001950000003</v>
      </c>
      <c r="X24">
        <v>4599.0820309999999</v>
      </c>
      <c r="Y24">
        <v>4572.8413090000004</v>
      </c>
      <c r="Z24">
        <v>4547.0268550000001</v>
      </c>
      <c r="AA24">
        <v>4522.3266599999997</v>
      </c>
      <c r="AB24">
        <v>4502.796875</v>
      </c>
      <c r="AC24">
        <v>4482.5249020000001</v>
      </c>
      <c r="AD24">
        <v>4479.8339839999999</v>
      </c>
      <c r="AE24">
        <v>4478.9736329999996</v>
      </c>
      <c r="AF24">
        <v>4475.9814450000003</v>
      </c>
      <c r="AG24">
        <v>4467.7338870000003</v>
      </c>
      <c r="AH24" s="31">
        <v>-6.0000000000000001E-3</v>
      </c>
    </row>
    <row r="25" spans="2:34">
      <c r="B25" t="s">
        <v>307</v>
      </c>
      <c r="C25" t="s">
        <v>3101</v>
      </c>
      <c r="D25" t="s">
        <v>3102</v>
      </c>
      <c r="E25" t="s">
        <v>354</v>
      </c>
      <c r="G25">
        <v>55.106686000000003</v>
      </c>
      <c r="H25">
        <v>60.266616999999997</v>
      </c>
      <c r="I25">
        <v>64.839827999999997</v>
      </c>
      <c r="J25">
        <v>68.349625000000003</v>
      </c>
      <c r="K25">
        <v>70.525550999999993</v>
      </c>
      <c r="L25">
        <v>72.469809999999995</v>
      </c>
      <c r="M25">
        <v>73.923186999999999</v>
      </c>
      <c r="N25">
        <v>74.768660999999994</v>
      </c>
      <c r="O25">
        <v>75.424942000000001</v>
      </c>
      <c r="P25">
        <v>75.820374000000001</v>
      </c>
      <c r="Q25">
        <v>76.349898999999994</v>
      </c>
      <c r="R25">
        <v>77.040145999999993</v>
      </c>
      <c r="S25">
        <v>77.877280999999996</v>
      </c>
      <c r="T25">
        <v>79.043143999999998</v>
      </c>
      <c r="U25">
        <v>80.450858999999994</v>
      </c>
      <c r="V25">
        <v>82.033744999999996</v>
      </c>
      <c r="W25">
        <v>84.148926000000003</v>
      </c>
      <c r="X25">
        <v>86.843947999999997</v>
      </c>
      <c r="Y25">
        <v>89.839264</v>
      </c>
      <c r="Z25">
        <v>92.977112000000005</v>
      </c>
      <c r="AA25">
        <v>96.314857000000003</v>
      </c>
      <c r="AB25">
        <v>100.060036</v>
      </c>
      <c r="AC25">
        <v>104.284363</v>
      </c>
      <c r="AD25">
        <v>109.62687699999999</v>
      </c>
      <c r="AE25">
        <v>115.90031399999999</v>
      </c>
      <c r="AF25">
        <v>122.995178</v>
      </c>
      <c r="AG25">
        <v>131.06424000000001</v>
      </c>
      <c r="AH25" s="31">
        <v>3.4000000000000002E-2</v>
      </c>
    </row>
    <row r="26" spans="2:34">
      <c r="B26" t="s">
        <v>308</v>
      </c>
      <c r="C26" t="s">
        <v>3103</v>
      </c>
      <c r="D26" t="s">
        <v>3104</v>
      </c>
      <c r="E26" t="s">
        <v>354</v>
      </c>
      <c r="G26">
        <v>1.63686</v>
      </c>
      <c r="H26">
        <v>1.8039179999999999</v>
      </c>
      <c r="I26">
        <v>1.9553450000000001</v>
      </c>
      <c r="J26">
        <v>2.095329</v>
      </c>
      <c r="K26">
        <v>2.202966</v>
      </c>
      <c r="L26">
        <v>2.2743500000000001</v>
      </c>
      <c r="M26">
        <v>2.341685</v>
      </c>
      <c r="N26">
        <v>2.3793389999999999</v>
      </c>
      <c r="O26">
        <v>2.4041060000000001</v>
      </c>
      <c r="P26">
        <v>2.4123800000000002</v>
      </c>
      <c r="Q26">
        <v>2.4138890000000002</v>
      </c>
      <c r="R26">
        <v>2.405564</v>
      </c>
      <c r="S26">
        <v>2.395575</v>
      </c>
      <c r="T26">
        <v>2.3836390000000001</v>
      </c>
      <c r="U26">
        <v>2.3738160000000001</v>
      </c>
      <c r="V26">
        <v>2.3633470000000001</v>
      </c>
      <c r="W26">
        <v>2.356134</v>
      </c>
      <c r="X26">
        <v>2.346463</v>
      </c>
      <c r="Y26">
        <v>2.3374450000000002</v>
      </c>
      <c r="Z26">
        <v>2.3282379999999998</v>
      </c>
      <c r="AA26">
        <v>2.3202970000000001</v>
      </c>
      <c r="AB26">
        <v>2.3174630000000001</v>
      </c>
      <c r="AC26">
        <v>2.3153820000000001</v>
      </c>
      <c r="AD26">
        <v>2.323302</v>
      </c>
      <c r="AE26">
        <v>2.3276080000000001</v>
      </c>
      <c r="AF26">
        <v>2.3246549999999999</v>
      </c>
      <c r="AG26">
        <v>2.3222160000000001</v>
      </c>
      <c r="AH26" s="31">
        <v>1.4E-2</v>
      </c>
    </row>
    <row r="27" spans="2:34">
      <c r="B27" t="s">
        <v>305</v>
      </c>
      <c r="C27" t="s">
        <v>3105</v>
      </c>
      <c r="D27" t="s">
        <v>3106</v>
      </c>
      <c r="E27" t="s">
        <v>354</v>
      </c>
      <c r="G27">
        <v>1.4276580000000001</v>
      </c>
      <c r="H27">
        <v>1.318281</v>
      </c>
      <c r="I27">
        <v>1.1735040000000001</v>
      </c>
      <c r="J27">
        <v>1.023695</v>
      </c>
      <c r="K27">
        <v>0.946716</v>
      </c>
      <c r="L27">
        <v>0.89150200000000002</v>
      </c>
      <c r="M27">
        <v>0.83629500000000001</v>
      </c>
      <c r="N27">
        <v>0.763683</v>
      </c>
      <c r="O27">
        <v>0.70567800000000003</v>
      </c>
      <c r="P27">
        <v>0.65266599999999997</v>
      </c>
      <c r="Q27">
        <v>0.59577599999999997</v>
      </c>
      <c r="R27">
        <v>0.54799399999999998</v>
      </c>
      <c r="S27">
        <v>0.50356299999999998</v>
      </c>
      <c r="T27">
        <v>0.46726000000000001</v>
      </c>
      <c r="U27">
        <v>0.42045199999999999</v>
      </c>
      <c r="V27">
        <v>0.38884400000000002</v>
      </c>
      <c r="W27">
        <v>0.357379</v>
      </c>
      <c r="X27">
        <v>0.32849600000000001</v>
      </c>
      <c r="Y27">
        <v>0.30108299999999999</v>
      </c>
      <c r="Z27">
        <v>0.27498400000000001</v>
      </c>
      <c r="AA27">
        <v>0.25062299999999998</v>
      </c>
      <c r="AB27">
        <v>0.22716500000000001</v>
      </c>
      <c r="AC27">
        <v>0.20371</v>
      </c>
      <c r="AD27">
        <v>0.18196599999999999</v>
      </c>
      <c r="AE27">
        <v>0.15764400000000001</v>
      </c>
      <c r="AF27">
        <v>0.13266900000000001</v>
      </c>
      <c r="AG27">
        <v>0.106854</v>
      </c>
      <c r="AH27" s="31">
        <v>-9.5000000000000001E-2</v>
      </c>
    </row>
    <row r="28" spans="2:34">
      <c r="B28" t="s">
        <v>309</v>
      </c>
      <c r="C28" t="s">
        <v>3107</v>
      </c>
      <c r="D28" t="s">
        <v>3108</v>
      </c>
      <c r="E28" t="s">
        <v>354</v>
      </c>
      <c r="G28">
        <v>2.2528419999999998</v>
      </c>
      <c r="H28">
        <v>3.0272250000000001</v>
      </c>
      <c r="I28">
        <v>3.7554750000000001</v>
      </c>
      <c r="J28">
        <v>4.3965420000000002</v>
      </c>
      <c r="K28">
        <v>4.9255509999999996</v>
      </c>
      <c r="L28">
        <v>5.3774040000000003</v>
      </c>
      <c r="M28">
        <v>5.785533</v>
      </c>
      <c r="N28">
        <v>6.2847600000000003</v>
      </c>
      <c r="O28">
        <v>6.9303150000000002</v>
      </c>
      <c r="P28">
        <v>7.4577920000000004</v>
      </c>
      <c r="Q28">
        <v>8.1955190000000009</v>
      </c>
      <c r="R28">
        <v>9.3046340000000001</v>
      </c>
      <c r="S28">
        <v>10.838058</v>
      </c>
      <c r="T28">
        <v>12.709625000000001</v>
      </c>
      <c r="U28">
        <v>14.955209</v>
      </c>
      <c r="V28">
        <v>17.583475</v>
      </c>
      <c r="W28">
        <v>20.659679000000001</v>
      </c>
      <c r="X28">
        <v>24.386471</v>
      </c>
      <c r="Y28">
        <v>28.626867000000001</v>
      </c>
      <c r="Z28">
        <v>33.272857999999999</v>
      </c>
      <c r="AA28">
        <v>37.959400000000002</v>
      </c>
      <c r="AB28">
        <v>42.859276000000001</v>
      </c>
      <c r="AC28">
        <v>47.901051000000002</v>
      </c>
      <c r="AD28">
        <v>53.343429999999998</v>
      </c>
      <c r="AE28">
        <v>58.929783</v>
      </c>
      <c r="AF28">
        <v>64.521468999999996</v>
      </c>
      <c r="AG28">
        <v>70.089607000000001</v>
      </c>
      <c r="AH28" s="31">
        <v>0.14099999999999999</v>
      </c>
    </row>
    <row r="29" spans="2:34">
      <c r="B29" t="s">
        <v>310</v>
      </c>
      <c r="C29" t="s">
        <v>3109</v>
      </c>
      <c r="D29" t="s">
        <v>3110</v>
      </c>
      <c r="E29" t="s">
        <v>354</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t="s">
        <v>117</v>
      </c>
    </row>
    <row r="30" spans="2:34">
      <c r="B30" t="s">
        <v>314</v>
      </c>
      <c r="C30" t="s">
        <v>3111</v>
      </c>
      <c r="D30" t="s">
        <v>3112</v>
      </c>
      <c r="E30" t="s">
        <v>354</v>
      </c>
      <c r="G30">
        <v>434.230682</v>
      </c>
      <c r="H30">
        <v>443.75869799999998</v>
      </c>
      <c r="I30">
        <v>432.581299</v>
      </c>
      <c r="J30">
        <v>417.75234999999998</v>
      </c>
      <c r="K30">
        <v>417.42465199999998</v>
      </c>
      <c r="L30">
        <v>415.93777499999999</v>
      </c>
      <c r="M30">
        <v>403.47412100000003</v>
      </c>
      <c r="N30">
        <v>403.17804000000001</v>
      </c>
      <c r="O30">
        <v>383.83212300000002</v>
      </c>
      <c r="P30">
        <v>385.30667099999999</v>
      </c>
      <c r="Q30">
        <v>381.27539100000001</v>
      </c>
      <c r="R30">
        <v>381.04003899999998</v>
      </c>
      <c r="S30">
        <v>382.19842499999999</v>
      </c>
      <c r="T30">
        <v>383.73739599999999</v>
      </c>
      <c r="U30">
        <v>388.55950899999999</v>
      </c>
      <c r="V30">
        <v>385.72473100000002</v>
      </c>
      <c r="W30">
        <v>387.17019699999997</v>
      </c>
      <c r="X30">
        <v>387.33422899999999</v>
      </c>
      <c r="Y30">
        <v>388.97726399999999</v>
      </c>
      <c r="Z30">
        <v>390.85006700000002</v>
      </c>
      <c r="AA30">
        <v>391.76263399999999</v>
      </c>
      <c r="AB30">
        <v>392.73843399999998</v>
      </c>
      <c r="AC30">
        <v>392.65093999999999</v>
      </c>
      <c r="AD30">
        <v>396.48129299999999</v>
      </c>
      <c r="AE30">
        <v>399.58117700000003</v>
      </c>
      <c r="AF30">
        <v>402.097534</v>
      </c>
      <c r="AG30">
        <v>402.97448700000001</v>
      </c>
      <c r="AH30" s="31">
        <v>-3.0000000000000001E-3</v>
      </c>
    </row>
    <row r="31" spans="2:34">
      <c r="B31" t="s">
        <v>306</v>
      </c>
      <c r="C31" t="s">
        <v>3113</v>
      </c>
      <c r="D31" t="s">
        <v>3114</v>
      </c>
      <c r="E31" t="s">
        <v>354</v>
      </c>
      <c r="G31">
        <v>434.230682</v>
      </c>
      <c r="H31">
        <v>443.75869799999998</v>
      </c>
      <c r="I31">
        <v>432.581299</v>
      </c>
      <c r="J31">
        <v>417.75234999999998</v>
      </c>
      <c r="K31">
        <v>417.42465199999998</v>
      </c>
      <c r="L31">
        <v>415.93777499999999</v>
      </c>
      <c r="M31">
        <v>403.47412100000003</v>
      </c>
      <c r="N31">
        <v>403.17804000000001</v>
      </c>
      <c r="O31">
        <v>383.83212300000002</v>
      </c>
      <c r="P31">
        <v>385.30667099999999</v>
      </c>
      <c r="Q31">
        <v>381.27539100000001</v>
      </c>
      <c r="R31">
        <v>381.04003899999998</v>
      </c>
      <c r="S31">
        <v>382.19842499999999</v>
      </c>
      <c r="T31">
        <v>383.73739599999999</v>
      </c>
      <c r="U31">
        <v>388.55950899999999</v>
      </c>
      <c r="V31">
        <v>385.72473100000002</v>
      </c>
      <c r="W31">
        <v>387.17019699999997</v>
      </c>
      <c r="X31">
        <v>387.33422899999999</v>
      </c>
      <c r="Y31">
        <v>388.97726399999999</v>
      </c>
      <c r="Z31">
        <v>390.85006700000002</v>
      </c>
      <c r="AA31">
        <v>391.76263399999999</v>
      </c>
      <c r="AB31">
        <v>392.73843399999998</v>
      </c>
      <c r="AC31">
        <v>392.65093999999999</v>
      </c>
      <c r="AD31">
        <v>396.48129299999999</v>
      </c>
      <c r="AE31">
        <v>399.58117700000003</v>
      </c>
      <c r="AF31">
        <v>402.097534</v>
      </c>
      <c r="AG31">
        <v>402.97448700000001</v>
      </c>
      <c r="AH31" s="31">
        <v>-3.0000000000000001E-3</v>
      </c>
    </row>
    <row r="32" spans="2:34">
      <c r="B32" t="s">
        <v>315</v>
      </c>
      <c r="C32" t="s">
        <v>3115</v>
      </c>
      <c r="D32" t="s">
        <v>3116</v>
      </c>
      <c r="E32" t="s">
        <v>354</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t="s">
        <v>117</v>
      </c>
    </row>
    <row r="33" spans="2:34">
      <c r="B33" t="s">
        <v>316</v>
      </c>
      <c r="C33" t="s">
        <v>3117</v>
      </c>
      <c r="D33" t="s">
        <v>3118</v>
      </c>
      <c r="E33" t="s">
        <v>354</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t="s">
        <v>117</v>
      </c>
    </row>
    <row r="34" spans="2:34">
      <c r="B34" t="s">
        <v>317</v>
      </c>
      <c r="C34" t="s">
        <v>3119</v>
      </c>
      <c r="D34" t="s">
        <v>3120</v>
      </c>
      <c r="E34" t="s">
        <v>354</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t="s">
        <v>117</v>
      </c>
    </row>
    <row r="35" spans="2:34">
      <c r="B35" t="s">
        <v>213</v>
      </c>
      <c r="C35" t="s">
        <v>3121</v>
      </c>
      <c r="D35" t="s">
        <v>3122</v>
      </c>
      <c r="E35" t="s">
        <v>354</v>
      </c>
      <c r="G35">
        <v>94.440971000000005</v>
      </c>
      <c r="H35">
        <v>95.330078</v>
      </c>
      <c r="I35">
        <v>94.566444000000004</v>
      </c>
      <c r="J35">
        <v>93.798164</v>
      </c>
      <c r="K35">
        <v>93.107506000000001</v>
      </c>
      <c r="L35">
        <v>92.339127000000005</v>
      </c>
      <c r="M35">
        <v>91.480575999999999</v>
      </c>
      <c r="N35">
        <v>90.543334999999999</v>
      </c>
      <c r="O35">
        <v>89.462424999999996</v>
      </c>
      <c r="P35">
        <v>88.707656999999998</v>
      </c>
      <c r="Q35">
        <v>88.034156999999993</v>
      </c>
      <c r="R35">
        <v>87.319710000000001</v>
      </c>
      <c r="S35">
        <v>86.579650999999998</v>
      </c>
      <c r="T35">
        <v>85.944571999999994</v>
      </c>
      <c r="U35">
        <v>85.341614000000007</v>
      </c>
      <c r="V35">
        <v>84.675208999999995</v>
      </c>
      <c r="W35">
        <v>84.112099000000001</v>
      </c>
      <c r="X35">
        <v>83.540062000000006</v>
      </c>
      <c r="Y35">
        <v>82.973929999999996</v>
      </c>
      <c r="Z35">
        <v>82.355484000000004</v>
      </c>
      <c r="AA35">
        <v>81.679946999999999</v>
      </c>
      <c r="AB35">
        <v>81.034569000000005</v>
      </c>
      <c r="AC35">
        <v>80.382202000000007</v>
      </c>
      <c r="AD35">
        <v>79.953879999999998</v>
      </c>
      <c r="AE35">
        <v>79.430321000000006</v>
      </c>
      <c r="AF35">
        <v>78.866470000000007</v>
      </c>
      <c r="AG35">
        <v>78.277953999999994</v>
      </c>
      <c r="AH35" s="31">
        <v>-7.0000000000000001E-3</v>
      </c>
    </row>
    <row r="36" spans="2:34">
      <c r="B36" t="s">
        <v>306</v>
      </c>
      <c r="C36" t="s">
        <v>3123</v>
      </c>
      <c r="D36" t="s">
        <v>3124</v>
      </c>
      <c r="E36" t="s">
        <v>354</v>
      </c>
      <c r="G36">
        <v>92.332252999999994</v>
      </c>
      <c r="H36">
        <v>93.278983999999994</v>
      </c>
      <c r="I36">
        <v>92.539314000000005</v>
      </c>
      <c r="J36">
        <v>91.795044000000004</v>
      </c>
      <c r="K36">
        <v>91.125641000000002</v>
      </c>
      <c r="L36">
        <v>90.379990000000006</v>
      </c>
      <c r="M36">
        <v>89.546463000000003</v>
      </c>
      <c r="N36">
        <v>88.635925</v>
      </c>
      <c r="O36">
        <v>87.584746999999993</v>
      </c>
      <c r="P36">
        <v>86.852417000000003</v>
      </c>
      <c r="Q36">
        <v>86.199318000000005</v>
      </c>
      <c r="R36">
        <v>85.505904999999998</v>
      </c>
      <c r="S36">
        <v>84.786452999999995</v>
      </c>
      <c r="T36">
        <v>84.170158000000001</v>
      </c>
      <c r="U36">
        <v>83.586044000000001</v>
      </c>
      <c r="V36">
        <v>82.940169999999995</v>
      </c>
      <c r="W36">
        <v>82.351212000000004</v>
      </c>
      <c r="X36">
        <v>81.693588000000005</v>
      </c>
      <c r="Y36">
        <v>81.036438000000004</v>
      </c>
      <c r="Z36">
        <v>80.322616999999994</v>
      </c>
      <c r="AA36">
        <v>79.547393999999997</v>
      </c>
      <c r="AB36">
        <v>78.795531999999994</v>
      </c>
      <c r="AC36">
        <v>78.030472000000003</v>
      </c>
      <c r="AD36">
        <v>77.475707999999997</v>
      </c>
      <c r="AE36">
        <v>76.820853999999997</v>
      </c>
      <c r="AF36">
        <v>76.119011</v>
      </c>
      <c r="AG36">
        <v>75.385009999999994</v>
      </c>
      <c r="AH36" s="31">
        <v>-8.0000000000000002E-3</v>
      </c>
    </row>
    <row r="37" spans="2:34">
      <c r="B37" t="s">
        <v>318</v>
      </c>
      <c r="C37" t="s">
        <v>3125</v>
      </c>
      <c r="D37" t="s">
        <v>3126</v>
      </c>
      <c r="E37" t="s">
        <v>354</v>
      </c>
      <c r="G37">
        <v>1.3822049999999999</v>
      </c>
      <c r="H37">
        <v>1.2632559999999999</v>
      </c>
      <c r="I37">
        <v>1.198018</v>
      </c>
      <c r="J37">
        <v>1.1309709999999999</v>
      </c>
      <c r="K37">
        <v>1.0674129999999999</v>
      </c>
      <c r="L37">
        <v>1.0042279999999999</v>
      </c>
      <c r="M37">
        <v>0.937581</v>
      </c>
      <c r="N37">
        <v>0.868587</v>
      </c>
      <c r="O37">
        <v>0.80069400000000002</v>
      </c>
      <c r="P37">
        <v>0.73563800000000001</v>
      </c>
      <c r="Q37">
        <v>0.673956</v>
      </c>
      <c r="R37">
        <v>0.61449699999999996</v>
      </c>
      <c r="S37">
        <v>0.56326799999999999</v>
      </c>
      <c r="T37">
        <v>0.50884700000000005</v>
      </c>
      <c r="U37">
        <v>0.44785000000000003</v>
      </c>
      <c r="V37">
        <v>0.38284099999999999</v>
      </c>
      <c r="W37">
        <v>0.32558700000000002</v>
      </c>
      <c r="X37">
        <v>0.32329599999999997</v>
      </c>
      <c r="Y37">
        <v>0.321021</v>
      </c>
      <c r="Z37">
        <v>0.31855600000000001</v>
      </c>
      <c r="AA37">
        <v>0.31585600000000003</v>
      </c>
      <c r="AB37">
        <v>0.31325799999999998</v>
      </c>
      <c r="AC37">
        <v>0.310612</v>
      </c>
      <c r="AD37">
        <v>0.30888199999999999</v>
      </c>
      <c r="AE37">
        <v>0.306782</v>
      </c>
      <c r="AF37">
        <v>0.30452499999999999</v>
      </c>
      <c r="AG37">
        <v>0.302176</v>
      </c>
      <c r="AH37" s="31">
        <v>-5.7000000000000002E-2</v>
      </c>
    </row>
    <row r="38" spans="2:34">
      <c r="B38" t="s">
        <v>316</v>
      </c>
      <c r="C38" t="s">
        <v>3127</v>
      </c>
      <c r="D38" t="s">
        <v>3128</v>
      </c>
      <c r="E38" t="s">
        <v>354</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t="s">
        <v>117</v>
      </c>
    </row>
    <row r="39" spans="2:34">
      <c r="B39" t="s">
        <v>317</v>
      </c>
      <c r="C39" t="s">
        <v>3129</v>
      </c>
      <c r="D39" t="s">
        <v>3130</v>
      </c>
      <c r="E39" t="s">
        <v>354</v>
      </c>
      <c r="G39">
        <v>0.72651399999999999</v>
      </c>
      <c r="H39">
        <v>0.78784500000000002</v>
      </c>
      <c r="I39">
        <v>0.82910799999999996</v>
      </c>
      <c r="J39">
        <v>0.87214700000000001</v>
      </c>
      <c r="K39">
        <v>0.91445100000000001</v>
      </c>
      <c r="L39">
        <v>0.95491099999999995</v>
      </c>
      <c r="M39">
        <v>0.99653099999999994</v>
      </c>
      <c r="N39">
        <v>1.038818</v>
      </c>
      <c r="O39">
        <v>1.0769789999999999</v>
      </c>
      <c r="P39">
        <v>1.119599</v>
      </c>
      <c r="Q39">
        <v>1.1608780000000001</v>
      </c>
      <c r="R39">
        <v>1.199308</v>
      </c>
      <c r="S39">
        <v>1.229924</v>
      </c>
      <c r="T39">
        <v>1.2655670000000001</v>
      </c>
      <c r="U39">
        <v>1.3077129999999999</v>
      </c>
      <c r="V39">
        <v>1.352198</v>
      </c>
      <c r="W39">
        <v>1.4353050000000001</v>
      </c>
      <c r="X39">
        <v>1.5231779999999999</v>
      </c>
      <c r="Y39">
        <v>1.616471</v>
      </c>
      <c r="Z39">
        <v>1.7143079999999999</v>
      </c>
      <c r="AA39">
        <v>1.8166960000000001</v>
      </c>
      <c r="AB39">
        <v>1.9257839999999999</v>
      </c>
      <c r="AC39">
        <v>2.0411160000000002</v>
      </c>
      <c r="AD39">
        <v>2.1692900000000002</v>
      </c>
      <c r="AE39">
        <v>2.3026849999999999</v>
      </c>
      <c r="AF39">
        <v>2.44293</v>
      </c>
      <c r="AG39">
        <v>2.590767</v>
      </c>
      <c r="AH39" s="31">
        <v>0.05</v>
      </c>
    </row>
    <row r="40" spans="2:34">
      <c r="B40" t="s">
        <v>212</v>
      </c>
      <c r="C40" t="s">
        <v>3131</v>
      </c>
      <c r="D40" t="s">
        <v>3132</v>
      </c>
      <c r="E40" t="s">
        <v>354</v>
      </c>
      <c r="G40">
        <v>752.11914100000001</v>
      </c>
      <c r="H40">
        <v>733.38183600000002</v>
      </c>
      <c r="I40">
        <v>741.75500499999998</v>
      </c>
      <c r="J40">
        <v>755.32031199999994</v>
      </c>
      <c r="K40">
        <v>766.29522699999995</v>
      </c>
      <c r="L40">
        <v>778.19598399999995</v>
      </c>
      <c r="M40">
        <v>789.92559800000004</v>
      </c>
      <c r="N40">
        <v>800.55590800000004</v>
      </c>
      <c r="O40">
        <v>812.12438999999995</v>
      </c>
      <c r="P40">
        <v>823.286743</v>
      </c>
      <c r="Q40">
        <v>834.92968800000006</v>
      </c>
      <c r="R40">
        <v>844.163635</v>
      </c>
      <c r="S40">
        <v>851.84155299999998</v>
      </c>
      <c r="T40">
        <v>859.28411900000003</v>
      </c>
      <c r="U40">
        <v>865.81829800000003</v>
      </c>
      <c r="V40">
        <v>872.40655500000003</v>
      </c>
      <c r="W40">
        <v>878.26220699999999</v>
      </c>
      <c r="X40">
        <v>883.989014</v>
      </c>
      <c r="Y40">
        <v>889.83532700000001</v>
      </c>
      <c r="Z40">
        <v>895.57183799999996</v>
      </c>
      <c r="AA40">
        <v>901.092896</v>
      </c>
      <c r="AB40">
        <v>906.31549099999995</v>
      </c>
      <c r="AC40">
        <v>910.75854500000003</v>
      </c>
      <c r="AD40">
        <v>916.78363000000002</v>
      </c>
      <c r="AE40">
        <v>923.91906700000004</v>
      </c>
      <c r="AF40">
        <v>930.80413799999997</v>
      </c>
      <c r="AG40">
        <v>937.27282700000001</v>
      </c>
      <c r="AH40" s="31">
        <v>8.9999999999999993E-3</v>
      </c>
    </row>
    <row r="41" spans="2:34">
      <c r="B41" t="s">
        <v>306</v>
      </c>
      <c r="C41" t="s">
        <v>3133</v>
      </c>
      <c r="D41" t="s">
        <v>3134</v>
      </c>
      <c r="E41" t="s">
        <v>354</v>
      </c>
      <c r="G41">
        <v>195.74534600000001</v>
      </c>
      <c r="H41">
        <v>212.661835</v>
      </c>
      <c r="I41">
        <v>224.314606</v>
      </c>
      <c r="J41">
        <v>228.064087</v>
      </c>
      <c r="K41">
        <v>233.18679800000001</v>
      </c>
      <c r="L41">
        <v>235.61990399999999</v>
      </c>
      <c r="M41">
        <v>238.52423099999999</v>
      </c>
      <c r="N41">
        <v>242.35704000000001</v>
      </c>
      <c r="O41">
        <v>248.63774100000001</v>
      </c>
      <c r="P41">
        <v>254.948486</v>
      </c>
      <c r="Q41">
        <v>261.07586700000002</v>
      </c>
      <c r="R41">
        <v>263.98260499999998</v>
      </c>
      <c r="S41">
        <v>266.61132800000001</v>
      </c>
      <c r="T41">
        <v>268.03750600000001</v>
      </c>
      <c r="U41">
        <v>270.21701000000002</v>
      </c>
      <c r="V41">
        <v>272.002228</v>
      </c>
      <c r="W41">
        <v>273.95889299999999</v>
      </c>
      <c r="X41">
        <v>276.39965799999999</v>
      </c>
      <c r="Y41">
        <v>278.885986</v>
      </c>
      <c r="Z41">
        <v>280.99075299999998</v>
      </c>
      <c r="AA41">
        <v>283.009094</v>
      </c>
      <c r="AB41">
        <v>284.52014200000002</v>
      </c>
      <c r="AC41">
        <v>284.75753800000001</v>
      </c>
      <c r="AD41">
        <v>286.24276700000001</v>
      </c>
      <c r="AE41">
        <v>288.10394300000002</v>
      </c>
      <c r="AF41">
        <v>290.23345899999998</v>
      </c>
      <c r="AG41">
        <v>292.11120599999998</v>
      </c>
      <c r="AH41" s="31">
        <v>1.6E-2</v>
      </c>
    </row>
    <row r="42" spans="2:34">
      <c r="B42" t="s">
        <v>318</v>
      </c>
      <c r="C42" t="s">
        <v>3135</v>
      </c>
      <c r="D42" t="s">
        <v>3136</v>
      </c>
      <c r="E42" t="s">
        <v>354</v>
      </c>
      <c r="G42">
        <v>550.43896500000005</v>
      </c>
      <c r="H42">
        <v>514.18347200000005</v>
      </c>
      <c r="I42">
        <v>510.80633499999999</v>
      </c>
      <c r="J42">
        <v>520.583618</v>
      </c>
      <c r="K42">
        <v>526.08252000000005</v>
      </c>
      <c r="L42">
        <v>535.16064500000005</v>
      </c>
      <c r="M42">
        <v>543.52642800000001</v>
      </c>
      <c r="N42">
        <v>549.77069100000006</v>
      </c>
      <c r="O42">
        <v>554.768372</v>
      </c>
      <c r="P42">
        <v>559.316101</v>
      </c>
      <c r="Q42">
        <v>564.45159899999999</v>
      </c>
      <c r="R42">
        <v>570.71923800000002</v>
      </c>
      <c r="S42">
        <v>575.59594700000002</v>
      </c>
      <c r="T42">
        <v>581.43194600000004</v>
      </c>
      <c r="U42">
        <v>585.571777</v>
      </c>
      <c r="V42">
        <v>590.16540499999996</v>
      </c>
      <c r="W42">
        <v>593.91705300000001</v>
      </c>
      <c r="X42">
        <v>597.12823500000002</v>
      </c>
      <c r="Y42">
        <v>600.45532200000002</v>
      </c>
      <c r="Z42">
        <v>603.99230999999997</v>
      </c>
      <c r="AA42">
        <v>607.38354500000003</v>
      </c>
      <c r="AB42">
        <v>610.92431599999998</v>
      </c>
      <c r="AC42">
        <v>615.06170699999996</v>
      </c>
      <c r="AD42">
        <v>619.51269500000001</v>
      </c>
      <c r="AE42">
        <v>624.67334000000005</v>
      </c>
      <c r="AF42">
        <v>629.26171899999997</v>
      </c>
      <c r="AG42">
        <v>633.68322799999999</v>
      </c>
      <c r="AH42" s="31">
        <v>5.0000000000000001E-3</v>
      </c>
    </row>
    <row r="43" spans="2:34">
      <c r="B43" t="s">
        <v>316</v>
      </c>
      <c r="C43" t="s">
        <v>3137</v>
      </c>
      <c r="D43" t="s">
        <v>3138</v>
      </c>
      <c r="E43" t="s">
        <v>354</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t="s">
        <v>117</v>
      </c>
    </row>
    <row r="44" spans="2:34">
      <c r="B44" t="s">
        <v>317</v>
      </c>
      <c r="C44" t="s">
        <v>3139</v>
      </c>
      <c r="D44" t="s">
        <v>3140</v>
      </c>
      <c r="E44" t="s">
        <v>354</v>
      </c>
      <c r="G44">
        <v>5.9348320000000001</v>
      </c>
      <c r="H44">
        <v>6.5364779999999998</v>
      </c>
      <c r="I44">
        <v>6.6340339999999998</v>
      </c>
      <c r="J44">
        <v>6.6726179999999999</v>
      </c>
      <c r="K44">
        <v>7.0259280000000004</v>
      </c>
      <c r="L44">
        <v>7.4154460000000002</v>
      </c>
      <c r="M44">
        <v>7.8749640000000003</v>
      </c>
      <c r="N44">
        <v>8.4281520000000008</v>
      </c>
      <c r="O44">
        <v>8.7182600000000008</v>
      </c>
      <c r="P44">
        <v>9.0221319999999992</v>
      </c>
      <c r="Q44">
        <v>9.4022459999999999</v>
      </c>
      <c r="R44">
        <v>9.4618070000000003</v>
      </c>
      <c r="S44">
        <v>9.6343019999999999</v>
      </c>
      <c r="T44">
        <v>9.8146550000000001</v>
      </c>
      <c r="U44">
        <v>10.029487</v>
      </c>
      <c r="V44">
        <v>10.238963999999999</v>
      </c>
      <c r="W44">
        <v>10.386210999999999</v>
      </c>
      <c r="X44">
        <v>10.461117</v>
      </c>
      <c r="Y44">
        <v>10.493995</v>
      </c>
      <c r="Z44">
        <v>10.588778</v>
      </c>
      <c r="AA44">
        <v>10.700267999999999</v>
      </c>
      <c r="AB44">
        <v>10.871041999999999</v>
      </c>
      <c r="AC44">
        <v>10.939361999999999</v>
      </c>
      <c r="AD44">
        <v>11.028162999999999</v>
      </c>
      <c r="AE44">
        <v>11.141788</v>
      </c>
      <c r="AF44">
        <v>11.308977000000001</v>
      </c>
      <c r="AG44">
        <v>11.478370999999999</v>
      </c>
      <c r="AH44" s="31">
        <v>2.5999999999999999E-2</v>
      </c>
    </row>
    <row r="45" spans="2:34">
      <c r="B45" t="s">
        <v>277</v>
      </c>
      <c r="C45" t="s">
        <v>3141</v>
      </c>
      <c r="D45" t="s">
        <v>3142</v>
      </c>
      <c r="E45" t="s">
        <v>354</v>
      </c>
      <c r="G45">
        <v>3268.3242190000001</v>
      </c>
      <c r="H45">
        <v>3262.0329590000001</v>
      </c>
      <c r="I45">
        <v>3288.7468260000001</v>
      </c>
      <c r="J45">
        <v>3323.875</v>
      </c>
      <c r="K45">
        <v>3351.2607419999999</v>
      </c>
      <c r="L45">
        <v>3383.5483399999998</v>
      </c>
      <c r="M45">
        <v>3411.5720209999999</v>
      </c>
      <c r="N45">
        <v>3430.9506839999999</v>
      </c>
      <c r="O45">
        <v>3454.6044919999999</v>
      </c>
      <c r="P45">
        <v>3479.304932</v>
      </c>
      <c r="Q45">
        <v>3503.2453609999998</v>
      </c>
      <c r="R45">
        <v>3534.0241700000001</v>
      </c>
      <c r="S45">
        <v>3567.5559079999998</v>
      </c>
      <c r="T45">
        <v>3607.15625</v>
      </c>
      <c r="U45">
        <v>3649.6206050000001</v>
      </c>
      <c r="V45">
        <v>3693.141846</v>
      </c>
      <c r="W45">
        <v>3735.9509280000002</v>
      </c>
      <c r="X45">
        <v>3776.4458009999998</v>
      </c>
      <c r="Y45">
        <v>3821.6879880000001</v>
      </c>
      <c r="Z45">
        <v>3863.9777829999998</v>
      </c>
      <c r="AA45">
        <v>3901.1779790000001</v>
      </c>
      <c r="AB45">
        <v>3936.9096679999998</v>
      </c>
      <c r="AC45">
        <v>3970.2233890000002</v>
      </c>
      <c r="AD45">
        <v>4011.1313479999999</v>
      </c>
      <c r="AE45">
        <v>4055.1303710000002</v>
      </c>
      <c r="AF45">
        <v>4094.5153810000002</v>
      </c>
      <c r="AG45">
        <v>4133.5112300000001</v>
      </c>
      <c r="AH45" s="31">
        <v>8.9999999999999993E-3</v>
      </c>
    </row>
    <row r="46" spans="2:34">
      <c r="B46" t="s">
        <v>319</v>
      </c>
      <c r="C46" t="s">
        <v>3143</v>
      </c>
      <c r="D46" t="s">
        <v>3144</v>
      </c>
      <c r="E46" t="s">
        <v>354</v>
      </c>
      <c r="G46">
        <v>3245.922607</v>
      </c>
      <c r="H46">
        <v>3239.6389159999999</v>
      </c>
      <c r="I46">
        <v>3266.3591310000002</v>
      </c>
      <c r="J46">
        <v>3301.492432</v>
      </c>
      <c r="K46">
        <v>3328.8823240000002</v>
      </c>
      <c r="L46">
        <v>3361.1733399999998</v>
      </c>
      <c r="M46">
        <v>3389.1999510000001</v>
      </c>
      <c r="N46">
        <v>3408.5810550000001</v>
      </c>
      <c r="O46">
        <v>3432.2368160000001</v>
      </c>
      <c r="P46">
        <v>3456.9389649999998</v>
      </c>
      <c r="Q46">
        <v>3480.8808589999999</v>
      </c>
      <c r="R46">
        <v>3511.6606449999999</v>
      </c>
      <c r="S46">
        <v>3545.1933589999999</v>
      </c>
      <c r="T46">
        <v>3584.7944339999999</v>
      </c>
      <c r="U46">
        <v>3627.2595209999999</v>
      </c>
      <c r="V46">
        <v>3670.78125</v>
      </c>
      <c r="W46">
        <v>3713.5908199999999</v>
      </c>
      <c r="X46">
        <v>3754.086182</v>
      </c>
      <c r="Y46">
        <v>3799.3286130000001</v>
      </c>
      <c r="Z46">
        <v>3841.6186520000001</v>
      </c>
      <c r="AA46">
        <v>3878.8190920000002</v>
      </c>
      <c r="AB46">
        <v>3914.5507809999999</v>
      </c>
      <c r="AC46">
        <v>3947.8647460000002</v>
      </c>
      <c r="AD46">
        <v>3988.7727049999999</v>
      </c>
      <c r="AE46">
        <v>4032.7719729999999</v>
      </c>
      <c r="AF46">
        <v>4072.156982</v>
      </c>
      <c r="AG46">
        <v>4111.1528319999998</v>
      </c>
      <c r="AH46" s="31">
        <v>8.9999999999999993E-3</v>
      </c>
    </row>
    <row r="47" spans="2:34">
      <c r="B47" t="s">
        <v>320</v>
      </c>
      <c r="C47" t="s">
        <v>3145</v>
      </c>
      <c r="D47" t="s">
        <v>3146</v>
      </c>
      <c r="E47" t="s">
        <v>354</v>
      </c>
      <c r="G47">
        <v>22.401547999999998</v>
      </c>
      <c r="H47">
        <v>22.394031999999999</v>
      </c>
      <c r="I47">
        <v>22.387812</v>
      </c>
      <c r="J47">
        <v>22.382666</v>
      </c>
      <c r="K47">
        <v>22.378406999999999</v>
      </c>
      <c r="L47">
        <v>22.374884000000002</v>
      </c>
      <c r="M47">
        <v>22.371969</v>
      </c>
      <c r="N47">
        <v>22.369558000000001</v>
      </c>
      <c r="O47">
        <v>22.367563000000001</v>
      </c>
      <c r="P47">
        <v>22.365911000000001</v>
      </c>
      <c r="Q47">
        <v>22.364546000000001</v>
      </c>
      <c r="R47">
        <v>22.363416999999998</v>
      </c>
      <c r="S47">
        <v>22.362480000000001</v>
      </c>
      <c r="T47">
        <v>22.361708</v>
      </c>
      <c r="U47">
        <v>22.361066999999998</v>
      </c>
      <c r="V47">
        <v>22.360537999999998</v>
      </c>
      <c r="W47">
        <v>22.360099999999999</v>
      </c>
      <c r="X47">
        <v>22.359736999999999</v>
      </c>
      <c r="Y47">
        <v>22.359438000000001</v>
      </c>
      <c r="Z47">
        <v>22.359190000000002</v>
      </c>
      <c r="AA47">
        <v>22.358984</v>
      </c>
      <c r="AB47">
        <v>22.358813999999999</v>
      </c>
      <c r="AC47">
        <v>22.358673</v>
      </c>
      <c r="AD47">
        <v>22.358557000000001</v>
      </c>
      <c r="AE47">
        <v>22.358460999999998</v>
      </c>
      <c r="AF47">
        <v>22.358381000000001</v>
      </c>
      <c r="AG47">
        <v>22.358315000000001</v>
      </c>
      <c r="AH47" s="31">
        <v>0</v>
      </c>
    </row>
    <row r="48" spans="2:34">
      <c r="B48" t="s">
        <v>278</v>
      </c>
      <c r="C48" t="s">
        <v>3147</v>
      </c>
      <c r="D48" t="s">
        <v>3148</v>
      </c>
      <c r="E48" t="s">
        <v>354</v>
      </c>
      <c r="G48">
        <v>444.78881799999999</v>
      </c>
      <c r="H48">
        <v>449.84466600000002</v>
      </c>
      <c r="I48">
        <v>452.96935999999999</v>
      </c>
      <c r="J48">
        <v>454.89593500000001</v>
      </c>
      <c r="K48">
        <v>455.761932</v>
      </c>
      <c r="L48">
        <v>455.59344499999997</v>
      </c>
      <c r="M48">
        <v>455.377319</v>
      </c>
      <c r="N48">
        <v>455.84149200000002</v>
      </c>
      <c r="O48">
        <v>456.21725500000002</v>
      </c>
      <c r="P48">
        <v>456.609802</v>
      </c>
      <c r="Q48">
        <v>456.93264799999997</v>
      </c>
      <c r="R48">
        <v>457.18493699999999</v>
      </c>
      <c r="S48">
        <v>457.63305700000001</v>
      </c>
      <c r="T48">
        <v>458.22058099999998</v>
      </c>
      <c r="U48">
        <v>458.78735399999999</v>
      </c>
      <c r="V48">
        <v>459.338776</v>
      </c>
      <c r="W48">
        <v>459.87536599999999</v>
      </c>
      <c r="X48">
        <v>460.398956</v>
      </c>
      <c r="Y48">
        <v>460.913971</v>
      </c>
      <c r="Z48">
        <v>461.42312600000002</v>
      </c>
      <c r="AA48">
        <v>461.92681900000002</v>
      </c>
      <c r="AB48">
        <v>462.42492700000003</v>
      </c>
      <c r="AC48">
        <v>462.92233299999998</v>
      </c>
      <c r="AD48">
        <v>463.41894500000001</v>
      </c>
      <c r="AE48">
        <v>463.91293300000001</v>
      </c>
      <c r="AF48">
        <v>464.407623</v>
      </c>
      <c r="AG48">
        <v>464.90356400000002</v>
      </c>
      <c r="AH48" s="31">
        <v>2E-3</v>
      </c>
    </row>
    <row r="49" spans="1:34">
      <c r="B49" t="s">
        <v>321</v>
      </c>
      <c r="C49" t="s">
        <v>3149</v>
      </c>
      <c r="D49" t="s">
        <v>3150</v>
      </c>
      <c r="E49" t="s">
        <v>354</v>
      </c>
      <c r="G49">
        <v>335.94638099999997</v>
      </c>
      <c r="H49">
        <v>339.76504499999999</v>
      </c>
      <c r="I49">
        <v>342.125092</v>
      </c>
      <c r="J49">
        <v>343.58023100000003</v>
      </c>
      <c r="K49">
        <v>344.23431399999998</v>
      </c>
      <c r="L49">
        <v>344.107056</v>
      </c>
      <c r="M49">
        <v>343.94381700000002</v>
      </c>
      <c r="N49">
        <v>344.29440299999999</v>
      </c>
      <c r="O49">
        <v>344.578217</v>
      </c>
      <c r="P49">
        <v>344.87469499999997</v>
      </c>
      <c r="Q49">
        <v>345.11853000000002</v>
      </c>
      <c r="R49">
        <v>345.30908199999999</v>
      </c>
      <c r="S49">
        <v>345.64752199999998</v>
      </c>
      <c r="T49">
        <v>346.09127799999999</v>
      </c>
      <c r="U49">
        <v>346.51937900000001</v>
      </c>
      <c r="V49">
        <v>346.93585200000001</v>
      </c>
      <c r="W49">
        <v>347.34112499999998</v>
      </c>
      <c r="X49">
        <v>347.736603</v>
      </c>
      <c r="Y49">
        <v>348.12558000000001</v>
      </c>
      <c r="Z49">
        <v>348.51016199999998</v>
      </c>
      <c r="AA49">
        <v>348.89059400000002</v>
      </c>
      <c r="AB49">
        <v>349.26681500000001</v>
      </c>
      <c r="AC49">
        <v>349.64248700000002</v>
      </c>
      <c r="AD49">
        <v>350.01757800000001</v>
      </c>
      <c r="AE49">
        <v>350.39068600000002</v>
      </c>
      <c r="AF49">
        <v>350.76431300000002</v>
      </c>
      <c r="AG49">
        <v>351.13888500000002</v>
      </c>
      <c r="AH49" s="31">
        <v>2E-3</v>
      </c>
    </row>
    <row r="50" spans="1:34">
      <c r="B50" t="s">
        <v>315</v>
      </c>
      <c r="C50" t="s">
        <v>3151</v>
      </c>
      <c r="D50" t="s">
        <v>3152</v>
      </c>
      <c r="E50" t="s">
        <v>354</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t="s">
        <v>117</v>
      </c>
    </row>
    <row r="51" spans="1:34">
      <c r="B51" t="s">
        <v>322</v>
      </c>
      <c r="C51" t="s">
        <v>3153</v>
      </c>
      <c r="D51" t="s">
        <v>3154</v>
      </c>
      <c r="E51" t="s">
        <v>354</v>
      </c>
      <c r="G51">
        <v>108.84242999999999</v>
      </c>
      <c r="H51">
        <v>110.079628</v>
      </c>
      <c r="I51">
        <v>110.844261</v>
      </c>
      <c r="J51">
        <v>111.31572</v>
      </c>
      <c r="K51">
        <v>111.527618</v>
      </c>
      <c r="L51">
        <v>111.486397</v>
      </c>
      <c r="M51">
        <v>111.43351699999999</v>
      </c>
      <c r="N51">
        <v>111.547089</v>
      </c>
      <c r="O51">
        <v>111.63904599999999</v>
      </c>
      <c r="P51">
        <v>111.735107</v>
      </c>
      <c r="Q51">
        <v>111.814117</v>
      </c>
      <c r="R51">
        <v>111.87587000000001</v>
      </c>
      <c r="S51">
        <v>111.985519</v>
      </c>
      <c r="T51">
        <v>112.12930299999999</v>
      </c>
      <c r="U51">
        <v>112.26799</v>
      </c>
      <c r="V51">
        <v>112.402924</v>
      </c>
      <c r="W51">
        <v>112.53424099999999</v>
      </c>
      <c r="X51">
        <v>112.66235399999999</v>
      </c>
      <c r="Y51">
        <v>112.788383</v>
      </c>
      <c r="Z51">
        <v>112.912964</v>
      </c>
      <c r="AA51">
        <v>113.03624000000001</v>
      </c>
      <c r="AB51">
        <v>113.15812699999999</v>
      </c>
      <c r="AC51">
        <v>113.27984600000001</v>
      </c>
      <c r="AD51">
        <v>113.401375</v>
      </c>
      <c r="AE51">
        <v>113.52224699999999</v>
      </c>
      <c r="AF51">
        <v>113.643303</v>
      </c>
      <c r="AG51">
        <v>113.764679</v>
      </c>
      <c r="AH51" s="31">
        <v>2E-3</v>
      </c>
    </row>
    <row r="52" spans="1:34">
      <c r="B52" t="s">
        <v>279</v>
      </c>
      <c r="C52" t="s">
        <v>3155</v>
      </c>
      <c r="D52" t="s">
        <v>3156</v>
      </c>
      <c r="E52" t="s">
        <v>354</v>
      </c>
      <c r="G52">
        <v>207.85879499999999</v>
      </c>
      <c r="H52">
        <v>213.51556400000001</v>
      </c>
      <c r="I52">
        <v>216.129898</v>
      </c>
      <c r="J52">
        <v>217.12576300000001</v>
      </c>
      <c r="K52">
        <v>217.48175000000001</v>
      </c>
      <c r="L52">
        <v>217.42764299999999</v>
      </c>
      <c r="M52">
        <v>217.24430799999999</v>
      </c>
      <c r="N52">
        <v>216.24174500000001</v>
      </c>
      <c r="O52">
        <v>214.76506000000001</v>
      </c>
      <c r="P52">
        <v>213.18585200000001</v>
      </c>
      <c r="Q52">
        <v>211.90618900000001</v>
      </c>
      <c r="R52">
        <v>210.37204</v>
      </c>
      <c r="S52">
        <v>208.78291300000001</v>
      </c>
      <c r="T52">
        <v>207.22485399999999</v>
      </c>
      <c r="U52">
        <v>205.64492799999999</v>
      </c>
      <c r="V52">
        <v>203.97955300000001</v>
      </c>
      <c r="W52">
        <v>202.18667600000001</v>
      </c>
      <c r="X52">
        <v>200.30072000000001</v>
      </c>
      <c r="Y52">
        <v>198.29200700000001</v>
      </c>
      <c r="Z52">
        <v>196.336792</v>
      </c>
      <c r="AA52">
        <v>194.28083799999999</v>
      </c>
      <c r="AB52">
        <v>192.319534</v>
      </c>
      <c r="AC52">
        <v>190.19499200000001</v>
      </c>
      <c r="AD52">
        <v>187.95107999999999</v>
      </c>
      <c r="AE52">
        <v>185.79196200000001</v>
      </c>
      <c r="AF52">
        <v>183.69107099999999</v>
      </c>
      <c r="AG52">
        <v>181.903885</v>
      </c>
      <c r="AH52" s="31">
        <v>-5.0000000000000001E-3</v>
      </c>
    </row>
    <row r="53" spans="1:34">
      <c r="B53" t="s">
        <v>323</v>
      </c>
      <c r="C53" t="s">
        <v>3157</v>
      </c>
      <c r="D53" t="s">
        <v>3158</v>
      </c>
      <c r="E53" t="s">
        <v>354</v>
      </c>
      <c r="G53">
        <v>76.710044999999994</v>
      </c>
      <c r="H53">
        <v>81.313903999999994</v>
      </c>
      <c r="I53">
        <v>83.939346</v>
      </c>
      <c r="J53">
        <v>85.569359000000006</v>
      </c>
      <c r="K53">
        <v>86.754188999999997</v>
      </c>
      <c r="L53">
        <v>87.688941999999997</v>
      </c>
      <c r="M53">
        <v>88.627594000000002</v>
      </c>
      <c r="N53">
        <v>88.838866999999993</v>
      </c>
      <c r="O53">
        <v>88.562233000000006</v>
      </c>
      <c r="P53">
        <v>88.112342999999996</v>
      </c>
      <c r="Q53">
        <v>87.900931999999997</v>
      </c>
      <c r="R53">
        <v>87.407082000000003</v>
      </c>
      <c r="S53">
        <v>86.832076999999998</v>
      </c>
      <c r="T53">
        <v>86.239661999999996</v>
      </c>
      <c r="U53">
        <v>85.777709999999999</v>
      </c>
      <c r="V53">
        <v>85.252876000000001</v>
      </c>
      <c r="W53">
        <v>84.619086999999993</v>
      </c>
      <c r="X53">
        <v>83.913132000000004</v>
      </c>
      <c r="Y53">
        <v>83.115341000000001</v>
      </c>
      <c r="Z53">
        <v>82.391418000000002</v>
      </c>
      <c r="AA53">
        <v>81.586922000000001</v>
      </c>
      <c r="AB53">
        <v>80.892448000000002</v>
      </c>
      <c r="AC53">
        <v>80.055817000000005</v>
      </c>
      <c r="AD53">
        <v>79.108192000000003</v>
      </c>
      <c r="AE53">
        <v>78.258156</v>
      </c>
      <c r="AF53">
        <v>77.463318000000001</v>
      </c>
      <c r="AG53">
        <v>76.982123999999999</v>
      </c>
      <c r="AH53" s="31">
        <v>0</v>
      </c>
    </row>
    <row r="54" spans="1:34">
      <c r="A54" t="s">
        <v>113</v>
      </c>
      <c r="B54" t="s">
        <v>313</v>
      </c>
      <c r="C54" t="s">
        <v>3159</v>
      </c>
      <c r="D54" t="s">
        <v>3160</v>
      </c>
      <c r="E54" t="s">
        <v>354</v>
      </c>
      <c r="G54">
        <v>9.1472949999999997</v>
      </c>
      <c r="H54">
        <v>9.6769990000000004</v>
      </c>
      <c r="I54">
        <v>9.9694310000000002</v>
      </c>
      <c r="J54">
        <v>10.140093</v>
      </c>
      <c r="K54">
        <v>10.254068</v>
      </c>
      <c r="L54">
        <v>10.338150000000001</v>
      </c>
      <c r="M54">
        <v>10.423724999999999</v>
      </c>
      <c r="N54">
        <v>10.40757</v>
      </c>
      <c r="O54">
        <v>10.336831</v>
      </c>
      <c r="P54">
        <v>10.245358</v>
      </c>
      <c r="Q54">
        <v>10.182765</v>
      </c>
      <c r="R54">
        <v>10.088881000000001</v>
      </c>
      <c r="S54">
        <v>9.9874010000000002</v>
      </c>
      <c r="T54">
        <v>9.8847330000000007</v>
      </c>
      <c r="U54">
        <v>9.7954469999999993</v>
      </c>
      <c r="V54">
        <v>9.7009380000000007</v>
      </c>
      <c r="W54">
        <v>9.5947750000000003</v>
      </c>
      <c r="X54">
        <v>9.4811399999999999</v>
      </c>
      <c r="Y54">
        <v>9.3583630000000007</v>
      </c>
      <c r="Z54">
        <v>9.2445350000000008</v>
      </c>
      <c r="AA54">
        <v>9.1221510000000006</v>
      </c>
      <c r="AB54">
        <v>9.0127930000000003</v>
      </c>
      <c r="AC54">
        <v>8.8882650000000005</v>
      </c>
      <c r="AD54">
        <v>8.7531800000000004</v>
      </c>
      <c r="AE54">
        <v>8.6299919999999997</v>
      </c>
      <c r="AF54">
        <v>8.5133890000000001</v>
      </c>
      <c r="AG54">
        <v>8.4316549999999992</v>
      </c>
      <c r="AH54" s="31">
        <v>-3.0000000000000001E-3</v>
      </c>
    </row>
    <row r="55" spans="1:34">
      <c r="A55" t="s">
        <v>113</v>
      </c>
      <c r="B55" t="s">
        <v>305</v>
      </c>
      <c r="C55" t="s">
        <v>3161</v>
      </c>
      <c r="D55" t="s">
        <v>3162</v>
      </c>
      <c r="E55" t="s">
        <v>354</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t="s">
        <v>117</v>
      </c>
    </row>
    <row r="56" spans="1:34">
      <c r="A56" t="s">
        <v>114</v>
      </c>
      <c r="B56" t="s">
        <v>306</v>
      </c>
      <c r="C56" t="s">
        <v>3163</v>
      </c>
      <c r="D56" t="s">
        <v>3164</v>
      </c>
      <c r="E56" t="s">
        <v>354</v>
      </c>
      <c r="G56">
        <v>40.625771</v>
      </c>
      <c r="H56">
        <v>43.015372999999997</v>
      </c>
      <c r="I56">
        <v>44.437289999999997</v>
      </c>
      <c r="J56">
        <v>45.333485000000003</v>
      </c>
      <c r="K56">
        <v>45.963813999999999</v>
      </c>
      <c r="L56">
        <v>46.444603000000001</v>
      </c>
      <c r="M56">
        <v>46.903049000000003</v>
      </c>
      <c r="N56">
        <v>46.919742999999997</v>
      </c>
      <c r="O56">
        <v>46.674880999999999</v>
      </c>
      <c r="P56">
        <v>46.334845999999999</v>
      </c>
      <c r="Q56">
        <v>46.093288000000001</v>
      </c>
      <c r="R56">
        <v>45.718204</v>
      </c>
      <c r="S56">
        <v>45.301796000000003</v>
      </c>
      <c r="T56">
        <v>44.889698000000003</v>
      </c>
      <c r="U56">
        <v>44.538803000000001</v>
      </c>
      <c r="V56">
        <v>44.157210999999997</v>
      </c>
      <c r="W56">
        <v>43.730533999999999</v>
      </c>
      <c r="X56">
        <v>43.270508</v>
      </c>
      <c r="Y56">
        <v>42.771523000000002</v>
      </c>
      <c r="Z56">
        <v>42.300243000000002</v>
      </c>
      <c r="AA56">
        <v>41.791203000000003</v>
      </c>
      <c r="AB56">
        <v>41.328612999999997</v>
      </c>
      <c r="AC56">
        <v>40.801394999999999</v>
      </c>
      <c r="AD56">
        <v>40.232635000000002</v>
      </c>
      <c r="AE56">
        <v>39.711196999999999</v>
      </c>
      <c r="AF56">
        <v>39.214508000000002</v>
      </c>
      <c r="AG56">
        <v>38.856288999999997</v>
      </c>
      <c r="AH56" s="31">
        <v>-2E-3</v>
      </c>
    </row>
    <row r="57" spans="1:34">
      <c r="A57" t="s">
        <v>112</v>
      </c>
      <c r="B57" t="s">
        <v>307</v>
      </c>
      <c r="C57" t="s">
        <v>3165</v>
      </c>
      <c r="D57" t="s">
        <v>3166</v>
      </c>
      <c r="E57" t="s">
        <v>354</v>
      </c>
      <c r="G57">
        <v>23.263926999999999</v>
      </c>
      <c r="H57">
        <v>24.442589000000002</v>
      </c>
      <c r="I57">
        <v>24.941652000000001</v>
      </c>
      <c r="J57">
        <v>25.139893000000001</v>
      </c>
      <c r="K57">
        <v>25.233543000000001</v>
      </c>
      <c r="L57">
        <v>25.265585000000002</v>
      </c>
      <c r="M57">
        <v>25.313994999999998</v>
      </c>
      <c r="N57">
        <v>25.225773</v>
      </c>
      <c r="O57">
        <v>25.006153000000001</v>
      </c>
      <c r="P57">
        <v>24.744357999999998</v>
      </c>
      <c r="Q57">
        <v>24.571242999999999</v>
      </c>
      <c r="R57">
        <v>24.309456000000001</v>
      </c>
      <c r="S57">
        <v>24.027180000000001</v>
      </c>
      <c r="T57">
        <v>23.733592999999999</v>
      </c>
      <c r="U57">
        <v>23.491579000000002</v>
      </c>
      <c r="V57">
        <v>23.230962999999999</v>
      </c>
      <c r="W57">
        <v>22.936558000000002</v>
      </c>
      <c r="X57">
        <v>22.624068999999999</v>
      </c>
      <c r="Y57">
        <v>22.285173</v>
      </c>
      <c r="Z57">
        <v>21.978224000000001</v>
      </c>
      <c r="AA57">
        <v>21.652470000000001</v>
      </c>
      <c r="AB57">
        <v>21.36721</v>
      </c>
      <c r="AC57">
        <v>21.043865</v>
      </c>
      <c r="AD57">
        <v>20.685226</v>
      </c>
      <c r="AE57">
        <v>20.358484000000001</v>
      </c>
      <c r="AF57">
        <v>20.053581000000001</v>
      </c>
      <c r="AG57">
        <v>19.847092</v>
      </c>
      <c r="AH57" s="31">
        <v>-6.0000000000000001E-3</v>
      </c>
    </row>
    <row r="58" spans="1:34">
      <c r="A58" t="s">
        <v>257</v>
      </c>
      <c r="B58" t="s">
        <v>308</v>
      </c>
      <c r="C58" t="s">
        <v>3167</v>
      </c>
      <c r="D58" t="s">
        <v>3168</v>
      </c>
      <c r="E58" t="s">
        <v>354</v>
      </c>
      <c r="G58">
        <v>0.88131899999999996</v>
      </c>
      <c r="H58">
        <v>0.94454800000000005</v>
      </c>
      <c r="I58">
        <v>0.985039</v>
      </c>
      <c r="J58">
        <v>1.013336</v>
      </c>
      <c r="K58">
        <v>1.035471</v>
      </c>
      <c r="L58">
        <v>1.055701</v>
      </c>
      <c r="M58">
        <v>1.0791539999999999</v>
      </c>
      <c r="N58">
        <v>1.082665</v>
      </c>
      <c r="O58">
        <v>1.0780879999999999</v>
      </c>
      <c r="P58">
        <v>1.072206</v>
      </c>
      <c r="Q58">
        <v>1.070856</v>
      </c>
      <c r="R58">
        <v>1.066365</v>
      </c>
      <c r="S58">
        <v>1.0616030000000001</v>
      </c>
      <c r="T58">
        <v>1.0564439999999999</v>
      </c>
      <c r="U58">
        <v>1.052379</v>
      </c>
      <c r="V58">
        <v>1.0480579999999999</v>
      </c>
      <c r="W58">
        <v>1.041927</v>
      </c>
      <c r="X58">
        <v>1.034816</v>
      </c>
      <c r="Y58">
        <v>1.0266090000000001</v>
      </c>
      <c r="Z58">
        <v>1.019739</v>
      </c>
      <c r="AA58">
        <v>1.0114700000000001</v>
      </c>
      <c r="AB58">
        <v>1.0050490000000001</v>
      </c>
      <c r="AC58">
        <v>0.99636899999999995</v>
      </c>
      <c r="AD58">
        <v>0.98636299999999999</v>
      </c>
      <c r="AE58">
        <v>0.97801499999999997</v>
      </c>
      <c r="AF58">
        <v>0.970356</v>
      </c>
      <c r="AG58">
        <v>0.96767199999999998</v>
      </c>
      <c r="AH58" s="31">
        <v>4.0000000000000001E-3</v>
      </c>
    </row>
    <row r="59" spans="1:34">
      <c r="A59" t="s">
        <v>111</v>
      </c>
      <c r="B59" t="s">
        <v>309</v>
      </c>
      <c r="C59" t="s">
        <v>3169</v>
      </c>
      <c r="D59" t="s">
        <v>3170</v>
      </c>
      <c r="E59" t="s">
        <v>354</v>
      </c>
      <c r="G59">
        <v>2.7587679999999999</v>
      </c>
      <c r="H59">
        <v>3.1998139999999999</v>
      </c>
      <c r="I59">
        <v>3.570894</v>
      </c>
      <c r="J59">
        <v>3.9074979999999999</v>
      </c>
      <c r="K59">
        <v>4.2323620000000002</v>
      </c>
      <c r="L59">
        <v>4.5501690000000004</v>
      </c>
      <c r="M59">
        <v>4.8731359999999997</v>
      </c>
      <c r="N59">
        <v>5.1687770000000004</v>
      </c>
      <c r="O59">
        <v>5.4324050000000002</v>
      </c>
      <c r="P59">
        <v>5.682207</v>
      </c>
      <c r="Q59">
        <v>5.9497499999999999</v>
      </c>
      <c r="R59">
        <v>6.1916260000000003</v>
      </c>
      <c r="S59">
        <v>6.422059</v>
      </c>
      <c r="T59">
        <v>6.6436789999999997</v>
      </c>
      <c r="U59">
        <v>6.8684979999999998</v>
      </c>
      <c r="V59">
        <v>7.0852009999999996</v>
      </c>
      <c r="W59">
        <v>7.285336</v>
      </c>
      <c r="X59">
        <v>7.4732219999999998</v>
      </c>
      <c r="Y59">
        <v>7.6448970000000003</v>
      </c>
      <c r="Z59">
        <v>7.8204669999999998</v>
      </c>
      <c r="AA59">
        <v>7.9819779999999998</v>
      </c>
      <c r="AB59">
        <v>8.1516319999999993</v>
      </c>
      <c r="AC59">
        <v>8.2993310000000005</v>
      </c>
      <c r="AD59">
        <v>8.4247949999999996</v>
      </c>
      <c r="AE59">
        <v>8.5550510000000006</v>
      </c>
      <c r="AF59">
        <v>8.6866050000000001</v>
      </c>
      <c r="AG59">
        <v>8.8549120000000006</v>
      </c>
      <c r="AH59" s="31">
        <v>4.5999999999999999E-2</v>
      </c>
    </row>
    <row r="60" spans="1:34">
      <c r="A60" t="s">
        <v>258</v>
      </c>
      <c r="B60" t="s">
        <v>310</v>
      </c>
      <c r="C60" t="s">
        <v>3171</v>
      </c>
      <c r="D60" t="s">
        <v>3172</v>
      </c>
      <c r="E60" t="s">
        <v>354</v>
      </c>
      <c r="G60">
        <v>3.2971E-2</v>
      </c>
      <c r="H60">
        <v>3.4576999999999997E-2</v>
      </c>
      <c r="I60">
        <v>3.5043999999999999E-2</v>
      </c>
      <c r="J60">
        <v>3.5052E-2</v>
      </c>
      <c r="K60">
        <v>3.4937999999999997E-2</v>
      </c>
      <c r="L60">
        <v>3.4730999999999998E-2</v>
      </c>
      <c r="M60">
        <v>3.4534000000000002E-2</v>
      </c>
      <c r="N60">
        <v>3.4341999999999998E-2</v>
      </c>
      <c r="O60">
        <v>3.3877999999999998E-2</v>
      </c>
      <c r="P60">
        <v>3.3368000000000002E-2</v>
      </c>
      <c r="Q60">
        <v>3.3023999999999998E-2</v>
      </c>
      <c r="R60">
        <v>3.2548000000000001E-2</v>
      </c>
      <c r="S60">
        <v>3.2044999999999997E-2</v>
      </c>
      <c r="T60">
        <v>3.1515000000000001E-2</v>
      </c>
      <c r="U60">
        <v>3.1008000000000001E-2</v>
      </c>
      <c r="V60">
        <v>3.0508E-2</v>
      </c>
      <c r="W60">
        <v>2.9954999999999999E-2</v>
      </c>
      <c r="X60">
        <v>2.9382999999999999E-2</v>
      </c>
      <c r="Y60">
        <v>2.8767999999999998E-2</v>
      </c>
      <c r="Z60">
        <v>2.8216000000000001E-2</v>
      </c>
      <c r="AA60">
        <v>2.7647000000000001E-2</v>
      </c>
      <c r="AB60">
        <v>2.7149E-2</v>
      </c>
      <c r="AC60">
        <v>2.6599000000000001E-2</v>
      </c>
      <c r="AD60">
        <v>2.5984E-2</v>
      </c>
      <c r="AE60">
        <v>2.5413999999999999E-2</v>
      </c>
      <c r="AF60">
        <v>2.4882000000000001E-2</v>
      </c>
      <c r="AG60">
        <v>2.4500000000000001E-2</v>
      </c>
      <c r="AH60" s="31">
        <v>-1.0999999999999999E-2</v>
      </c>
    </row>
    <row r="61" spans="1:34">
      <c r="B61" t="s">
        <v>324</v>
      </c>
      <c r="C61" t="s">
        <v>3173</v>
      </c>
      <c r="D61" t="s">
        <v>3174</v>
      </c>
      <c r="E61" t="s">
        <v>354</v>
      </c>
      <c r="G61">
        <v>30.108592999999999</v>
      </c>
      <c r="H61">
        <v>31.324183000000001</v>
      </c>
      <c r="I61">
        <v>32.204268999999996</v>
      </c>
      <c r="J61">
        <v>32.814284999999998</v>
      </c>
      <c r="K61">
        <v>33.256686999999999</v>
      </c>
      <c r="L61">
        <v>33.580925000000001</v>
      </c>
      <c r="M61">
        <v>33.812759</v>
      </c>
      <c r="N61">
        <v>33.971854999999998</v>
      </c>
      <c r="O61">
        <v>34.074733999999999</v>
      </c>
      <c r="P61">
        <v>34.127521999999999</v>
      </c>
      <c r="Q61">
        <v>34.138331999999998</v>
      </c>
      <c r="R61">
        <v>34.117863</v>
      </c>
      <c r="S61">
        <v>34.071151999999998</v>
      </c>
      <c r="T61">
        <v>34.002563000000002</v>
      </c>
      <c r="U61">
        <v>33.932445999999999</v>
      </c>
      <c r="V61">
        <v>33.850540000000002</v>
      </c>
      <c r="W61">
        <v>33.759456999999998</v>
      </c>
      <c r="X61">
        <v>33.660358000000002</v>
      </c>
      <c r="Y61">
        <v>33.556801</v>
      </c>
      <c r="Z61">
        <v>33.447479000000001</v>
      </c>
      <c r="AA61">
        <v>33.332580999999998</v>
      </c>
      <c r="AB61">
        <v>33.213673</v>
      </c>
      <c r="AC61">
        <v>33.091960999999998</v>
      </c>
      <c r="AD61">
        <v>32.971535000000003</v>
      </c>
      <c r="AE61">
        <v>32.850974999999998</v>
      </c>
      <c r="AF61">
        <v>32.727406000000002</v>
      </c>
      <c r="AG61">
        <v>32.602530999999999</v>
      </c>
      <c r="AH61" s="31">
        <v>3.0000000000000001E-3</v>
      </c>
    </row>
    <row r="62" spans="1:34">
      <c r="A62" t="s">
        <v>113</v>
      </c>
      <c r="B62" t="s">
        <v>313</v>
      </c>
      <c r="C62" t="s">
        <v>3175</v>
      </c>
      <c r="D62" t="s">
        <v>3176</v>
      </c>
      <c r="E62" t="s">
        <v>354</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t="s">
        <v>117</v>
      </c>
    </row>
    <row r="63" spans="1:34">
      <c r="A63" t="s">
        <v>113</v>
      </c>
      <c r="B63" t="s">
        <v>305</v>
      </c>
      <c r="C63" t="s">
        <v>3177</v>
      </c>
      <c r="D63" t="s">
        <v>3178</v>
      </c>
      <c r="E63" t="s">
        <v>354</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t="s">
        <v>117</v>
      </c>
    </row>
    <row r="64" spans="1:34">
      <c r="A64" t="s">
        <v>114</v>
      </c>
      <c r="B64" t="s">
        <v>306</v>
      </c>
      <c r="C64" t="s">
        <v>3179</v>
      </c>
      <c r="D64" t="s">
        <v>3180</v>
      </c>
      <c r="E64" t="s">
        <v>354</v>
      </c>
      <c r="G64">
        <v>30.108592999999999</v>
      </c>
      <c r="H64">
        <v>31.324183000000001</v>
      </c>
      <c r="I64">
        <v>32.204268999999996</v>
      </c>
      <c r="J64">
        <v>32.814284999999998</v>
      </c>
      <c r="K64">
        <v>33.256686999999999</v>
      </c>
      <c r="L64">
        <v>33.580925000000001</v>
      </c>
      <c r="M64">
        <v>33.812759</v>
      </c>
      <c r="N64">
        <v>33.971854999999998</v>
      </c>
      <c r="O64">
        <v>34.074733999999999</v>
      </c>
      <c r="P64">
        <v>34.127521999999999</v>
      </c>
      <c r="Q64">
        <v>34.138331999999998</v>
      </c>
      <c r="R64">
        <v>34.117863</v>
      </c>
      <c r="S64">
        <v>34.071151999999998</v>
      </c>
      <c r="T64">
        <v>34.002563000000002</v>
      </c>
      <c r="U64">
        <v>33.932445999999999</v>
      </c>
      <c r="V64">
        <v>33.850540000000002</v>
      </c>
      <c r="W64">
        <v>33.759456999999998</v>
      </c>
      <c r="X64">
        <v>33.660358000000002</v>
      </c>
      <c r="Y64">
        <v>33.556801</v>
      </c>
      <c r="Z64">
        <v>33.447479000000001</v>
      </c>
      <c r="AA64">
        <v>33.332580999999998</v>
      </c>
      <c r="AB64">
        <v>33.213673</v>
      </c>
      <c r="AC64">
        <v>33.091960999999998</v>
      </c>
      <c r="AD64">
        <v>32.971535000000003</v>
      </c>
      <c r="AE64">
        <v>32.850974999999998</v>
      </c>
      <c r="AF64">
        <v>32.727406000000002</v>
      </c>
      <c r="AG64">
        <v>32.602530999999999</v>
      </c>
      <c r="AH64" s="31">
        <v>3.0000000000000001E-3</v>
      </c>
    </row>
    <row r="65" spans="1:34">
      <c r="A65" t="s">
        <v>112</v>
      </c>
      <c r="B65" t="s">
        <v>307</v>
      </c>
      <c r="C65" t="s">
        <v>3181</v>
      </c>
      <c r="D65" t="s">
        <v>3182</v>
      </c>
      <c r="E65" t="s">
        <v>354</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t="s">
        <v>117</v>
      </c>
    </row>
    <row r="66" spans="1:34">
      <c r="A66" t="s">
        <v>257</v>
      </c>
      <c r="B66" t="s">
        <v>308</v>
      </c>
      <c r="C66" t="s">
        <v>3183</v>
      </c>
      <c r="D66" t="s">
        <v>3184</v>
      </c>
      <c r="E66" t="s">
        <v>354</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t="s">
        <v>117</v>
      </c>
    </row>
    <row r="67" spans="1:34">
      <c r="A67" t="s">
        <v>111</v>
      </c>
      <c r="B67" t="s">
        <v>309</v>
      </c>
      <c r="C67" t="s">
        <v>3185</v>
      </c>
      <c r="D67" t="s">
        <v>3186</v>
      </c>
      <c r="E67" t="s">
        <v>354</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t="s">
        <v>117</v>
      </c>
    </row>
    <row r="68" spans="1:34">
      <c r="A68" t="s">
        <v>258</v>
      </c>
      <c r="B68" t="s">
        <v>310</v>
      </c>
      <c r="C68" t="s">
        <v>3187</v>
      </c>
      <c r="D68" t="s">
        <v>3188</v>
      </c>
      <c r="E68" t="s">
        <v>354</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t="s">
        <v>117</v>
      </c>
    </row>
    <row r="69" spans="1:34">
      <c r="B69" t="s">
        <v>325</v>
      </c>
      <c r="C69" t="s">
        <v>3189</v>
      </c>
      <c r="D69" t="s">
        <v>3190</v>
      </c>
      <c r="E69" t="s">
        <v>354</v>
      </c>
      <c r="G69">
        <v>101.04016900000001</v>
      </c>
      <c r="H69">
        <v>100.87748000000001</v>
      </c>
      <c r="I69">
        <v>99.986282000000003</v>
      </c>
      <c r="J69">
        <v>98.742125999999999</v>
      </c>
      <c r="K69">
        <v>97.470871000000002</v>
      </c>
      <c r="L69">
        <v>96.157784000000007</v>
      </c>
      <c r="M69">
        <v>94.803955000000002</v>
      </c>
      <c r="N69">
        <v>93.431022999999996</v>
      </c>
      <c r="O69">
        <v>92.128097999999994</v>
      </c>
      <c r="P69">
        <v>90.945992000000004</v>
      </c>
      <c r="Q69">
        <v>89.866919999999993</v>
      </c>
      <c r="R69">
        <v>88.847099</v>
      </c>
      <c r="S69">
        <v>87.879683999999997</v>
      </c>
      <c r="T69">
        <v>86.982628000000005</v>
      </c>
      <c r="U69">
        <v>85.934760999999995</v>
      </c>
      <c r="V69">
        <v>84.876143999999996</v>
      </c>
      <c r="W69">
        <v>83.808136000000005</v>
      </c>
      <c r="X69">
        <v>82.727233999999996</v>
      </c>
      <c r="Y69">
        <v>81.619865000000004</v>
      </c>
      <c r="Z69">
        <v>80.497901999999996</v>
      </c>
      <c r="AA69">
        <v>79.361335999999994</v>
      </c>
      <c r="AB69">
        <v>78.213408999999999</v>
      </c>
      <c r="AC69">
        <v>77.047211000000004</v>
      </c>
      <c r="AD69">
        <v>75.871360999999993</v>
      </c>
      <c r="AE69">
        <v>74.682838000000004</v>
      </c>
      <c r="AF69">
        <v>73.500343000000001</v>
      </c>
      <c r="AG69">
        <v>72.319229000000007</v>
      </c>
      <c r="AH69" s="31">
        <v>-1.2999999999999999E-2</v>
      </c>
    </row>
    <row r="70" spans="1:34">
      <c r="A70" t="s">
        <v>113</v>
      </c>
      <c r="B70" t="s">
        <v>313</v>
      </c>
      <c r="C70" t="s">
        <v>3191</v>
      </c>
      <c r="D70" t="s">
        <v>3192</v>
      </c>
      <c r="E70" t="s">
        <v>354</v>
      </c>
      <c r="G70">
        <v>10.011436</v>
      </c>
      <c r="H70">
        <v>9.9641760000000001</v>
      </c>
      <c r="I70">
        <v>9.8488229999999994</v>
      </c>
      <c r="J70">
        <v>9.6992469999999997</v>
      </c>
      <c r="K70">
        <v>9.5474689999999995</v>
      </c>
      <c r="L70">
        <v>9.3920720000000006</v>
      </c>
      <c r="M70">
        <v>9.2331830000000004</v>
      </c>
      <c r="N70">
        <v>9.0729570000000006</v>
      </c>
      <c r="O70">
        <v>8.9200700000000008</v>
      </c>
      <c r="P70">
        <v>8.7795740000000002</v>
      </c>
      <c r="Q70">
        <v>8.6495519999999999</v>
      </c>
      <c r="R70">
        <v>8.5256270000000001</v>
      </c>
      <c r="S70">
        <v>8.4073440000000002</v>
      </c>
      <c r="T70">
        <v>8.2961869999999998</v>
      </c>
      <c r="U70">
        <v>8.170966</v>
      </c>
      <c r="V70">
        <v>8.0451110000000003</v>
      </c>
      <c r="W70">
        <v>7.9187659999999997</v>
      </c>
      <c r="X70">
        <v>7.7916499999999997</v>
      </c>
      <c r="Y70">
        <v>7.6625310000000004</v>
      </c>
      <c r="Z70">
        <v>7.5325889999999998</v>
      </c>
      <c r="AA70">
        <v>7.4017710000000001</v>
      </c>
      <c r="AB70">
        <v>7.2704040000000001</v>
      </c>
      <c r="AC70">
        <v>7.1378089999999998</v>
      </c>
      <c r="AD70">
        <v>7.0048300000000001</v>
      </c>
      <c r="AE70">
        <v>6.8712419999999996</v>
      </c>
      <c r="AF70">
        <v>6.738766</v>
      </c>
      <c r="AG70">
        <v>6.6069699999999996</v>
      </c>
      <c r="AH70" s="31">
        <v>-1.6E-2</v>
      </c>
    </row>
    <row r="71" spans="1:34">
      <c r="A71" t="s">
        <v>113</v>
      </c>
      <c r="B71" t="s">
        <v>305</v>
      </c>
      <c r="C71" t="s">
        <v>3193</v>
      </c>
      <c r="D71" t="s">
        <v>3194</v>
      </c>
      <c r="E71" t="s">
        <v>354</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t="s">
        <v>117</v>
      </c>
    </row>
    <row r="72" spans="1:34">
      <c r="A72" t="s">
        <v>114</v>
      </c>
      <c r="B72" t="s">
        <v>306</v>
      </c>
      <c r="C72" t="s">
        <v>3195</v>
      </c>
      <c r="D72" t="s">
        <v>3196</v>
      </c>
      <c r="E72" t="s">
        <v>354</v>
      </c>
      <c r="G72">
        <v>81.477958999999998</v>
      </c>
      <c r="H72">
        <v>81.093315000000004</v>
      </c>
      <c r="I72">
        <v>80.154510000000002</v>
      </c>
      <c r="J72">
        <v>78.937209999999993</v>
      </c>
      <c r="K72">
        <v>77.701949999999997</v>
      </c>
      <c r="L72">
        <v>76.437241</v>
      </c>
      <c r="M72">
        <v>75.144149999999996</v>
      </c>
      <c r="N72">
        <v>73.840141000000003</v>
      </c>
      <c r="O72">
        <v>72.595862999999994</v>
      </c>
      <c r="P72">
        <v>71.452445999999995</v>
      </c>
      <c r="Q72">
        <v>70.394264000000007</v>
      </c>
      <c r="R72">
        <v>69.385695999999996</v>
      </c>
      <c r="S72">
        <v>68.423064999999994</v>
      </c>
      <c r="T72">
        <v>67.518416999999999</v>
      </c>
      <c r="U72">
        <v>66.499297999999996</v>
      </c>
      <c r="V72">
        <v>65.475020999999998</v>
      </c>
      <c r="W72">
        <v>64.446776999999997</v>
      </c>
      <c r="X72">
        <v>63.412239</v>
      </c>
      <c r="Y72">
        <v>62.361404</v>
      </c>
      <c r="Z72">
        <v>61.303871000000001</v>
      </c>
      <c r="AA72">
        <v>60.239207999999998</v>
      </c>
      <c r="AB72">
        <v>59.170093999999999</v>
      </c>
      <c r="AC72">
        <v>58.090964999999997</v>
      </c>
      <c r="AD72">
        <v>57.008719999999997</v>
      </c>
      <c r="AE72">
        <v>55.921512999999997</v>
      </c>
      <c r="AF72">
        <v>54.843356999999997</v>
      </c>
      <c r="AG72">
        <v>53.770729000000003</v>
      </c>
      <c r="AH72" s="31">
        <v>-1.6E-2</v>
      </c>
    </row>
    <row r="73" spans="1:34">
      <c r="A73" t="s">
        <v>112</v>
      </c>
      <c r="B73" t="s">
        <v>307</v>
      </c>
      <c r="C73" t="s">
        <v>3197</v>
      </c>
      <c r="D73" t="s">
        <v>3198</v>
      </c>
      <c r="E73" t="s">
        <v>354</v>
      </c>
      <c r="G73">
        <v>1.08043</v>
      </c>
      <c r="H73">
        <v>1.1090009999999999</v>
      </c>
      <c r="I73">
        <v>1.123974</v>
      </c>
      <c r="J73">
        <v>1.1334029999999999</v>
      </c>
      <c r="K73">
        <v>1.1428229999999999</v>
      </c>
      <c r="L73">
        <v>1.1520589999999999</v>
      </c>
      <c r="M73">
        <v>1.1612290000000001</v>
      </c>
      <c r="N73">
        <v>1.1705110000000001</v>
      </c>
      <c r="O73">
        <v>1.18072</v>
      </c>
      <c r="P73">
        <v>1.190545</v>
      </c>
      <c r="Q73">
        <v>1.200944</v>
      </c>
      <c r="R73">
        <v>1.21228</v>
      </c>
      <c r="S73">
        <v>1.222046</v>
      </c>
      <c r="T73">
        <v>1.232391</v>
      </c>
      <c r="U73">
        <v>1.241193</v>
      </c>
      <c r="V73">
        <v>1.250219</v>
      </c>
      <c r="W73">
        <v>1.2594339999999999</v>
      </c>
      <c r="X73">
        <v>1.2684489999999999</v>
      </c>
      <c r="Y73">
        <v>1.276748</v>
      </c>
      <c r="Z73">
        <v>1.284117</v>
      </c>
      <c r="AA73">
        <v>1.2912060000000001</v>
      </c>
      <c r="AB73">
        <v>1.297987</v>
      </c>
      <c r="AC73">
        <v>1.3048919999999999</v>
      </c>
      <c r="AD73">
        <v>1.3117749999999999</v>
      </c>
      <c r="AE73">
        <v>1.3181830000000001</v>
      </c>
      <c r="AF73">
        <v>1.324549</v>
      </c>
      <c r="AG73">
        <v>1.330867</v>
      </c>
      <c r="AH73" s="31">
        <v>8.0000000000000002E-3</v>
      </c>
    </row>
    <row r="74" spans="1:34">
      <c r="A74" t="s">
        <v>257</v>
      </c>
      <c r="B74" t="s">
        <v>308</v>
      </c>
      <c r="C74" t="s">
        <v>3199</v>
      </c>
      <c r="D74" t="s">
        <v>3200</v>
      </c>
      <c r="E74" t="s">
        <v>354</v>
      </c>
      <c r="G74">
        <v>8.0368440000000003</v>
      </c>
      <c r="H74">
        <v>7.9989049999999997</v>
      </c>
      <c r="I74">
        <v>7.9063030000000003</v>
      </c>
      <c r="J74">
        <v>7.7862289999999996</v>
      </c>
      <c r="K74">
        <v>7.6643869999999996</v>
      </c>
      <c r="L74">
        <v>7.5396390000000002</v>
      </c>
      <c r="M74">
        <v>7.4120889999999999</v>
      </c>
      <c r="N74">
        <v>7.2834640000000004</v>
      </c>
      <c r="O74">
        <v>7.1607320000000003</v>
      </c>
      <c r="P74">
        <v>7.0479469999999997</v>
      </c>
      <c r="Q74">
        <v>6.9435690000000001</v>
      </c>
      <c r="R74">
        <v>6.8440859999999999</v>
      </c>
      <c r="S74">
        <v>6.7491329999999996</v>
      </c>
      <c r="T74">
        <v>6.6599000000000004</v>
      </c>
      <c r="U74">
        <v>6.5593760000000003</v>
      </c>
      <c r="V74">
        <v>6.4583440000000003</v>
      </c>
      <c r="W74">
        <v>6.3569190000000004</v>
      </c>
      <c r="X74">
        <v>6.254874</v>
      </c>
      <c r="Y74">
        <v>6.1512209999999996</v>
      </c>
      <c r="Z74">
        <v>6.0469080000000002</v>
      </c>
      <c r="AA74">
        <v>5.9418920000000002</v>
      </c>
      <c r="AB74">
        <v>5.836436</v>
      </c>
      <c r="AC74">
        <v>5.7299930000000003</v>
      </c>
      <c r="AD74">
        <v>5.6232410000000002</v>
      </c>
      <c r="AE74">
        <v>5.5160020000000003</v>
      </c>
      <c r="AF74">
        <v>5.4096539999999997</v>
      </c>
      <c r="AG74">
        <v>5.3038530000000002</v>
      </c>
      <c r="AH74" s="31">
        <v>-1.6E-2</v>
      </c>
    </row>
    <row r="75" spans="1:34">
      <c r="A75" t="s">
        <v>111</v>
      </c>
      <c r="B75" t="s">
        <v>309</v>
      </c>
      <c r="C75" t="s">
        <v>3201</v>
      </c>
      <c r="D75" t="s">
        <v>3202</v>
      </c>
      <c r="E75" t="s">
        <v>354</v>
      </c>
      <c r="G75">
        <v>0.43350100000000003</v>
      </c>
      <c r="H75">
        <v>0.71207500000000001</v>
      </c>
      <c r="I75">
        <v>0.95266899999999999</v>
      </c>
      <c r="J75">
        <v>1.1860360000000001</v>
      </c>
      <c r="K75">
        <v>1.414234</v>
      </c>
      <c r="L75">
        <v>1.6367689999999999</v>
      </c>
      <c r="M75">
        <v>1.853299</v>
      </c>
      <c r="N75">
        <v>2.063949</v>
      </c>
      <c r="O75">
        <v>2.2707190000000002</v>
      </c>
      <c r="P75">
        <v>2.4754809999999998</v>
      </c>
      <c r="Q75">
        <v>2.6785960000000002</v>
      </c>
      <c r="R75">
        <v>2.8794080000000002</v>
      </c>
      <c r="S75">
        <v>3.0781019999999999</v>
      </c>
      <c r="T75">
        <v>3.2757350000000001</v>
      </c>
      <c r="U75">
        <v>3.463921</v>
      </c>
      <c r="V75">
        <v>3.6474440000000001</v>
      </c>
      <c r="W75">
        <v>3.8262390000000002</v>
      </c>
      <c r="X75">
        <v>4.0000239999999998</v>
      </c>
      <c r="Y75">
        <v>4.1679579999999996</v>
      </c>
      <c r="Z75">
        <v>4.3304239999999998</v>
      </c>
      <c r="AA75">
        <v>4.4872579999999997</v>
      </c>
      <c r="AB75">
        <v>4.6384879999999997</v>
      </c>
      <c r="AC75">
        <v>4.7835470000000004</v>
      </c>
      <c r="AD75">
        <v>4.9227959999999999</v>
      </c>
      <c r="AE75">
        <v>5.0558969999999999</v>
      </c>
      <c r="AF75">
        <v>5.1840140000000003</v>
      </c>
      <c r="AG75">
        <v>5.3068090000000003</v>
      </c>
      <c r="AH75" s="31">
        <v>0.10100000000000001</v>
      </c>
    </row>
    <row r="76" spans="1:34">
      <c r="A76" t="s">
        <v>258</v>
      </c>
      <c r="B76" t="s">
        <v>310</v>
      </c>
      <c r="C76" t="s">
        <v>3203</v>
      </c>
      <c r="D76" t="s">
        <v>3204</v>
      </c>
      <c r="E76" t="s">
        <v>354</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t="s">
        <v>117</v>
      </c>
    </row>
    <row r="77" spans="1:34" s="127" customFormat="1">
      <c r="A77" s="181"/>
      <c r="B77" s="127" t="s">
        <v>280</v>
      </c>
      <c r="C77" s="127" t="s">
        <v>3205</v>
      </c>
      <c r="D77" s="127" t="s">
        <v>3206</v>
      </c>
      <c r="E77" s="127" t="s">
        <v>354</v>
      </c>
      <c r="G77" s="127">
        <v>43.892204</v>
      </c>
      <c r="H77" s="127">
        <v>46.490710999999997</v>
      </c>
      <c r="I77" s="127">
        <v>47.928882999999999</v>
      </c>
      <c r="J77" s="127">
        <v>48.711205</v>
      </c>
      <c r="K77" s="127">
        <v>49.231833999999999</v>
      </c>
      <c r="L77" s="127">
        <v>49.773636000000003</v>
      </c>
      <c r="M77" s="127">
        <v>50.393982000000001</v>
      </c>
      <c r="N77" s="127">
        <v>50.846916</v>
      </c>
      <c r="O77" s="127">
        <v>51.249969</v>
      </c>
      <c r="P77" s="127">
        <v>51.578491</v>
      </c>
      <c r="Q77" s="127">
        <v>51.858665000000002</v>
      </c>
      <c r="R77" s="127">
        <v>52.283653000000001</v>
      </c>
      <c r="S77" s="127">
        <v>52.821021999999999</v>
      </c>
      <c r="T77" s="127">
        <v>53.370353999999999</v>
      </c>
      <c r="U77" s="127">
        <v>53.936473999999997</v>
      </c>
      <c r="V77" s="127">
        <v>54.449078</v>
      </c>
      <c r="W77" s="127">
        <v>54.919967999999997</v>
      </c>
      <c r="X77" s="127">
        <v>55.340308999999998</v>
      </c>
      <c r="Y77" s="127">
        <v>55.737267000000003</v>
      </c>
      <c r="Z77" s="127">
        <v>56.129337</v>
      </c>
      <c r="AA77" s="127">
        <v>56.455002</v>
      </c>
      <c r="AB77" s="127">
        <v>56.804771000000002</v>
      </c>
      <c r="AC77" s="127">
        <v>57.083145000000002</v>
      </c>
      <c r="AD77" s="127">
        <v>57.392547999999998</v>
      </c>
      <c r="AE77" s="127">
        <v>57.764831999999998</v>
      </c>
      <c r="AF77" s="127">
        <v>58.136749000000002</v>
      </c>
      <c r="AG77" s="127">
        <v>58.625304999999997</v>
      </c>
      <c r="AH77" s="186">
        <v>1.0999999999999999E-2</v>
      </c>
    </row>
    <row r="78" spans="1:34" s="127" customFormat="1">
      <c r="A78" s="181"/>
      <c r="B78" s="127" t="s">
        <v>326</v>
      </c>
      <c r="C78" s="127" t="s">
        <v>3207</v>
      </c>
      <c r="D78" s="127" t="s">
        <v>3208</v>
      </c>
      <c r="E78" s="127" t="s">
        <v>354</v>
      </c>
      <c r="G78" s="127">
        <v>8.7423819999999992</v>
      </c>
      <c r="H78" s="127">
        <v>9.3800589999999993</v>
      </c>
      <c r="I78" s="127">
        <v>9.8378320000000006</v>
      </c>
      <c r="J78" s="127">
        <v>10.165743000000001</v>
      </c>
      <c r="K78" s="127">
        <v>10.415087</v>
      </c>
      <c r="L78" s="127">
        <v>10.611311000000001</v>
      </c>
      <c r="M78" s="127">
        <v>10.771235000000001</v>
      </c>
      <c r="N78" s="127">
        <v>10.905773999999999</v>
      </c>
      <c r="O78" s="127">
        <v>11.020588</v>
      </c>
      <c r="P78" s="127">
        <v>11.119541</v>
      </c>
      <c r="Q78" s="127">
        <v>11.206322</v>
      </c>
      <c r="R78" s="127">
        <v>11.283692</v>
      </c>
      <c r="S78" s="127">
        <v>11.353813000000001</v>
      </c>
      <c r="T78" s="127">
        <v>11.417555</v>
      </c>
      <c r="U78" s="127">
        <v>11.481839000000001</v>
      </c>
      <c r="V78" s="127">
        <v>11.543386999999999</v>
      </c>
      <c r="W78" s="127">
        <v>11.602665</v>
      </c>
      <c r="X78" s="127">
        <v>11.660023000000001</v>
      </c>
      <c r="Y78" s="127">
        <v>11.716011999999999</v>
      </c>
      <c r="Z78" s="127">
        <v>11.770652999999999</v>
      </c>
      <c r="AA78" s="127">
        <v>11.824216</v>
      </c>
      <c r="AB78" s="127">
        <v>11.876847</v>
      </c>
      <c r="AC78" s="127">
        <v>11.928874</v>
      </c>
      <c r="AD78" s="127">
        <v>11.980318</v>
      </c>
      <c r="AE78" s="127">
        <v>12.031491000000001</v>
      </c>
      <c r="AF78" s="127">
        <v>12.082007000000001</v>
      </c>
      <c r="AG78" s="127">
        <v>12.132166</v>
      </c>
      <c r="AH78" s="186">
        <v>1.2999999999999999E-2</v>
      </c>
    </row>
    <row r="79" spans="1:34" s="127" customFormat="1">
      <c r="A79" s="181"/>
      <c r="B79" s="127" t="s">
        <v>309</v>
      </c>
      <c r="C79" s="127" t="s">
        <v>3209</v>
      </c>
      <c r="D79" s="127" t="s">
        <v>3210</v>
      </c>
      <c r="E79" s="127" t="s">
        <v>354</v>
      </c>
      <c r="G79" s="127">
        <v>1.0626599999999999</v>
      </c>
      <c r="H79" s="127">
        <v>1.140172</v>
      </c>
      <c r="I79" s="127">
        <v>1.1958150000000001</v>
      </c>
      <c r="J79" s="127">
        <v>1.2356739999999999</v>
      </c>
      <c r="K79" s="127">
        <v>1.2659819999999999</v>
      </c>
      <c r="L79" s="127">
        <v>1.2898339999999999</v>
      </c>
      <c r="M79" s="127">
        <v>1.3092729999999999</v>
      </c>
      <c r="N79" s="127">
        <v>1.325626</v>
      </c>
      <c r="O79" s="127">
        <v>1.3395820000000001</v>
      </c>
      <c r="P79" s="127">
        <v>1.35161</v>
      </c>
      <c r="Q79" s="127">
        <v>1.3621589999999999</v>
      </c>
      <c r="R79" s="127">
        <v>1.3715630000000001</v>
      </c>
      <c r="S79" s="127">
        <v>1.3800870000000001</v>
      </c>
      <c r="T79" s="127">
        <v>1.3878349999999999</v>
      </c>
      <c r="U79" s="127">
        <v>1.3956489999999999</v>
      </c>
      <c r="V79" s="127">
        <v>1.40313</v>
      </c>
      <c r="W79" s="127">
        <v>1.410336</v>
      </c>
      <c r="X79" s="127">
        <v>1.4173070000000001</v>
      </c>
      <c r="Y79" s="127">
        <v>1.424113</v>
      </c>
      <c r="Z79" s="127">
        <v>1.430755</v>
      </c>
      <c r="AA79" s="127">
        <v>1.437265</v>
      </c>
      <c r="AB79" s="127">
        <v>1.4436629999999999</v>
      </c>
      <c r="AC79" s="127">
        <v>1.449986</v>
      </c>
      <c r="AD79" s="127">
        <v>1.45624</v>
      </c>
      <c r="AE79" s="127">
        <v>1.462461</v>
      </c>
      <c r="AF79" s="127">
        <v>1.4685999999999999</v>
      </c>
      <c r="AG79" s="127">
        <v>1.4746980000000001</v>
      </c>
      <c r="AH79" s="186">
        <v>1.2999999999999999E-2</v>
      </c>
    </row>
    <row r="80" spans="1:34" s="127" customFormat="1">
      <c r="A80" s="181"/>
      <c r="B80" s="127" t="s">
        <v>327</v>
      </c>
      <c r="C80" s="127" t="s">
        <v>3211</v>
      </c>
      <c r="D80" s="127" t="s">
        <v>3212</v>
      </c>
      <c r="E80" s="127" t="s">
        <v>354</v>
      </c>
      <c r="G80" s="127">
        <v>7.6797219999999999</v>
      </c>
      <c r="H80" s="127">
        <v>8.2398869999999995</v>
      </c>
      <c r="I80" s="127">
        <v>8.6420169999999992</v>
      </c>
      <c r="J80" s="127">
        <v>8.9300689999999996</v>
      </c>
      <c r="K80" s="127">
        <v>9.1491050000000005</v>
      </c>
      <c r="L80" s="127">
        <v>9.3214769999999998</v>
      </c>
      <c r="M80" s="127">
        <v>9.4619630000000008</v>
      </c>
      <c r="N80" s="127">
        <v>9.5801479999999994</v>
      </c>
      <c r="O80" s="127">
        <v>9.6810050000000007</v>
      </c>
      <c r="P80" s="127">
        <v>9.7679310000000008</v>
      </c>
      <c r="Q80" s="127">
        <v>9.844163</v>
      </c>
      <c r="R80" s="127">
        <v>9.9121290000000002</v>
      </c>
      <c r="S80" s="127">
        <v>9.9737259999999992</v>
      </c>
      <c r="T80" s="127">
        <v>10.029719999999999</v>
      </c>
      <c r="U80" s="127">
        <v>10.08619</v>
      </c>
      <c r="V80" s="127">
        <v>10.140257999999999</v>
      </c>
      <c r="W80" s="127">
        <v>10.192329000000001</v>
      </c>
      <c r="X80" s="127">
        <v>10.242716</v>
      </c>
      <c r="Y80" s="127">
        <v>10.291899000000001</v>
      </c>
      <c r="Z80" s="127">
        <v>10.339898</v>
      </c>
      <c r="AA80" s="127">
        <v>10.386950000000001</v>
      </c>
      <c r="AB80" s="127">
        <v>10.433185</v>
      </c>
      <c r="AC80" s="127">
        <v>10.478888</v>
      </c>
      <c r="AD80" s="127">
        <v>10.524077999999999</v>
      </c>
      <c r="AE80" s="127">
        <v>10.569031000000001</v>
      </c>
      <c r="AF80" s="127">
        <v>10.613407</v>
      </c>
      <c r="AG80" s="127">
        <v>10.657468</v>
      </c>
      <c r="AH80" s="186">
        <v>1.2999999999999999E-2</v>
      </c>
    </row>
    <row r="81" spans="1:34" s="127" customFormat="1">
      <c r="A81" s="181"/>
      <c r="B81" s="127" t="s">
        <v>316</v>
      </c>
      <c r="C81" s="127" t="s">
        <v>3213</v>
      </c>
      <c r="D81" s="127" t="s">
        <v>3214</v>
      </c>
      <c r="E81" s="127" t="s">
        <v>354</v>
      </c>
      <c r="G81" s="127">
        <v>0</v>
      </c>
      <c r="H81" s="127">
        <v>0</v>
      </c>
      <c r="I81" s="127">
        <v>0</v>
      </c>
      <c r="J81" s="127">
        <v>0</v>
      </c>
      <c r="K81" s="127">
        <v>0</v>
      </c>
      <c r="L81" s="127">
        <v>0</v>
      </c>
      <c r="M81" s="127">
        <v>0</v>
      </c>
      <c r="N81" s="127">
        <v>0</v>
      </c>
      <c r="O81" s="127">
        <v>0</v>
      </c>
      <c r="P81" s="127">
        <v>0</v>
      </c>
      <c r="Q81" s="127">
        <v>0</v>
      </c>
      <c r="R81" s="127">
        <v>0</v>
      </c>
      <c r="S81" s="127">
        <v>0</v>
      </c>
      <c r="T81" s="127">
        <v>0</v>
      </c>
      <c r="U81" s="127">
        <v>0</v>
      </c>
      <c r="V81" s="127">
        <v>0</v>
      </c>
      <c r="W81" s="127">
        <v>0</v>
      </c>
      <c r="X81" s="127">
        <v>0</v>
      </c>
      <c r="Y81" s="127">
        <v>0</v>
      </c>
      <c r="Z81" s="127">
        <v>0</v>
      </c>
      <c r="AA81" s="127">
        <v>0</v>
      </c>
      <c r="AB81" s="127">
        <v>0</v>
      </c>
      <c r="AC81" s="127">
        <v>0</v>
      </c>
      <c r="AD81" s="127">
        <v>0</v>
      </c>
      <c r="AE81" s="127">
        <v>0</v>
      </c>
      <c r="AF81" s="127">
        <v>0</v>
      </c>
      <c r="AG81" s="127">
        <v>0</v>
      </c>
      <c r="AH81" s="127" t="s">
        <v>117</v>
      </c>
    </row>
    <row r="82" spans="1:34" s="127" customFormat="1">
      <c r="A82" s="181"/>
      <c r="B82" s="127" t="s">
        <v>317</v>
      </c>
      <c r="C82" s="127" t="s">
        <v>3215</v>
      </c>
      <c r="D82" s="127" t="s">
        <v>3216</v>
      </c>
      <c r="E82" s="127" t="s">
        <v>354</v>
      </c>
      <c r="G82" s="127">
        <v>0</v>
      </c>
      <c r="H82" s="127">
        <v>0</v>
      </c>
      <c r="I82" s="127">
        <v>0</v>
      </c>
      <c r="J82" s="127">
        <v>0</v>
      </c>
      <c r="K82" s="127">
        <v>0</v>
      </c>
      <c r="L82" s="127">
        <v>0</v>
      </c>
      <c r="M82" s="127">
        <v>0</v>
      </c>
      <c r="N82" s="127">
        <v>0</v>
      </c>
      <c r="O82" s="127">
        <v>0</v>
      </c>
      <c r="P82" s="127">
        <v>0</v>
      </c>
      <c r="Q82" s="127">
        <v>0</v>
      </c>
      <c r="R82" s="127">
        <v>0</v>
      </c>
      <c r="S82" s="127">
        <v>0</v>
      </c>
      <c r="T82" s="127">
        <v>0</v>
      </c>
      <c r="U82" s="127">
        <v>0</v>
      </c>
      <c r="V82" s="127">
        <v>0</v>
      </c>
      <c r="W82" s="127">
        <v>0</v>
      </c>
      <c r="X82" s="127">
        <v>0</v>
      </c>
      <c r="Y82" s="127">
        <v>0</v>
      </c>
      <c r="Z82" s="127">
        <v>0</v>
      </c>
      <c r="AA82" s="127">
        <v>0</v>
      </c>
      <c r="AB82" s="127">
        <v>0</v>
      </c>
      <c r="AC82" s="127">
        <v>0</v>
      </c>
      <c r="AD82" s="127">
        <v>0</v>
      </c>
      <c r="AE82" s="127">
        <v>0</v>
      </c>
      <c r="AF82" s="127">
        <v>0</v>
      </c>
      <c r="AG82" s="127">
        <v>0</v>
      </c>
      <c r="AH82" s="127" t="s">
        <v>117</v>
      </c>
    </row>
    <row r="83" spans="1:34" s="127" customFormat="1">
      <c r="A83" s="181"/>
      <c r="B83" s="127" t="s">
        <v>328</v>
      </c>
      <c r="C83" s="127" t="s">
        <v>3217</v>
      </c>
      <c r="D83" s="127" t="s">
        <v>3218</v>
      </c>
      <c r="E83" s="127" t="s">
        <v>354</v>
      </c>
      <c r="G83" s="127">
        <v>14.508388999999999</v>
      </c>
      <c r="H83" s="127">
        <v>15.421035</v>
      </c>
      <c r="I83" s="127">
        <v>16.002700999999998</v>
      </c>
      <c r="J83" s="127">
        <v>16.428796999999999</v>
      </c>
      <c r="K83" s="127">
        <v>16.870525000000001</v>
      </c>
      <c r="L83" s="127">
        <v>17.287436</v>
      </c>
      <c r="M83" s="127">
        <v>17.607780000000002</v>
      </c>
      <c r="N83" s="127">
        <v>17.836908000000001</v>
      </c>
      <c r="O83" s="127">
        <v>18.041525</v>
      </c>
      <c r="P83" s="127">
        <v>18.197558999999998</v>
      </c>
      <c r="Q83" s="127">
        <v>18.347023</v>
      </c>
      <c r="R83" s="127">
        <v>18.543555999999999</v>
      </c>
      <c r="S83" s="127">
        <v>18.732952000000001</v>
      </c>
      <c r="T83" s="127">
        <v>18.925523999999999</v>
      </c>
      <c r="U83" s="127">
        <v>19.122789000000001</v>
      </c>
      <c r="V83" s="127">
        <v>19.294951999999999</v>
      </c>
      <c r="W83" s="127">
        <v>19.444386000000002</v>
      </c>
      <c r="X83" s="127">
        <v>19.568449000000001</v>
      </c>
      <c r="Y83" s="127">
        <v>19.677353</v>
      </c>
      <c r="Z83" s="127">
        <v>19.784870000000002</v>
      </c>
      <c r="AA83" s="127">
        <v>19.860029000000001</v>
      </c>
      <c r="AB83" s="127">
        <v>19.946988999999999</v>
      </c>
      <c r="AC83" s="127">
        <v>19.998484000000001</v>
      </c>
      <c r="AD83" s="127">
        <v>20.058503999999999</v>
      </c>
      <c r="AE83" s="127">
        <v>20.148382000000002</v>
      </c>
      <c r="AF83" s="127">
        <v>20.242802000000001</v>
      </c>
      <c r="AG83" s="127">
        <v>20.400482</v>
      </c>
      <c r="AH83" s="186">
        <v>1.2999999999999999E-2</v>
      </c>
    </row>
    <row r="84" spans="1:34" s="127" customFormat="1">
      <c r="A84" s="181"/>
      <c r="B84" s="127" t="s">
        <v>309</v>
      </c>
      <c r="C84" s="127" t="s">
        <v>3219</v>
      </c>
      <c r="D84" s="127" t="s">
        <v>3220</v>
      </c>
      <c r="E84" s="127" t="s">
        <v>354</v>
      </c>
      <c r="G84" s="127">
        <v>14.508388999999999</v>
      </c>
      <c r="H84" s="127">
        <v>15.421035</v>
      </c>
      <c r="I84" s="127">
        <v>16.002700999999998</v>
      </c>
      <c r="J84" s="127">
        <v>16.428796999999999</v>
      </c>
      <c r="K84" s="127">
        <v>16.870525000000001</v>
      </c>
      <c r="L84" s="127">
        <v>17.287436</v>
      </c>
      <c r="M84" s="127">
        <v>17.607780000000002</v>
      </c>
      <c r="N84" s="127">
        <v>17.836908000000001</v>
      </c>
      <c r="O84" s="127">
        <v>18.041525</v>
      </c>
      <c r="P84" s="127">
        <v>18.197558999999998</v>
      </c>
      <c r="Q84" s="127">
        <v>18.347023</v>
      </c>
      <c r="R84" s="127">
        <v>18.543555999999999</v>
      </c>
      <c r="S84" s="127">
        <v>18.732952000000001</v>
      </c>
      <c r="T84" s="127">
        <v>18.925523999999999</v>
      </c>
      <c r="U84" s="127">
        <v>19.122789000000001</v>
      </c>
      <c r="V84" s="127">
        <v>19.294951999999999</v>
      </c>
      <c r="W84" s="127">
        <v>19.444386000000002</v>
      </c>
      <c r="X84" s="127">
        <v>19.568449000000001</v>
      </c>
      <c r="Y84" s="127">
        <v>19.677353</v>
      </c>
      <c r="Z84" s="127">
        <v>19.784870000000002</v>
      </c>
      <c r="AA84" s="127">
        <v>19.860029000000001</v>
      </c>
      <c r="AB84" s="127">
        <v>19.946988999999999</v>
      </c>
      <c r="AC84" s="127">
        <v>19.998484000000001</v>
      </c>
      <c r="AD84" s="127">
        <v>20.058503999999999</v>
      </c>
      <c r="AE84" s="127">
        <v>20.148382000000002</v>
      </c>
      <c r="AF84" s="127">
        <v>20.242802000000001</v>
      </c>
      <c r="AG84" s="127">
        <v>20.400482</v>
      </c>
      <c r="AH84" s="186">
        <v>1.2999999999999999E-2</v>
      </c>
    </row>
    <row r="85" spans="1:34" s="127" customFormat="1">
      <c r="A85" s="181"/>
      <c r="B85" s="127" t="s">
        <v>329</v>
      </c>
      <c r="C85" s="127" t="s">
        <v>3221</v>
      </c>
      <c r="D85" s="127" t="s">
        <v>3222</v>
      </c>
      <c r="E85" s="127" t="s">
        <v>354</v>
      </c>
      <c r="G85" s="127">
        <v>20.641434</v>
      </c>
      <c r="H85" s="127">
        <v>21.689616999999998</v>
      </c>
      <c r="I85" s="127">
        <v>22.088348</v>
      </c>
      <c r="J85" s="127">
        <v>22.116669000000002</v>
      </c>
      <c r="K85" s="127">
        <v>21.94622</v>
      </c>
      <c r="L85" s="127">
        <v>21.874889</v>
      </c>
      <c r="M85" s="127">
        <v>22.014965</v>
      </c>
      <c r="N85" s="127">
        <v>22.104230999999999</v>
      </c>
      <c r="O85" s="127">
        <v>22.187854999999999</v>
      </c>
      <c r="P85" s="127">
        <v>22.261389000000001</v>
      </c>
      <c r="Q85" s="127">
        <v>22.305319000000001</v>
      </c>
      <c r="R85" s="127">
        <v>22.456403999999999</v>
      </c>
      <c r="S85" s="127">
        <v>22.734255000000001</v>
      </c>
      <c r="T85" s="127">
        <v>23.027270999999999</v>
      </c>
      <c r="U85" s="127">
        <v>23.331844</v>
      </c>
      <c r="V85" s="127">
        <v>23.610738999999999</v>
      </c>
      <c r="W85" s="127">
        <v>23.872917000000001</v>
      </c>
      <c r="X85" s="127">
        <v>24.111839</v>
      </c>
      <c r="Y85" s="127">
        <v>24.343903000000001</v>
      </c>
      <c r="Z85" s="127">
        <v>24.573816000000001</v>
      </c>
      <c r="AA85" s="127">
        <v>24.770754</v>
      </c>
      <c r="AB85" s="127">
        <v>24.980931999999999</v>
      </c>
      <c r="AC85" s="127">
        <v>25.155787</v>
      </c>
      <c r="AD85" s="127">
        <v>25.353729000000001</v>
      </c>
      <c r="AE85" s="127">
        <v>25.584959000000001</v>
      </c>
      <c r="AF85" s="127">
        <v>25.811942999999999</v>
      </c>
      <c r="AG85" s="127">
        <v>26.092656999999999</v>
      </c>
      <c r="AH85" s="186">
        <v>8.9999999999999993E-3</v>
      </c>
    </row>
    <row r="86" spans="1:34" s="127" customFormat="1">
      <c r="A86" s="181"/>
      <c r="B86" s="127" t="s">
        <v>309</v>
      </c>
      <c r="C86" s="127" t="s">
        <v>3223</v>
      </c>
      <c r="D86" s="127" t="s">
        <v>3224</v>
      </c>
      <c r="E86" s="127" t="s">
        <v>354</v>
      </c>
      <c r="G86" s="127">
        <v>7.5111889999999999</v>
      </c>
      <c r="H86" s="127">
        <v>7.855988</v>
      </c>
      <c r="I86" s="127">
        <v>8.0141960000000001</v>
      </c>
      <c r="J86" s="127">
        <v>8.0560130000000001</v>
      </c>
      <c r="K86" s="127">
        <v>8.0277329999999996</v>
      </c>
      <c r="L86" s="127">
        <v>8.0724560000000007</v>
      </c>
      <c r="M86" s="127">
        <v>8.107094</v>
      </c>
      <c r="N86" s="127">
        <v>8.1060300000000005</v>
      </c>
      <c r="O86" s="127">
        <v>8.1130739999999992</v>
      </c>
      <c r="P86" s="127">
        <v>8.1194109999999995</v>
      </c>
      <c r="Q86" s="127">
        <v>8.102843</v>
      </c>
      <c r="R86" s="127">
        <v>8.1355620000000002</v>
      </c>
      <c r="S86" s="127">
        <v>8.2269900000000007</v>
      </c>
      <c r="T86" s="127">
        <v>8.3286890000000007</v>
      </c>
      <c r="U86" s="127">
        <v>8.4335880000000003</v>
      </c>
      <c r="V86" s="127">
        <v>8.5265900000000006</v>
      </c>
      <c r="W86" s="127">
        <v>8.6186360000000004</v>
      </c>
      <c r="X86" s="127">
        <v>8.7029239999999994</v>
      </c>
      <c r="Y86" s="127">
        <v>8.7860029999999991</v>
      </c>
      <c r="Z86" s="127">
        <v>8.8617150000000002</v>
      </c>
      <c r="AA86" s="127">
        <v>8.9281100000000002</v>
      </c>
      <c r="AB86" s="127">
        <v>8.9928310000000007</v>
      </c>
      <c r="AC86" s="127">
        <v>9.0486979999999999</v>
      </c>
      <c r="AD86" s="127">
        <v>9.1163530000000002</v>
      </c>
      <c r="AE86" s="127">
        <v>9.1924899999999994</v>
      </c>
      <c r="AF86" s="127">
        <v>9.2656609999999997</v>
      </c>
      <c r="AG86" s="127">
        <v>9.3441930000000006</v>
      </c>
      <c r="AH86" s="186">
        <v>8.0000000000000002E-3</v>
      </c>
    </row>
    <row r="87" spans="1:34" s="127" customFormat="1">
      <c r="A87" s="181"/>
      <c r="B87" s="127" t="s">
        <v>327</v>
      </c>
      <c r="C87" s="127" t="s">
        <v>3225</v>
      </c>
      <c r="D87" s="127" t="s">
        <v>3226</v>
      </c>
      <c r="E87" s="127" t="s">
        <v>354</v>
      </c>
      <c r="G87" s="127">
        <v>13.130245</v>
      </c>
      <c r="H87" s="127">
        <v>13.833631</v>
      </c>
      <c r="I87" s="127">
        <v>14.074153000000001</v>
      </c>
      <c r="J87" s="127">
        <v>14.060656</v>
      </c>
      <c r="K87" s="127">
        <v>13.918488</v>
      </c>
      <c r="L87" s="127">
        <v>13.802433000000001</v>
      </c>
      <c r="M87" s="127">
        <v>13.907870000000001</v>
      </c>
      <c r="N87" s="127">
        <v>13.998201</v>
      </c>
      <c r="O87" s="127">
        <v>14.074781</v>
      </c>
      <c r="P87" s="127">
        <v>14.141977000000001</v>
      </c>
      <c r="Q87" s="127">
        <v>14.202476000000001</v>
      </c>
      <c r="R87" s="127">
        <v>14.320842000000001</v>
      </c>
      <c r="S87" s="127">
        <v>14.507265</v>
      </c>
      <c r="T87" s="127">
        <v>14.698584</v>
      </c>
      <c r="U87" s="127">
        <v>14.898256999999999</v>
      </c>
      <c r="V87" s="127">
        <v>15.084148000000001</v>
      </c>
      <c r="W87" s="127">
        <v>15.25428</v>
      </c>
      <c r="X87" s="127">
        <v>15.408915</v>
      </c>
      <c r="Y87" s="127">
        <v>15.5579</v>
      </c>
      <c r="Z87" s="127">
        <v>15.712101000000001</v>
      </c>
      <c r="AA87" s="127">
        <v>15.842644</v>
      </c>
      <c r="AB87" s="127">
        <v>15.988101</v>
      </c>
      <c r="AC87" s="127">
        <v>16.107088000000001</v>
      </c>
      <c r="AD87" s="127">
        <v>16.237375</v>
      </c>
      <c r="AE87" s="127">
        <v>16.392468999999998</v>
      </c>
      <c r="AF87" s="127">
        <v>16.546282000000001</v>
      </c>
      <c r="AG87" s="127">
        <v>16.748464999999999</v>
      </c>
      <c r="AH87" s="186">
        <v>8.9999999999999993E-3</v>
      </c>
    </row>
    <row r="88" spans="1:34" s="127" customFormat="1">
      <c r="A88" s="181"/>
      <c r="B88" s="127" t="s">
        <v>316</v>
      </c>
      <c r="C88" s="127" t="s">
        <v>3227</v>
      </c>
      <c r="D88" s="127" t="s">
        <v>3228</v>
      </c>
      <c r="E88" s="127" t="s">
        <v>354</v>
      </c>
      <c r="G88" s="127">
        <v>0</v>
      </c>
      <c r="H88" s="127">
        <v>0</v>
      </c>
      <c r="I88" s="127">
        <v>0</v>
      </c>
      <c r="J88" s="127">
        <v>0</v>
      </c>
      <c r="K88" s="127">
        <v>0</v>
      </c>
      <c r="L88" s="127">
        <v>0</v>
      </c>
      <c r="M88" s="127">
        <v>0</v>
      </c>
      <c r="N88" s="127">
        <v>0</v>
      </c>
      <c r="O88" s="127">
        <v>0</v>
      </c>
      <c r="P88" s="127">
        <v>0</v>
      </c>
      <c r="Q88" s="127">
        <v>0</v>
      </c>
      <c r="R88" s="127">
        <v>0</v>
      </c>
      <c r="S88" s="127">
        <v>0</v>
      </c>
      <c r="T88" s="127">
        <v>0</v>
      </c>
      <c r="U88" s="127">
        <v>0</v>
      </c>
      <c r="V88" s="127">
        <v>0</v>
      </c>
      <c r="W88" s="127">
        <v>0</v>
      </c>
      <c r="X88" s="127">
        <v>0</v>
      </c>
      <c r="Y88" s="127">
        <v>0</v>
      </c>
      <c r="Z88" s="127">
        <v>0</v>
      </c>
      <c r="AA88" s="127">
        <v>0</v>
      </c>
      <c r="AB88" s="127">
        <v>0</v>
      </c>
      <c r="AC88" s="127">
        <v>0</v>
      </c>
      <c r="AD88" s="127">
        <v>0</v>
      </c>
      <c r="AE88" s="127">
        <v>0</v>
      </c>
      <c r="AF88" s="127">
        <v>0</v>
      </c>
      <c r="AG88" s="127">
        <v>0</v>
      </c>
      <c r="AH88" s="127" t="s">
        <v>117</v>
      </c>
    </row>
    <row r="89" spans="1:34" s="127" customFormat="1">
      <c r="A89" s="181"/>
      <c r="B89" s="127" t="s">
        <v>317</v>
      </c>
      <c r="C89" s="127" t="s">
        <v>3229</v>
      </c>
      <c r="D89" s="127" t="s">
        <v>3230</v>
      </c>
      <c r="E89" s="127" t="s">
        <v>354</v>
      </c>
      <c r="G89" s="127">
        <v>0</v>
      </c>
      <c r="H89" s="127">
        <v>0</v>
      </c>
      <c r="I89" s="127">
        <v>0</v>
      </c>
      <c r="J89" s="127">
        <v>0</v>
      </c>
      <c r="K89" s="127">
        <v>0</v>
      </c>
      <c r="L89" s="127">
        <v>0</v>
      </c>
      <c r="M89" s="127">
        <v>0</v>
      </c>
      <c r="N89" s="127">
        <v>0</v>
      </c>
      <c r="O89" s="127">
        <v>0</v>
      </c>
      <c r="P89" s="127">
        <v>0</v>
      </c>
      <c r="Q89" s="127">
        <v>0</v>
      </c>
      <c r="R89" s="127">
        <v>0</v>
      </c>
      <c r="S89" s="127">
        <v>0</v>
      </c>
      <c r="T89" s="127">
        <v>0</v>
      </c>
      <c r="U89" s="127">
        <v>0</v>
      </c>
      <c r="V89" s="127">
        <v>0</v>
      </c>
      <c r="W89" s="127">
        <v>0</v>
      </c>
      <c r="X89" s="127">
        <v>0</v>
      </c>
      <c r="Y89" s="127">
        <v>0</v>
      </c>
      <c r="Z89" s="127">
        <v>0</v>
      </c>
      <c r="AA89" s="127">
        <v>0</v>
      </c>
      <c r="AB89" s="127">
        <v>0</v>
      </c>
      <c r="AC89" s="127">
        <v>0</v>
      </c>
      <c r="AD89" s="127">
        <v>0</v>
      </c>
      <c r="AE89" s="127">
        <v>0</v>
      </c>
      <c r="AF89" s="127">
        <v>0</v>
      </c>
      <c r="AG89" s="127">
        <v>0</v>
      </c>
      <c r="AH89" s="127" t="s">
        <v>117</v>
      </c>
    </row>
    <row r="90" spans="1:34">
      <c r="B90" t="s">
        <v>281</v>
      </c>
      <c r="C90" t="s">
        <v>3231</v>
      </c>
      <c r="D90" t="s">
        <v>3232</v>
      </c>
      <c r="E90" t="s">
        <v>354</v>
      </c>
      <c r="G90">
        <v>207.60502600000001</v>
      </c>
      <c r="H90">
        <v>206.044724</v>
      </c>
      <c r="I90">
        <v>205.25169399999999</v>
      </c>
      <c r="J90">
        <v>204.43426500000001</v>
      </c>
      <c r="K90">
        <v>203.14537000000001</v>
      </c>
      <c r="L90">
        <v>202.085342</v>
      </c>
      <c r="M90">
        <v>200.752869</v>
      </c>
      <c r="N90">
        <v>199.064514</v>
      </c>
      <c r="O90">
        <v>197.718536</v>
      </c>
      <c r="P90">
        <v>196.50250199999999</v>
      </c>
      <c r="Q90">
        <v>195.25280799999999</v>
      </c>
      <c r="R90">
        <v>194.23524499999999</v>
      </c>
      <c r="S90">
        <v>193.26904300000001</v>
      </c>
      <c r="T90">
        <v>192.45489499999999</v>
      </c>
      <c r="U90">
        <v>191.70195000000001</v>
      </c>
      <c r="V90">
        <v>190.90595999999999</v>
      </c>
      <c r="W90">
        <v>190.125854</v>
      </c>
      <c r="X90">
        <v>189.31890899999999</v>
      </c>
      <c r="Y90">
        <v>188.616241</v>
      </c>
      <c r="Z90">
        <v>187.856247</v>
      </c>
      <c r="AA90">
        <v>186.963165</v>
      </c>
      <c r="AB90">
        <v>186.014847</v>
      </c>
      <c r="AC90">
        <v>185.01559399999999</v>
      </c>
      <c r="AD90">
        <v>184.28604100000001</v>
      </c>
      <c r="AE90">
        <v>183.61746199999999</v>
      </c>
      <c r="AF90">
        <v>182.85122699999999</v>
      </c>
      <c r="AG90">
        <v>182.05470299999999</v>
      </c>
      <c r="AH90" s="31">
        <v>-5.0000000000000001E-3</v>
      </c>
    </row>
    <row r="91" spans="1:34">
      <c r="A91" t="s">
        <v>113</v>
      </c>
      <c r="B91" t="s">
        <v>330</v>
      </c>
      <c r="C91" t="s">
        <v>3233</v>
      </c>
      <c r="D91" t="s">
        <v>3234</v>
      </c>
      <c r="E91" t="s">
        <v>354</v>
      </c>
      <c r="G91">
        <v>166.91459699999999</v>
      </c>
      <c r="H91">
        <v>165.389938</v>
      </c>
      <c r="I91">
        <v>164.48289500000001</v>
      </c>
      <c r="J91">
        <v>163.55706799999999</v>
      </c>
      <c r="K91">
        <v>162.255493</v>
      </c>
      <c r="L91">
        <v>161.13850400000001</v>
      </c>
      <c r="M91">
        <v>159.80613700000001</v>
      </c>
      <c r="N91">
        <v>158.19323700000001</v>
      </c>
      <c r="O91">
        <v>156.85519400000001</v>
      </c>
      <c r="P91">
        <v>155.62240600000001</v>
      </c>
      <c r="Q91">
        <v>154.36505099999999</v>
      </c>
      <c r="R91">
        <v>153.29302999999999</v>
      </c>
      <c r="S91">
        <v>152.26300000000001</v>
      </c>
      <c r="T91">
        <v>151.353928</v>
      </c>
      <c r="U91">
        <v>150.49392700000001</v>
      </c>
      <c r="V91">
        <v>149.60101299999999</v>
      </c>
      <c r="W91">
        <v>148.721497</v>
      </c>
      <c r="X91">
        <v>147.821991</v>
      </c>
      <c r="Y91">
        <v>147.00477599999999</v>
      </c>
      <c r="Z91">
        <v>146.14373800000001</v>
      </c>
      <c r="AA91">
        <v>145.180283</v>
      </c>
      <c r="AB91">
        <v>144.175354</v>
      </c>
      <c r="AC91">
        <v>143.13253800000001</v>
      </c>
      <c r="AD91">
        <v>142.29965200000001</v>
      </c>
      <c r="AE91">
        <v>141.514679</v>
      </c>
      <c r="AF91">
        <v>140.65533400000001</v>
      </c>
      <c r="AG91">
        <v>139.773788</v>
      </c>
      <c r="AH91" s="31">
        <v>-7.0000000000000001E-3</v>
      </c>
    </row>
    <row r="92" spans="1:34">
      <c r="A92" t="s">
        <v>114</v>
      </c>
      <c r="B92" t="s">
        <v>306</v>
      </c>
      <c r="C92" t="s">
        <v>3235</v>
      </c>
      <c r="D92" t="s">
        <v>3236</v>
      </c>
      <c r="E92" t="s">
        <v>354</v>
      </c>
      <c r="G92">
        <v>40.690426000000002</v>
      </c>
      <c r="H92">
        <v>40.654781</v>
      </c>
      <c r="I92">
        <v>40.768794999999997</v>
      </c>
      <c r="J92">
        <v>40.877197000000002</v>
      </c>
      <c r="K92">
        <v>40.889881000000003</v>
      </c>
      <c r="L92">
        <v>40.946841999999997</v>
      </c>
      <c r="M92">
        <v>40.946728</v>
      </c>
      <c r="N92">
        <v>40.871284000000003</v>
      </c>
      <c r="O92">
        <v>40.863349999999997</v>
      </c>
      <c r="P92">
        <v>40.880088999999998</v>
      </c>
      <c r="Q92">
        <v>40.887752999999996</v>
      </c>
      <c r="R92">
        <v>40.942219000000001</v>
      </c>
      <c r="S92">
        <v>41.006045999999998</v>
      </c>
      <c r="T92">
        <v>41.100960000000001</v>
      </c>
      <c r="U92">
        <v>41.208027000000001</v>
      </c>
      <c r="V92">
        <v>41.304946999999999</v>
      </c>
      <c r="W92">
        <v>41.404350000000001</v>
      </c>
      <c r="X92">
        <v>41.496921999999998</v>
      </c>
      <c r="Y92">
        <v>41.611457999999999</v>
      </c>
      <c r="Z92">
        <v>41.712508999999997</v>
      </c>
      <c r="AA92">
        <v>41.782890000000002</v>
      </c>
      <c r="AB92">
        <v>41.839492999999997</v>
      </c>
      <c r="AC92">
        <v>41.88306</v>
      </c>
      <c r="AD92">
        <v>41.986381999999999</v>
      </c>
      <c r="AE92">
        <v>42.102791000000003</v>
      </c>
      <c r="AF92">
        <v>42.195900000000002</v>
      </c>
      <c r="AG92">
        <v>42.280914000000003</v>
      </c>
      <c r="AH92" s="31">
        <v>1E-3</v>
      </c>
    </row>
    <row r="93" spans="1:34">
      <c r="B93" t="s">
        <v>282</v>
      </c>
      <c r="C93" t="s">
        <v>3237</v>
      </c>
      <c r="D93" t="s">
        <v>3238</v>
      </c>
      <c r="E93" t="s">
        <v>354</v>
      </c>
      <c r="G93">
        <v>134.26944</v>
      </c>
      <c r="H93">
        <v>134.664963</v>
      </c>
      <c r="I93">
        <v>135.304733</v>
      </c>
      <c r="J93">
        <v>135.76445000000001</v>
      </c>
      <c r="K93">
        <v>135.97155799999999</v>
      </c>
      <c r="L93">
        <v>136.08528100000001</v>
      </c>
      <c r="M93">
        <v>136.12858600000001</v>
      </c>
      <c r="N93">
        <v>136.05534399999999</v>
      </c>
      <c r="O93">
        <v>135.95806899999999</v>
      </c>
      <c r="P93">
        <v>135.90976000000001</v>
      </c>
      <c r="Q93">
        <v>135.892471</v>
      </c>
      <c r="R93">
        <v>135.86319</v>
      </c>
      <c r="S93">
        <v>135.82115200000001</v>
      </c>
      <c r="T93">
        <v>135.77626000000001</v>
      </c>
      <c r="U93">
        <v>135.75709499999999</v>
      </c>
      <c r="V93">
        <v>135.764038</v>
      </c>
      <c r="W93">
        <v>135.76824999999999</v>
      </c>
      <c r="X93">
        <v>135.74340799999999</v>
      </c>
      <c r="Y93">
        <v>135.698792</v>
      </c>
      <c r="Z93">
        <v>135.63441499999999</v>
      </c>
      <c r="AA93">
        <v>135.56684899999999</v>
      </c>
      <c r="AB93">
        <v>135.500809</v>
      </c>
      <c r="AC93">
        <v>135.41752600000001</v>
      </c>
      <c r="AD93">
        <v>135.32342499999999</v>
      </c>
      <c r="AE93">
        <v>135.19622799999999</v>
      </c>
      <c r="AF93">
        <v>135.05600000000001</v>
      </c>
      <c r="AG93">
        <v>134.919434</v>
      </c>
      <c r="AH93" s="31">
        <v>0</v>
      </c>
    </row>
    <row r="94" spans="1:34">
      <c r="B94" t="s">
        <v>283</v>
      </c>
      <c r="C94" t="s">
        <v>3239</v>
      </c>
      <c r="D94" t="s">
        <v>3240</v>
      </c>
      <c r="E94" t="s">
        <v>354</v>
      </c>
      <c r="G94">
        <v>924.15820299999996</v>
      </c>
      <c r="H94">
        <v>870.21014400000001</v>
      </c>
      <c r="I94">
        <v>863.57080099999996</v>
      </c>
      <c r="J94">
        <v>835.60900900000001</v>
      </c>
      <c r="K94">
        <v>791.56463599999995</v>
      </c>
      <c r="L94">
        <v>757.790344</v>
      </c>
      <c r="M94">
        <v>713.010986</v>
      </c>
      <c r="N94">
        <v>703.35260000000005</v>
      </c>
      <c r="O94">
        <v>716.09576400000003</v>
      </c>
      <c r="P94">
        <v>709.19616699999995</v>
      </c>
      <c r="Q94">
        <v>701.62231399999996</v>
      </c>
      <c r="R94">
        <v>701.98468000000003</v>
      </c>
      <c r="S94">
        <v>707.069885</v>
      </c>
      <c r="T94">
        <v>716.51238999999998</v>
      </c>
      <c r="U94">
        <v>726.48242200000004</v>
      </c>
      <c r="V94">
        <v>737.60986300000002</v>
      </c>
      <c r="W94">
        <v>746.22839399999998</v>
      </c>
      <c r="X94">
        <v>752.33184800000004</v>
      </c>
      <c r="Y94">
        <v>756.95684800000004</v>
      </c>
      <c r="Z94">
        <v>765.15093999999999</v>
      </c>
      <c r="AA94">
        <v>774.86108400000001</v>
      </c>
      <c r="AB94">
        <v>781.81097399999999</v>
      </c>
      <c r="AC94">
        <v>792.942993</v>
      </c>
      <c r="AD94">
        <v>801.18463099999997</v>
      </c>
      <c r="AE94">
        <v>810.29339600000003</v>
      </c>
      <c r="AF94">
        <v>819.83679199999995</v>
      </c>
      <c r="AG94">
        <v>831.59936500000003</v>
      </c>
      <c r="AH94" s="31">
        <v>-4.0000000000000001E-3</v>
      </c>
    </row>
    <row r="95" spans="1:34">
      <c r="B95" t="s">
        <v>1143</v>
      </c>
      <c r="C95" t="s">
        <v>3241</v>
      </c>
      <c r="D95" t="s">
        <v>3242</v>
      </c>
      <c r="E95" t="s">
        <v>354</v>
      </c>
      <c r="G95">
        <v>367.99011200000001</v>
      </c>
      <c r="H95">
        <v>420.41076700000002</v>
      </c>
      <c r="I95">
        <v>447.69332900000001</v>
      </c>
      <c r="J95">
        <v>448.49334700000003</v>
      </c>
      <c r="K95">
        <v>534.99713099999997</v>
      </c>
      <c r="L95">
        <v>595.58819600000004</v>
      </c>
      <c r="M95">
        <v>658.57672100000002</v>
      </c>
      <c r="N95">
        <v>700.78753700000004</v>
      </c>
      <c r="O95">
        <v>769.51843299999996</v>
      </c>
      <c r="P95">
        <v>835.05316200000004</v>
      </c>
      <c r="Q95">
        <v>877.011169</v>
      </c>
      <c r="R95">
        <v>893.79437299999995</v>
      </c>
      <c r="S95">
        <v>912.175659</v>
      </c>
      <c r="T95">
        <v>927.36077899999998</v>
      </c>
      <c r="U95">
        <v>935.75238000000002</v>
      </c>
      <c r="V95">
        <v>935.75238000000002</v>
      </c>
      <c r="W95">
        <v>937.35046399999999</v>
      </c>
      <c r="X95">
        <v>935.75238000000002</v>
      </c>
      <c r="Y95">
        <v>935.74237100000005</v>
      </c>
      <c r="Z95">
        <v>930.754456</v>
      </c>
      <c r="AA95">
        <v>932.171021</v>
      </c>
      <c r="AB95">
        <v>929.52716099999998</v>
      </c>
      <c r="AC95">
        <v>934.68682899999999</v>
      </c>
      <c r="AD95">
        <v>934.997253</v>
      </c>
      <c r="AE95">
        <v>936.23211700000002</v>
      </c>
      <c r="AF95">
        <v>934.12908900000002</v>
      </c>
      <c r="AG95">
        <v>935.01782200000002</v>
      </c>
      <c r="AH95" s="31">
        <v>3.6999999999999998E-2</v>
      </c>
    </row>
    <row r="96" spans="1:34">
      <c r="B96" t="s">
        <v>195</v>
      </c>
      <c r="C96" t="s">
        <v>3243</v>
      </c>
      <c r="D96" t="s">
        <v>3244</v>
      </c>
      <c r="E96" t="s">
        <v>354</v>
      </c>
      <c r="G96">
        <v>29023.835938</v>
      </c>
      <c r="H96">
        <v>29108.828125</v>
      </c>
      <c r="I96">
        <v>29092.589843999998</v>
      </c>
      <c r="J96">
        <v>28954.326172000001</v>
      </c>
      <c r="K96">
        <v>28829.177734000001</v>
      </c>
      <c r="L96">
        <v>28671.765625</v>
      </c>
      <c r="M96">
        <v>28471.894531000002</v>
      </c>
      <c r="N96">
        <v>28308.326172000001</v>
      </c>
      <c r="O96">
        <v>28159.509765999999</v>
      </c>
      <c r="P96">
        <v>28023.871093999998</v>
      </c>
      <c r="Q96">
        <v>27891.519531000002</v>
      </c>
      <c r="R96">
        <v>27749.921875</v>
      </c>
      <c r="S96">
        <v>27603.794922000001</v>
      </c>
      <c r="T96">
        <v>27481.890625</v>
      </c>
      <c r="U96">
        <v>27396.919922000001</v>
      </c>
      <c r="V96">
        <v>27298.917968999998</v>
      </c>
      <c r="W96">
        <v>27232.666015999999</v>
      </c>
      <c r="X96">
        <v>27171.791015999999</v>
      </c>
      <c r="Y96">
        <v>27104.916015999999</v>
      </c>
      <c r="Z96">
        <v>27072.626952999999</v>
      </c>
      <c r="AA96">
        <v>27025.742188</v>
      </c>
      <c r="AB96">
        <v>26999.423827999999</v>
      </c>
      <c r="AC96">
        <v>26969.097656000002</v>
      </c>
      <c r="AD96">
        <v>26995.09375</v>
      </c>
      <c r="AE96">
        <v>26992.894531000002</v>
      </c>
      <c r="AF96">
        <v>27013.367188</v>
      </c>
      <c r="AG96">
        <v>27068.238281000002</v>
      </c>
      <c r="AH96" s="31">
        <v>-3.0000000000000001E-3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020E-0C28-490F-8295-2A30749AEB3C}">
  <dimension ref="A1:AH35"/>
  <sheetViews>
    <sheetView workbookViewId="0"/>
  </sheetViews>
  <sheetFormatPr defaultRowHeight="15"/>
  <cols>
    <col min="1" max="1" width="21.7109375" bestFit="1" customWidth="1"/>
    <col min="2" max="2" width="26.28515625" customWidth="1"/>
  </cols>
  <sheetData>
    <row r="1" spans="1:34">
      <c r="B1" t="s">
        <v>544</v>
      </c>
    </row>
    <row r="2" spans="1:34">
      <c r="B2" t="s">
        <v>3996</v>
      </c>
    </row>
    <row r="3" spans="1:34">
      <c r="B3" t="s">
        <v>3995</v>
      </c>
    </row>
    <row r="4" spans="1:34">
      <c r="B4" t="s">
        <v>302</v>
      </c>
    </row>
    <row r="5" spans="1:34">
      <c r="C5" t="s">
        <v>303</v>
      </c>
      <c r="D5" t="s">
        <v>351</v>
      </c>
      <c r="E5" t="s">
        <v>352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c r="AH5" t="s">
        <v>2808</v>
      </c>
    </row>
    <row r="6" spans="1:34">
      <c r="B6" t="s">
        <v>1414</v>
      </c>
    </row>
    <row r="7" spans="1:34">
      <c r="A7" s="23"/>
      <c r="B7" t="s">
        <v>1413</v>
      </c>
    </row>
    <row r="8" spans="1:34">
      <c r="A8" s="150" t="s">
        <v>113</v>
      </c>
      <c r="B8" t="s">
        <v>358</v>
      </c>
      <c r="C8" t="s">
        <v>3994</v>
      </c>
      <c r="D8" t="s">
        <v>3993</v>
      </c>
      <c r="E8" t="s">
        <v>354</v>
      </c>
      <c r="G8">
        <v>14598.941406</v>
      </c>
      <c r="H8">
        <v>14564.489258</v>
      </c>
      <c r="I8">
        <v>14393.391602</v>
      </c>
      <c r="J8">
        <v>14154.651367</v>
      </c>
      <c r="K8">
        <v>13874.483398</v>
      </c>
      <c r="L8">
        <v>13569.370117</v>
      </c>
      <c r="M8">
        <v>13240.822265999999</v>
      </c>
      <c r="N8">
        <v>12947.981444999999</v>
      </c>
      <c r="O8">
        <v>12635.142578000001</v>
      </c>
      <c r="P8">
        <v>12347.101562</v>
      </c>
      <c r="Q8">
        <v>12082.978515999999</v>
      </c>
      <c r="R8">
        <v>11818.994140999999</v>
      </c>
      <c r="S8">
        <v>11528.292969</v>
      </c>
      <c r="T8">
        <v>11246.833984000001</v>
      </c>
      <c r="U8">
        <v>11000.954102</v>
      </c>
      <c r="V8">
        <v>10761.922852</v>
      </c>
      <c r="W8">
        <v>10547.476562</v>
      </c>
      <c r="X8">
        <v>10356.016602</v>
      </c>
      <c r="Y8">
        <v>10152.399414</v>
      </c>
      <c r="Z8">
        <v>9995.0888670000004</v>
      </c>
      <c r="AA8">
        <v>9829.0380860000005</v>
      </c>
      <c r="AB8">
        <v>9689.0244139999995</v>
      </c>
      <c r="AC8">
        <v>9546.8369139999995</v>
      </c>
      <c r="AD8">
        <v>9434.3310550000006</v>
      </c>
      <c r="AE8">
        <v>9287.9492190000001</v>
      </c>
      <c r="AF8">
        <v>9176.1953119999998</v>
      </c>
      <c r="AG8">
        <v>9105.1972659999992</v>
      </c>
      <c r="AH8" s="31">
        <v>-1.7999999999999999E-2</v>
      </c>
    </row>
    <row r="9" spans="1:34">
      <c r="A9" s="150" t="s">
        <v>114</v>
      </c>
      <c r="B9" t="s">
        <v>359</v>
      </c>
      <c r="C9" t="s">
        <v>3992</v>
      </c>
      <c r="D9" t="s">
        <v>3991</v>
      </c>
      <c r="E9" t="s">
        <v>354</v>
      </c>
      <c r="G9">
        <v>87.055549999999997</v>
      </c>
      <c r="H9">
        <v>95.813736000000006</v>
      </c>
      <c r="I9">
        <v>104.507942</v>
      </c>
      <c r="J9">
        <v>111.84504699999999</v>
      </c>
      <c r="K9">
        <v>118.39093</v>
      </c>
      <c r="L9">
        <v>125.01545</v>
      </c>
      <c r="M9">
        <v>128.80909700000001</v>
      </c>
      <c r="N9">
        <v>132.432388</v>
      </c>
      <c r="O9">
        <v>135.51156599999999</v>
      </c>
      <c r="P9">
        <v>137.266876</v>
      </c>
      <c r="Q9">
        <v>139.63301100000001</v>
      </c>
      <c r="R9">
        <v>141.013901</v>
      </c>
      <c r="S9">
        <v>142.85320999999999</v>
      </c>
      <c r="T9">
        <v>144.476776</v>
      </c>
      <c r="U9">
        <v>146.03744499999999</v>
      </c>
      <c r="V9">
        <v>147.20349100000001</v>
      </c>
      <c r="W9">
        <v>147.971756</v>
      </c>
      <c r="X9">
        <v>148.60346999999999</v>
      </c>
      <c r="Y9">
        <v>149.49903900000001</v>
      </c>
      <c r="Z9">
        <v>149.93731700000001</v>
      </c>
      <c r="AA9">
        <v>149.69162</v>
      </c>
      <c r="AB9">
        <v>149.08168000000001</v>
      </c>
      <c r="AC9">
        <v>148.94920300000001</v>
      </c>
      <c r="AD9">
        <v>148.95747399999999</v>
      </c>
      <c r="AE9">
        <v>148.59544399999999</v>
      </c>
      <c r="AF9">
        <v>148.537384</v>
      </c>
      <c r="AG9">
        <v>148.52256800000001</v>
      </c>
      <c r="AH9" s="31">
        <v>2.1000000000000001E-2</v>
      </c>
    </row>
    <row r="10" spans="1:34">
      <c r="A10" s="150"/>
      <c r="B10" t="s">
        <v>1408</v>
      </c>
      <c r="C10" t="s">
        <v>3990</v>
      </c>
      <c r="D10" t="s">
        <v>3989</v>
      </c>
      <c r="E10" t="s">
        <v>354</v>
      </c>
      <c r="G10">
        <v>14685.997069999999</v>
      </c>
      <c r="H10">
        <v>14660.302734000001</v>
      </c>
      <c r="I10">
        <v>14497.899414</v>
      </c>
      <c r="J10">
        <v>14266.496094</v>
      </c>
      <c r="K10">
        <v>13992.874023</v>
      </c>
      <c r="L10">
        <v>13694.385742</v>
      </c>
      <c r="M10">
        <v>13369.631836</v>
      </c>
      <c r="N10">
        <v>13080.414062</v>
      </c>
      <c r="O10">
        <v>12770.654296999999</v>
      </c>
      <c r="P10">
        <v>12484.368164</v>
      </c>
      <c r="Q10">
        <v>12222.611328000001</v>
      </c>
      <c r="R10">
        <v>11960.007812</v>
      </c>
      <c r="S10">
        <v>11671.146484000001</v>
      </c>
      <c r="T10">
        <v>11391.310546999999</v>
      </c>
      <c r="U10">
        <v>11146.991211</v>
      </c>
      <c r="V10">
        <v>10909.125977</v>
      </c>
      <c r="W10">
        <v>10695.448242</v>
      </c>
      <c r="X10">
        <v>10504.620117</v>
      </c>
      <c r="Y10">
        <v>10301.898438</v>
      </c>
      <c r="Z10">
        <v>10145.026367</v>
      </c>
      <c r="AA10">
        <v>9978.7294920000004</v>
      </c>
      <c r="AB10">
        <v>9838.1064449999994</v>
      </c>
      <c r="AC10">
        <v>9695.7861329999996</v>
      </c>
      <c r="AD10">
        <v>9583.2880860000005</v>
      </c>
      <c r="AE10">
        <v>9436.5449219999991</v>
      </c>
      <c r="AF10">
        <v>9324.7324219999991</v>
      </c>
      <c r="AG10">
        <v>9253.7197269999997</v>
      </c>
      <c r="AH10" s="31">
        <v>-1.7999999999999999E-2</v>
      </c>
    </row>
    <row r="11" spans="1:34">
      <c r="A11" s="23"/>
      <c r="B11" t="s">
        <v>1405</v>
      </c>
    </row>
    <row r="12" spans="1:34">
      <c r="A12" s="150" t="s">
        <v>113</v>
      </c>
      <c r="B12" t="s">
        <v>362</v>
      </c>
      <c r="C12" t="s">
        <v>3988</v>
      </c>
      <c r="D12" t="s">
        <v>3987</v>
      </c>
      <c r="E12" t="s">
        <v>354</v>
      </c>
      <c r="G12">
        <v>1521.5115969999999</v>
      </c>
      <c r="H12">
        <v>1451.3376459999999</v>
      </c>
      <c r="I12">
        <v>1366.715332</v>
      </c>
      <c r="J12">
        <v>1275.356812</v>
      </c>
      <c r="K12">
        <v>1179.8957519999999</v>
      </c>
      <c r="L12">
        <v>1084.209595</v>
      </c>
      <c r="M12">
        <v>989.82806400000004</v>
      </c>
      <c r="N12">
        <v>897.85528599999998</v>
      </c>
      <c r="O12">
        <v>811.62115500000004</v>
      </c>
      <c r="P12">
        <v>723.75408900000002</v>
      </c>
      <c r="Q12">
        <v>654.58050500000002</v>
      </c>
      <c r="R12">
        <v>586.59533699999997</v>
      </c>
      <c r="S12">
        <v>524.71722399999999</v>
      </c>
      <c r="T12">
        <v>472.65966800000001</v>
      </c>
      <c r="U12">
        <v>423.96023600000001</v>
      </c>
      <c r="V12">
        <v>384.88867199999999</v>
      </c>
      <c r="W12">
        <v>357.286316</v>
      </c>
      <c r="X12">
        <v>333.69287100000003</v>
      </c>
      <c r="Y12">
        <v>312.698151</v>
      </c>
      <c r="Z12">
        <v>297.58154300000001</v>
      </c>
      <c r="AA12">
        <v>288.29440299999999</v>
      </c>
      <c r="AB12">
        <v>267.252228</v>
      </c>
      <c r="AC12">
        <v>256.88736</v>
      </c>
      <c r="AD12">
        <v>255.48391699999999</v>
      </c>
      <c r="AE12">
        <v>245.34071399999999</v>
      </c>
      <c r="AF12">
        <v>236.763184</v>
      </c>
      <c r="AG12">
        <v>228.82487499999999</v>
      </c>
      <c r="AH12" s="31">
        <v>-7.0000000000000007E-2</v>
      </c>
    </row>
    <row r="13" spans="1:34">
      <c r="A13" s="150" t="s">
        <v>111</v>
      </c>
      <c r="B13" t="s">
        <v>1402</v>
      </c>
      <c r="C13" t="s">
        <v>3986</v>
      </c>
      <c r="D13" t="s">
        <v>3985</v>
      </c>
      <c r="E13" t="s">
        <v>354</v>
      </c>
      <c r="G13">
        <v>2.4846949999999999</v>
      </c>
      <c r="H13">
        <v>3.071904</v>
      </c>
      <c r="I13">
        <v>3.7698870000000002</v>
      </c>
      <c r="J13">
        <v>4.7045950000000003</v>
      </c>
      <c r="K13">
        <v>5.5536859999999999</v>
      </c>
      <c r="L13">
        <v>6.2012890000000001</v>
      </c>
      <c r="M13">
        <v>6.5061090000000004</v>
      </c>
      <c r="N13">
        <v>6.7387589999999999</v>
      </c>
      <c r="O13">
        <v>7.5135249999999996</v>
      </c>
      <c r="P13">
        <v>8.0617020000000004</v>
      </c>
      <c r="Q13">
        <v>8.5891669999999998</v>
      </c>
      <c r="R13">
        <v>9.2951250000000005</v>
      </c>
      <c r="S13">
        <v>9.8864409999999996</v>
      </c>
      <c r="T13">
        <v>10.412896999999999</v>
      </c>
      <c r="U13">
        <v>10.948007</v>
      </c>
      <c r="V13">
        <v>11.695228</v>
      </c>
      <c r="W13">
        <v>12.338374999999999</v>
      </c>
      <c r="X13">
        <v>12.899608000000001</v>
      </c>
      <c r="Y13">
        <v>13.394261</v>
      </c>
      <c r="Z13">
        <v>13.889972</v>
      </c>
      <c r="AA13">
        <v>14.349182000000001</v>
      </c>
      <c r="AB13">
        <v>14.805362000000001</v>
      </c>
      <c r="AC13">
        <v>15.205448000000001</v>
      </c>
      <c r="AD13">
        <v>15.561527999999999</v>
      </c>
      <c r="AE13">
        <v>15.889066</v>
      </c>
      <c r="AF13">
        <v>16.208393000000001</v>
      </c>
      <c r="AG13">
        <v>16.589396000000001</v>
      </c>
      <c r="AH13" s="31">
        <v>7.5999999999999998E-2</v>
      </c>
    </row>
    <row r="14" spans="1:34">
      <c r="A14" s="150" t="s">
        <v>111</v>
      </c>
      <c r="B14" t="s">
        <v>1400</v>
      </c>
      <c r="C14" t="s">
        <v>3984</v>
      </c>
      <c r="D14" t="s">
        <v>3983</v>
      </c>
      <c r="E14" t="s">
        <v>354</v>
      </c>
      <c r="G14">
        <v>7.590325</v>
      </c>
      <c r="H14">
        <v>11.124387</v>
      </c>
      <c r="I14">
        <v>17.016725999999998</v>
      </c>
      <c r="J14">
        <v>23.222683</v>
      </c>
      <c r="K14">
        <v>29.942232000000001</v>
      </c>
      <c r="L14">
        <v>36.667614</v>
      </c>
      <c r="M14">
        <v>43.167136999999997</v>
      </c>
      <c r="N14">
        <v>48.737957000000002</v>
      </c>
      <c r="O14">
        <v>55.932212999999997</v>
      </c>
      <c r="P14">
        <v>62.844245999999998</v>
      </c>
      <c r="Q14">
        <v>70.338234</v>
      </c>
      <c r="R14">
        <v>78.746200999999999</v>
      </c>
      <c r="S14">
        <v>87.375998999999993</v>
      </c>
      <c r="T14">
        <v>96.391281000000006</v>
      </c>
      <c r="U14">
        <v>105.638092</v>
      </c>
      <c r="V14">
        <v>115.67845199999999</v>
      </c>
      <c r="W14">
        <v>125.595871</v>
      </c>
      <c r="X14">
        <v>135.43344099999999</v>
      </c>
      <c r="Y14">
        <v>144.95266699999999</v>
      </c>
      <c r="Z14">
        <v>154.22631799999999</v>
      </c>
      <c r="AA14">
        <v>163.146332</v>
      </c>
      <c r="AB14">
        <v>171.69850199999999</v>
      </c>
      <c r="AC14">
        <v>179.89584400000001</v>
      </c>
      <c r="AD14">
        <v>187.841568</v>
      </c>
      <c r="AE14">
        <v>195.46928399999999</v>
      </c>
      <c r="AF14">
        <v>202.816956</v>
      </c>
      <c r="AG14">
        <v>210.02973900000001</v>
      </c>
      <c r="AH14" s="31">
        <v>0.13600000000000001</v>
      </c>
    </row>
    <row r="15" spans="1:34">
      <c r="A15" s="150" t="s">
        <v>111</v>
      </c>
      <c r="B15" t="s">
        <v>1398</v>
      </c>
      <c r="C15" t="s">
        <v>3982</v>
      </c>
      <c r="D15" t="s">
        <v>3981</v>
      </c>
      <c r="E15" t="s">
        <v>354</v>
      </c>
      <c r="G15">
        <v>33.426341999999998</v>
      </c>
      <c r="H15">
        <v>51.062820000000002</v>
      </c>
      <c r="I15">
        <v>74.679473999999999</v>
      </c>
      <c r="J15">
        <v>104.04657</v>
      </c>
      <c r="K15">
        <v>136.93808000000001</v>
      </c>
      <c r="L15">
        <v>172.27294900000001</v>
      </c>
      <c r="M15">
        <v>209.35940600000001</v>
      </c>
      <c r="N15">
        <v>240.064087</v>
      </c>
      <c r="O15">
        <v>270.05487099999999</v>
      </c>
      <c r="P15">
        <v>296.18158</v>
      </c>
      <c r="Q15">
        <v>322.17065400000001</v>
      </c>
      <c r="R15">
        <v>346.93804899999998</v>
      </c>
      <c r="S15">
        <v>371.15737899999999</v>
      </c>
      <c r="T15">
        <v>394.81243899999998</v>
      </c>
      <c r="U15">
        <v>417.75891100000001</v>
      </c>
      <c r="V15">
        <v>439.55920400000002</v>
      </c>
      <c r="W15">
        <v>460.36200000000002</v>
      </c>
      <c r="X15">
        <v>479.92013500000002</v>
      </c>
      <c r="Y15">
        <v>497.91906699999998</v>
      </c>
      <c r="Z15">
        <v>514.39721699999996</v>
      </c>
      <c r="AA15">
        <v>529.42218000000003</v>
      </c>
      <c r="AB15">
        <v>542.89123500000005</v>
      </c>
      <c r="AC15">
        <v>555.82849099999999</v>
      </c>
      <c r="AD15">
        <v>568.28784199999996</v>
      </c>
      <c r="AE15">
        <v>580.08068800000001</v>
      </c>
      <c r="AF15">
        <v>591.61602800000003</v>
      </c>
      <c r="AG15">
        <v>603.24456799999996</v>
      </c>
      <c r="AH15" s="31">
        <v>0.11799999999999999</v>
      </c>
    </row>
    <row r="16" spans="1:34">
      <c r="A16" s="150" t="s">
        <v>115</v>
      </c>
      <c r="B16" t="s">
        <v>1396</v>
      </c>
      <c r="C16" t="s">
        <v>3980</v>
      </c>
      <c r="D16" t="s">
        <v>3979</v>
      </c>
      <c r="E16" t="s">
        <v>354</v>
      </c>
      <c r="G16">
        <v>32.817379000000003</v>
      </c>
      <c r="H16">
        <v>43.016792000000002</v>
      </c>
      <c r="I16">
        <v>60.886909000000003</v>
      </c>
      <c r="J16">
        <v>74.089737</v>
      </c>
      <c r="K16">
        <v>90.411186000000001</v>
      </c>
      <c r="L16">
        <v>103.803955</v>
      </c>
      <c r="M16">
        <v>116.88549</v>
      </c>
      <c r="N16">
        <v>130.30316199999999</v>
      </c>
      <c r="O16">
        <v>142.779358</v>
      </c>
      <c r="P16">
        <v>152.97470100000001</v>
      </c>
      <c r="Q16">
        <v>162.67871099999999</v>
      </c>
      <c r="R16">
        <v>171.028854</v>
      </c>
      <c r="S16">
        <v>178.97622699999999</v>
      </c>
      <c r="T16">
        <v>187.27452099999999</v>
      </c>
      <c r="U16">
        <v>195.42085299999999</v>
      </c>
      <c r="V16">
        <v>203.45126300000001</v>
      </c>
      <c r="W16">
        <v>211.36871300000001</v>
      </c>
      <c r="X16">
        <v>218.50588999999999</v>
      </c>
      <c r="Y16">
        <v>225.164185</v>
      </c>
      <c r="Z16">
        <v>231.74902299999999</v>
      </c>
      <c r="AA16">
        <v>237.690842</v>
      </c>
      <c r="AB16">
        <v>244.76306199999999</v>
      </c>
      <c r="AC16">
        <v>249.137192</v>
      </c>
      <c r="AD16">
        <v>252.977585</v>
      </c>
      <c r="AE16">
        <v>257.22729500000003</v>
      </c>
      <c r="AF16">
        <v>260.56091300000003</v>
      </c>
      <c r="AG16">
        <v>263.61874399999999</v>
      </c>
      <c r="AH16" s="31">
        <v>8.3000000000000004E-2</v>
      </c>
    </row>
    <row r="17" spans="1:34">
      <c r="A17" s="150" t="s">
        <v>115</v>
      </c>
      <c r="B17" t="s">
        <v>1393</v>
      </c>
      <c r="C17" t="s">
        <v>3978</v>
      </c>
      <c r="D17" t="s">
        <v>3977</v>
      </c>
      <c r="E17" t="s">
        <v>354</v>
      </c>
      <c r="G17">
        <v>7.4586899999999998</v>
      </c>
      <c r="H17">
        <v>13.538569000000001</v>
      </c>
      <c r="I17">
        <v>21.477561999999999</v>
      </c>
      <c r="J17">
        <v>31.364913999999999</v>
      </c>
      <c r="K17">
        <v>40.461727000000003</v>
      </c>
      <c r="L17">
        <v>48.916420000000002</v>
      </c>
      <c r="M17">
        <v>61.804763999999999</v>
      </c>
      <c r="N17">
        <v>73.608931999999996</v>
      </c>
      <c r="O17">
        <v>85.942436000000001</v>
      </c>
      <c r="P17">
        <v>97.018669000000003</v>
      </c>
      <c r="Q17">
        <v>107.86917099999999</v>
      </c>
      <c r="R17">
        <v>118.085449</v>
      </c>
      <c r="S17">
        <v>129.76442</v>
      </c>
      <c r="T17">
        <v>141.37219200000001</v>
      </c>
      <c r="U17">
        <v>153.48573300000001</v>
      </c>
      <c r="V17">
        <v>165.21603400000001</v>
      </c>
      <c r="W17">
        <v>176.53350800000001</v>
      </c>
      <c r="X17">
        <v>187.31257600000001</v>
      </c>
      <c r="Y17">
        <v>197.669983</v>
      </c>
      <c r="Z17">
        <v>207.82943700000001</v>
      </c>
      <c r="AA17">
        <v>218.101517</v>
      </c>
      <c r="AB17">
        <v>227.74508700000001</v>
      </c>
      <c r="AC17">
        <v>236.19162</v>
      </c>
      <c r="AD17">
        <v>243.00694300000001</v>
      </c>
      <c r="AE17">
        <v>249.36700400000001</v>
      </c>
      <c r="AF17">
        <v>256.53649899999999</v>
      </c>
      <c r="AG17">
        <v>263.02487200000002</v>
      </c>
      <c r="AH17" s="31">
        <v>0.14699999999999999</v>
      </c>
    </row>
    <row r="18" spans="1:34">
      <c r="A18" s="150" t="s">
        <v>114</v>
      </c>
      <c r="B18" t="s">
        <v>363</v>
      </c>
      <c r="C18" t="s">
        <v>3976</v>
      </c>
      <c r="D18" t="s">
        <v>3975</v>
      </c>
      <c r="E18" t="s">
        <v>354</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t="s">
        <v>117</v>
      </c>
    </row>
    <row r="19" spans="1:34">
      <c r="A19" s="150" t="s">
        <v>113</v>
      </c>
      <c r="B19" t="s">
        <v>364</v>
      </c>
      <c r="C19" t="s">
        <v>3974</v>
      </c>
      <c r="D19" t="s">
        <v>3973</v>
      </c>
      <c r="E19" t="s">
        <v>354</v>
      </c>
      <c r="G19">
        <v>286.90777600000001</v>
      </c>
      <c r="H19">
        <v>335.19018599999998</v>
      </c>
      <c r="I19">
        <v>389.67614700000001</v>
      </c>
      <c r="J19">
        <v>438.80304000000001</v>
      </c>
      <c r="K19">
        <v>488.89623999999998</v>
      </c>
      <c r="L19">
        <v>539.27740500000004</v>
      </c>
      <c r="M19">
        <v>592.94995100000006</v>
      </c>
      <c r="N19">
        <v>648.69067399999994</v>
      </c>
      <c r="O19">
        <v>701.92742899999996</v>
      </c>
      <c r="P19">
        <v>758.0625</v>
      </c>
      <c r="Q19">
        <v>812.43786599999999</v>
      </c>
      <c r="R19">
        <v>866.77862500000003</v>
      </c>
      <c r="S19">
        <v>920.31701699999996</v>
      </c>
      <c r="T19">
        <v>972.58990500000004</v>
      </c>
      <c r="U19">
        <v>1024.205078</v>
      </c>
      <c r="V19">
        <v>1073.544678</v>
      </c>
      <c r="W19">
        <v>1123.966064</v>
      </c>
      <c r="X19">
        <v>1169.5706789999999</v>
      </c>
      <c r="Y19">
        <v>1213.1235349999999</v>
      </c>
      <c r="Z19">
        <v>1254.579956</v>
      </c>
      <c r="AA19">
        <v>1291.881836</v>
      </c>
      <c r="AB19">
        <v>1329.6499020000001</v>
      </c>
      <c r="AC19">
        <v>1362.5242920000001</v>
      </c>
      <c r="AD19">
        <v>1396.6538089999999</v>
      </c>
      <c r="AE19">
        <v>1432.734375</v>
      </c>
      <c r="AF19">
        <v>1468.8634030000001</v>
      </c>
      <c r="AG19">
        <v>1503.212524</v>
      </c>
      <c r="AH19" s="31">
        <v>6.6000000000000003E-2</v>
      </c>
    </row>
    <row r="20" spans="1:34">
      <c r="A20" s="150" t="s">
        <v>112</v>
      </c>
      <c r="B20" t="s">
        <v>365</v>
      </c>
      <c r="C20" t="s">
        <v>3972</v>
      </c>
      <c r="D20" t="s">
        <v>3971</v>
      </c>
      <c r="E20" t="s">
        <v>354</v>
      </c>
      <c r="G20">
        <v>0.55969899999999995</v>
      </c>
      <c r="H20">
        <v>0.51078900000000005</v>
      </c>
      <c r="I20">
        <v>0.46062500000000001</v>
      </c>
      <c r="J20">
        <v>0.41163100000000002</v>
      </c>
      <c r="K20">
        <v>0.37667600000000001</v>
      </c>
      <c r="L20">
        <v>0.35589700000000002</v>
      </c>
      <c r="M20">
        <v>0.32261800000000002</v>
      </c>
      <c r="N20">
        <v>0.28953299999999998</v>
      </c>
      <c r="O20">
        <v>0.260604</v>
      </c>
      <c r="P20">
        <v>0.23610800000000001</v>
      </c>
      <c r="Q20">
        <v>0.21204500000000001</v>
      </c>
      <c r="R20">
        <v>0.153307</v>
      </c>
      <c r="S20">
        <v>0.134135</v>
      </c>
      <c r="T20">
        <v>0.12306599999999999</v>
      </c>
      <c r="U20">
        <v>0.112112</v>
      </c>
      <c r="V20">
        <v>0.10403</v>
      </c>
      <c r="W20">
        <v>9.7663E-2</v>
      </c>
      <c r="X20">
        <v>9.1687000000000005E-2</v>
      </c>
      <c r="Y20">
        <v>8.6077000000000001E-2</v>
      </c>
      <c r="Z20">
        <v>8.0810999999999994E-2</v>
      </c>
      <c r="AA20">
        <v>7.5868000000000005E-2</v>
      </c>
      <c r="AB20">
        <v>7.1228E-2</v>
      </c>
      <c r="AC20">
        <v>6.6872000000000001E-2</v>
      </c>
      <c r="AD20">
        <v>6.2782000000000004E-2</v>
      </c>
      <c r="AE20">
        <v>5.8944000000000003E-2</v>
      </c>
      <c r="AF20">
        <v>5.534E-2</v>
      </c>
      <c r="AG20">
        <v>5.1957000000000003E-2</v>
      </c>
      <c r="AH20" s="31">
        <v>-8.6999999999999994E-2</v>
      </c>
    </row>
    <row r="21" spans="1:34">
      <c r="A21" s="150" t="s">
        <v>112</v>
      </c>
      <c r="B21" t="s">
        <v>366</v>
      </c>
      <c r="C21" t="s">
        <v>3970</v>
      </c>
      <c r="D21" t="s">
        <v>3969</v>
      </c>
      <c r="E21" t="s">
        <v>354</v>
      </c>
      <c r="G21">
        <v>0.14622099999999999</v>
      </c>
      <c r="H21">
        <v>0.13718</v>
      </c>
      <c r="I21">
        <v>0.12870000000000001</v>
      </c>
      <c r="J21">
        <v>0.12074600000000001</v>
      </c>
      <c r="K21">
        <v>0.113285</v>
      </c>
      <c r="L21">
        <v>0.10628700000000001</v>
      </c>
      <c r="M21">
        <v>9.9722000000000005E-2</v>
      </c>
      <c r="N21">
        <v>9.3564999999999995E-2</v>
      </c>
      <c r="O21">
        <v>8.7789000000000006E-2</v>
      </c>
      <c r="P21">
        <v>8.2369999999999999E-2</v>
      </c>
      <c r="Q21">
        <v>7.7287999999999996E-2</v>
      </c>
      <c r="R21">
        <v>7.2519E-2</v>
      </c>
      <c r="S21">
        <v>6.8046999999999996E-2</v>
      </c>
      <c r="T21">
        <v>6.3851000000000005E-2</v>
      </c>
      <c r="U21">
        <v>5.9914000000000002E-2</v>
      </c>
      <c r="V21">
        <v>5.6221E-2</v>
      </c>
      <c r="W21">
        <v>5.2756999999999998E-2</v>
      </c>
      <c r="X21">
        <v>4.9506000000000001E-2</v>
      </c>
      <c r="Y21">
        <v>4.6456999999999998E-2</v>
      </c>
      <c r="Z21">
        <v>4.3596000000000003E-2</v>
      </c>
      <c r="AA21">
        <v>4.0911999999999997E-2</v>
      </c>
      <c r="AB21">
        <v>3.8393999999999998E-2</v>
      </c>
      <c r="AC21">
        <v>3.6031000000000001E-2</v>
      </c>
      <c r="AD21">
        <v>3.3813999999999997E-2</v>
      </c>
      <c r="AE21">
        <v>3.1733999999999998E-2</v>
      </c>
      <c r="AF21">
        <v>2.9783E-2</v>
      </c>
      <c r="AG21">
        <v>2.7951E-2</v>
      </c>
      <c r="AH21" s="31">
        <v>-6.2E-2</v>
      </c>
    </row>
    <row r="22" spans="1:34">
      <c r="A22" s="150" t="s">
        <v>257</v>
      </c>
      <c r="B22" t="s">
        <v>367</v>
      </c>
      <c r="C22" t="s">
        <v>3968</v>
      </c>
      <c r="D22" t="s">
        <v>3967</v>
      </c>
      <c r="E22" t="s">
        <v>354</v>
      </c>
      <c r="G22">
        <v>0.40195500000000001</v>
      </c>
      <c r="H22">
        <v>0.36667100000000002</v>
      </c>
      <c r="I22">
        <v>0.33657100000000001</v>
      </c>
      <c r="J22">
        <v>0.31036599999999998</v>
      </c>
      <c r="K22">
        <v>0.29120699999999999</v>
      </c>
      <c r="L22">
        <v>0.27323500000000001</v>
      </c>
      <c r="M22">
        <v>0.25637500000000002</v>
      </c>
      <c r="N22">
        <v>0.240559</v>
      </c>
      <c r="O22">
        <v>0.22572200000000001</v>
      </c>
      <c r="P22">
        <v>0.21180299999999999</v>
      </c>
      <c r="Q22">
        <v>0.198745</v>
      </c>
      <c r="R22">
        <v>0.18649399999999999</v>
      </c>
      <c r="S22">
        <v>0.17500099999999999</v>
      </c>
      <c r="T22">
        <v>0.164219</v>
      </c>
      <c r="U22">
        <v>0.15410299999999999</v>
      </c>
      <c r="V22">
        <v>0.14461199999999999</v>
      </c>
      <c r="W22">
        <v>0.13570699999999999</v>
      </c>
      <c r="X22">
        <v>0.12735299999999999</v>
      </c>
      <c r="Y22">
        <v>0.119514</v>
      </c>
      <c r="Z22">
        <v>0.11216</v>
      </c>
      <c r="AA22">
        <v>0.10525900000000001</v>
      </c>
      <c r="AB22">
        <v>9.8784999999999998E-2</v>
      </c>
      <c r="AC22">
        <v>9.2710000000000001E-2</v>
      </c>
      <c r="AD22">
        <v>8.7009000000000003E-2</v>
      </c>
      <c r="AE22">
        <v>8.1659999999999996E-2</v>
      </c>
      <c r="AF22">
        <v>7.6642000000000002E-2</v>
      </c>
      <c r="AG22">
        <v>7.1931999999999996E-2</v>
      </c>
      <c r="AH22" s="31">
        <v>-6.4000000000000001E-2</v>
      </c>
    </row>
    <row r="23" spans="1:34">
      <c r="A23" s="150" t="s">
        <v>257</v>
      </c>
      <c r="B23" t="s">
        <v>368</v>
      </c>
      <c r="C23" t="s">
        <v>3966</v>
      </c>
      <c r="D23" t="s">
        <v>3965</v>
      </c>
      <c r="E23" t="s">
        <v>354</v>
      </c>
      <c r="G23">
        <v>0.43596800000000002</v>
      </c>
      <c r="H23">
        <v>0.40012799999999998</v>
      </c>
      <c r="I23">
        <v>0.37045099999999997</v>
      </c>
      <c r="J23">
        <v>0.34571200000000002</v>
      </c>
      <c r="K23">
        <v>0.32392599999999999</v>
      </c>
      <c r="L23">
        <v>0.30396899999999999</v>
      </c>
      <c r="M23">
        <v>0.28524500000000003</v>
      </c>
      <c r="N23">
        <v>0.267677</v>
      </c>
      <c r="O23">
        <v>0.251195</v>
      </c>
      <c r="P23">
        <v>0.23573</v>
      </c>
      <c r="Q23">
        <v>0.221221</v>
      </c>
      <c r="R23">
        <v>0.20760600000000001</v>
      </c>
      <c r="S23">
        <v>0.19483200000000001</v>
      </c>
      <c r="T23">
        <v>0.18284700000000001</v>
      </c>
      <c r="U23">
        <v>0.1716</v>
      </c>
      <c r="V23">
        <v>0.161048</v>
      </c>
      <c r="W23">
        <v>0.151146</v>
      </c>
      <c r="X23">
        <v>0.14185500000000001</v>
      </c>
      <c r="Y23">
        <v>0.133136</v>
      </c>
      <c r="Z23">
        <v>0.124955</v>
      </c>
      <c r="AA23">
        <v>0.11727799999999999</v>
      </c>
      <c r="AB23">
        <v>0.11007400000000001</v>
      </c>
      <c r="AC23">
        <v>0.103314</v>
      </c>
      <c r="AD23">
        <v>9.6970000000000001E-2</v>
      </c>
      <c r="AE23">
        <v>9.1017000000000001E-2</v>
      </c>
      <c r="AF23">
        <v>8.5430000000000006E-2</v>
      </c>
      <c r="AG23">
        <v>8.0186999999999994E-2</v>
      </c>
      <c r="AH23" s="31">
        <v>-6.3E-2</v>
      </c>
    </row>
    <row r="24" spans="1:34">
      <c r="A24" s="150" t="s">
        <v>258</v>
      </c>
      <c r="B24" t="s">
        <v>369</v>
      </c>
      <c r="C24" t="s">
        <v>3964</v>
      </c>
      <c r="D24" t="s">
        <v>3963</v>
      </c>
      <c r="E24" t="s">
        <v>354</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t="s">
        <v>117</v>
      </c>
    </row>
    <row r="25" spans="1:34">
      <c r="A25" s="150" t="s">
        <v>258</v>
      </c>
      <c r="B25" t="s">
        <v>370</v>
      </c>
      <c r="C25" t="s">
        <v>3962</v>
      </c>
      <c r="D25" t="s">
        <v>3961</v>
      </c>
      <c r="E25" t="s">
        <v>354</v>
      </c>
      <c r="G25">
        <v>0.40270299999999998</v>
      </c>
      <c r="H25">
        <v>0.428566</v>
      </c>
      <c r="I25">
        <v>0.438523</v>
      </c>
      <c r="J25">
        <v>0.44270799999999999</v>
      </c>
      <c r="K25">
        <v>0.44139400000000001</v>
      </c>
      <c r="L25">
        <v>0.42853200000000002</v>
      </c>
      <c r="M25">
        <v>0.41623500000000002</v>
      </c>
      <c r="N25">
        <v>0.40165200000000001</v>
      </c>
      <c r="O25">
        <v>0.38442700000000002</v>
      </c>
      <c r="P25">
        <v>0.362952</v>
      </c>
      <c r="Q25">
        <v>0.34098000000000001</v>
      </c>
      <c r="R25">
        <v>0.31870199999999999</v>
      </c>
      <c r="S25">
        <v>0.29588700000000001</v>
      </c>
      <c r="T25">
        <v>0.272922</v>
      </c>
      <c r="U25">
        <v>0.250058</v>
      </c>
      <c r="V25">
        <v>0.22815199999999999</v>
      </c>
      <c r="W25">
        <v>0.207236</v>
      </c>
      <c r="X25">
        <v>0.18687400000000001</v>
      </c>
      <c r="Y25">
        <v>0.170434</v>
      </c>
      <c r="Z25">
        <v>0.155837</v>
      </c>
      <c r="AA25">
        <v>0.14472299999999999</v>
      </c>
      <c r="AB25">
        <v>0.13236999999999999</v>
      </c>
      <c r="AC25">
        <v>0.123225</v>
      </c>
      <c r="AD25">
        <v>0.116811</v>
      </c>
      <c r="AE25">
        <v>0.112998</v>
      </c>
      <c r="AF25">
        <v>0.10956299999999999</v>
      </c>
      <c r="AG25">
        <v>0.10698199999999999</v>
      </c>
      <c r="AH25" s="31">
        <v>-0.05</v>
      </c>
    </row>
    <row r="26" spans="1:34">
      <c r="A26" s="23"/>
      <c r="B26" t="s">
        <v>1374</v>
      </c>
      <c r="C26" t="s">
        <v>3960</v>
      </c>
      <c r="D26" t="s">
        <v>3959</v>
      </c>
      <c r="E26" t="s">
        <v>354</v>
      </c>
      <c r="G26">
        <v>1894.1435550000001</v>
      </c>
      <c r="H26">
        <v>1910.1857910000001</v>
      </c>
      <c r="I26">
        <v>1935.9567870000001</v>
      </c>
      <c r="J26">
        <v>1953.2196039999999</v>
      </c>
      <c r="K26">
        <v>1973.6455080000001</v>
      </c>
      <c r="L26">
        <v>1992.8172609999999</v>
      </c>
      <c r="M26">
        <v>2021.8811040000001</v>
      </c>
      <c r="N26">
        <v>2047.29187</v>
      </c>
      <c r="O26">
        <v>2076.9809570000002</v>
      </c>
      <c r="P26">
        <v>2100.0266109999998</v>
      </c>
      <c r="Q26">
        <v>2139.7145999999998</v>
      </c>
      <c r="R26">
        <v>2178.40625</v>
      </c>
      <c r="S26">
        <v>2223.0625</v>
      </c>
      <c r="T26">
        <v>2276.3198240000002</v>
      </c>
      <c r="U26">
        <v>2332.1645509999998</v>
      </c>
      <c r="V26">
        <v>2394.7277829999998</v>
      </c>
      <c r="W26">
        <v>2468.0954590000001</v>
      </c>
      <c r="X26">
        <v>2537.9323730000001</v>
      </c>
      <c r="Y26">
        <v>2605.477539</v>
      </c>
      <c r="Z26">
        <v>2674.7707519999999</v>
      </c>
      <c r="AA26">
        <v>2743.3703609999998</v>
      </c>
      <c r="AB26">
        <v>2799.2563479999999</v>
      </c>
      <c r="AC26">
        <v>2856.092529</v>
      </c>
      <c r="AD26">
        <v>2920.2104490000002</v>
      </c>
      <c r="AE26">
        <v>2976.4846189999998</v>
      </c>
      <c r="AF26">
        <v>3033.7221679999998</v>
      </c>
      <c r="AG26">
        <v>3088.883789</v>
      </c>
      <c r="AH26" s="31">
        <v>1.9E-2</v>
      </c>
    </row>
    <row r="27" spans="1:34">
      <c r="A27" s="23"/>
      <c r="B27" t="s">
        <v>193</v>
      </c>
      <c r="C27" t="s">
        <v>3958</v>
      </c>
      <c r="D27" t="s">
        <v>3957</v>
      </c>
      <c r="E27" t="s">
        <v>354</v>
      </c>
      <c r="G27">
        <v>16580.140625</v>
      </c>
      <c r="H27">
        <v>16570.488281000002</v>
      </c>
      <c r="I27">
        <v>16433.855468999998</v>
      </c>
      <c r="J27">
        <v>16219.715819999999</v>
      </c>
      <c r="K27">
        <v>15966.519531</v>
      </c>
      <c r="L27">
        <v>15687.203125</v>
      </c>
      <c r="M27">
        <v>15391.512694999999</v>
      </c>
      <c r="N27">
        <v>15127.706055000001</v>
      </c>
      <c r="O27">
        <v>14847.634765999999</v>
      </c>
      <c r="P27">
        <v>14584.394531</v>
      </c>
      <c r="Q27">
        <v>14362.326171999999</v>
      </c>
      <c r="R27">
        <v>14138.414062</v>
      </c>
      <c r="S27">
        <v>13894.208984000001</v>
      </c>
      <c r="T27">
        <v>13667.630859000001</v>
      </c>
      <c r="U27">
        <v>13479.15625</v>
      </c>
      <c r="V27">
        <v>13303.853515999999</v>
      </c>
      <c r="W27">
        <v>13163.543944999999</v>
      </c>
      <c r="X27">
        <v>13042.552734000001</v>
      </c>
      <c r="Y27">
        <v>12907.375977</v>
      </c>
      <c r="Z27">
        <v>12819.796875</v>
      </c>
      <c r="AA27">
        <v>12722.099609000001</v>
      </c>
      <c r="AB27">
        <v>12637.363281</v>
      </c>
      <c r="AC27">
        <v>12551.878906</v>
      </c>
      <c r="AD27">
        <v>12503.498046999999</v>
      </c>
      <c r="AE27">
        <v>12413.029296999999</v>
      </c>
      <c r="AF27">
        <v>12358.455078000001</v>
      </c>
      <c r="AG27">
        <v>12342.603515999999</v>
      </c>
      <c r="AH27" s="31">
        <v>-1.0999999999999999E-2</v>
      </c>
    </row>
    <row r="28" spans="1:34">
      <c r="A28" s="23"/>
    </row>
    <row r="29" spans="1:34">
      <c r="A29" s="23"/>
    </row>
    <row r="30" spans="1:34">
      <c r="A30" s="23"/>
    </row>
    <row r="31" spans="1:34">
      <c r="A31" s="23"/>
    </row>
    <row r="32" spans="1:34">
      <c r="A32" s="23"/>
    </row>
    <row r="33" spans="1:1">
      <c r="A33" s="23"/>
    </row>
    <row r="34" spans="1:1">
      <c r="A34" s="23"/>
    </row>
    <row r="35" spans="1:1">
      <c r="A35" s="2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3CB4-C4C0-4191-BCD3-30845FB34774}">
  <dimension ref="B1:AI32"/>
  <sheetViews>
    <sheetView workbookViewId="0"/>
  </sheetViews>
  <sheetFormatPr defaultRowHeight="15"/>
  <cols>
    <col min="2" max="2" width="26.85546875" customWidth="1"/>
    <col min="3" max="3" width="20" customWidth="1"/>
  </cols>
  <sheetData>
    <row r="1" spans="2:35">
      <c r="C1" t="s">
        <v>3956</v>
      </c>
    </row>
    <row r="2" spans="2:35">
      <c r="C2" t="s">
        <v>3955</v>
      </c>
    </row>
    <row r="3" spans="2:35">
      <c r="C3" t="s">
        <v>3954</v>
      </c>
    </row>
    <row r="4" spans="2:35">
      <c r="C4" t="s">
        <v>302</v>
      </c>
    </row>
    <row r="5" spans="2:35">
      <c r="D5" t="s">
        <v>303</v>
      </c>
      <c r="E5" t="s">
        <v>351</v>
      </c>
      <c r="F5" t="s">
        <v>352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2808</v>
      </c>
    </row>
    <row r="6" spans="2:35">
      <c r="C6" t="s">
        <v>1413</v>
      </c>
    </row>
    <row r="7" spans="2:35">
      <c r="B7" t="s">
        <v>113</v>
      </c>
      <c r="C7" t="s">
        <v>358</v>
      </c>
      <c r="D7" t="s">
        <v>3953</v>
      </c>
      <c r="E7" t="s">
        <v>3952</v>
      </c>
      <c r="F7" t="s">
        <v>387</v>
      </c>
      <c r="H7">
        <v>2623.436768</v>
      </c>
      <c r="I7">
        <v>2637.7065429999998</v>
      </c>
      <c r="J7">
        <v>2622.0197750000002</v>
      </c>
      <c r="K7">
        <v>2596.7016600000002</v>
      </c>
      <c r="L7">
        <v>2563.0585940000001</v>
      </c>
      <c r="M7">
        <v>2529.1450199999999</v>
      </c>
      <c r="N7">
        <v>2492.8142090000001</v>
      </c>
      <c r="O7">
        <v>2461.5766600000002</v>
      </c>
      <c r="P7">
        <v>2423.4028320000002</v>
      </c>
      <c r="Q7">
        <v>2386.905518</v>
      </c>
      <c r="R7">
        <v>2348.8376459999999</v>
      </c>
      <c r="S7">
        <v>2308.774414</v>
      </c>
      <c r="T7">
        <v>2270.158203</v>
      </c>
      <c r="U7">
        <v>2235.8388669999999</v>
      </c>
      <c r="V7">
        <v>2204.2360840000001</v>
      </c>
      <c r="W7">
        <v>2172.5085450000001</v>
      </c>
      <c r="X7">
        <v>2142.3222660000001</v>
      </c>
      <c r="Y7">
        <v>2114.1513669999999</v>
      </c>
      <c r="Z7">
        <v>2087.4833979999999</v>
      </c>
      <c r="AA7">
        <v>2061.4104000000002</v>
      </c>
      <c r="AB7">
        <v>2036.9970699999999</v>
      </c>
      <c r="AC7">
        <v>2012.7761230000001</v>
      </c>
      <c r="AD7">
        <v>1991.7661129999999</v>
      </c>
      <c r="AE7">
        <v>1973.6920170000001</v>
      </c>
      <c r="AF7">
        <v>1957.340942</v>
      </c>
      <c r="AG7">
        <v>1942.6235349999999</v>
      </c>
      <c r="AH7">
        <v>1929.5913089999999</v>
      </c>
      <c r="AI7" s="31">
        <v>-1.2E-2</v>
      </c>
    </row>
    <row r="8" spans="2:35">
      <c r="B8" t="s">
        <v>114</v>
      </c>
      <c r="C8" t="s">
        <v>359</v>
      </c>
      <c r="D8" t="s">
        <v>3951</v>
      </c>
      <c r="E8" t="s">
        <v>3950</v>
      </c>
      <c r="F8" t="s">
        <v>387</v>
      </c>
      <c r="H8">
        <v>17.678726000000001</v>
      </c>
      <c r="I8">
        <v>19.287455000000001</v>
      </c>
      <c r="J8">
        <v>20.826401000000001</v>
      </c>
      <c r="K8">
        <v>22.128098000000001</v>
      </c>
      <c r="L8">
        <v>23.285748000000002</v>
      </c>
      <c r="M8">
        <v>24.41581</v>
      </c>
      <c r="N8">
        <v>24.965506000000001</v>
      </c>
      <c r="O8">
        <v>25.501348</v>
      </c>
      <c r="P8">
        <v>25.969877</v>
      </c>
      <c r="Q8">
        <v>26.333431000000001</v>
      </c>
      <c r="R8">
        <v>26.637089</v>
      </c>
      <c r="S8">
        <v>26.812365</v>
      </c>
      <c r="T8">
        <v>27.099083</v>
      </c>
      <c r="U8">
        <v>27.364311000000001</v>
      </c>
      <c r="V8">
        <v>27.618855</v>
      </c>
      <c r="W8">
        <v>27.819272999999999</v>
      </c>
      <c r="X8">
        <v>27.879057</v>
      </c>
      <c r="Y8">
        <v>28.015280000000001</v>
      </c>
      <c r="Z8">
        <v>28.141026</v>
      </c>
      <c r="AA8">
        <v>28.178196</v>
      </c>
      <c r="AB8">
        <v>28.143318000000001</v>
      </c>
      <c r="AC8">
        <v>27.980774</v>
      </c>
      <c r="AD8">
        <v>27.925937999999999</v>
      </c>
      <c r="AE8">
        <v>27.905180000000001</v>
      </c>
      <c r="AF8">
        <v>27.808883999999999</v>
      </c>
      <c r="AG8">
        <v>27.776104</v>
      </c>
      <c r="AH8">
        <v>27.751465</v>
      </c>
      <c r="AI8" s="31">
        <v>1.7000000000000001E-2</v>
      </c>
    </row>
    <row r="9" spans="2:35">
      <c r="C9" s="1" t="s">
        <v>1405</v>
      </c>
    </row>
    <row r="10" spans="2:35">
      <c r="B10" t="s">
        <v>113</v>
      </c>
      <c r="C10" t="s">
        <v>362</v>
      </c>
      <c r="D10" t="s">
        <v>3949</v>
      </c>
      <c r="E10" t="s">
        <v>3948</v>
      </c>
      <c r="F10" t="s">
        <v>387</v>
      </c>
      <c r="H10">
        <v>227.34983800000001</v>
      </c>
      <c r="I10">
        <v>217.08696</v>
      </c>
      <c r="J10">
        <v>204.56449900000001</v>
      </c>
      <c r="K10">
        <v>190.60505699999999</v>
      </c>
      <c r="L10">
        <v>176.20373499999999</v>
      </c>
      <c r="M10">
        <v>161.89666700000001</v>
      </c>
      <c r="N10">
        <v>147.63659699999999</v>
      </c>
      <c r="O10">
        <v>134.09382600000001</v>
      </c>
      <c r="P10">
        <v>121.195335</v>
      </c>
      <c r="Q10">
        <v>109.176537</v>
      </c>
      <c r="R10">
        <v>97.926376000000005</v>
      </c>
      <c r="S10">
        <v>87.598716999999994</v>
      </c>
      <c r="T10">
        <v>78.528717</v>
      </c>
      <c r="U10">
        <v>70.769454999999994</v>
      </c>
      <c r="V10">
        <v>64.238190000000003</v>
      </c>
      <c r="W10">
        <v>58.898223999999999</v>
      </c>
      <c r="X10">
        <v>54.524493999999997</v>
      </c>
      <c r="Y10">
        <v>50.738224000000002</v>
      </c>
      <c r="Z10">
        <v>47.637169</v>
      </c>
      <c r="AA10">
        <v>44.981273999999999</v>
      </c>
      <c r="AB10">
        <v>42.797237000000003</v>
      </c>
      <c r="AC10">
        <v>40.879497999999998</v>
      </c>
      <c r="AD10">
        <v>39.273997999999999</v>
      </c>
      <c r="AE10">
        <v>37.833148999999999</v>
      </c>
      <c r="AF10">
        <v>36.486289999999997</v>
      </c>
      <c r="AG10">
        <v>35.239452</v>
      </c>
      <c r="AH10">
        <v>34.077469000000001</v>
      </c>
      <c r="AI10" s="31">
        <v>-7.0000000000000007E-2</v>
      </c>
    </row>
    <row r="11" spans="2:35">
      <c r="B11" t="s">
        <v>111</v>
      </c>
      <c r="C11" t="s">
        <v>1402</v>
      </c>
      <c r="D11" t="s">
        <v>3947</v>
      </c>
      <c r="E11" t="s">
        <v>3946</v>
      </c>
      <c r="F11" t="s">
        <v>387</v>
      </c>
      <c r="H11">
        <v>1.2054039999999999</v>
      </c>
      <c r="I11">
        <v>1.2725029999999999</v>
      </c>
      <c r="J11">
        <v>1.3133649999999999</v>
      </c>
      <c r="K11">
        <v>1.385605</v>
      </c>
      <c r="L11">
        <v>1.463217</v>
      </c>
      <c r="M11">
        <v>1.5426070000000001</v>
      </c>
      <c r="N11">
        <v>1.618784</v>
      </c>
      <c r="O11">
        <v>1.5838589999999999</v>
      </c>
      <c r="P11">
        <v>1.5512459999999999</v>
      </c>
      <c r="Q11">
        <v>1.503568</v>
      </c>
      <c r="R11">
        <v>1.4675879999999999</v>
      </c>
      <c r="S11">
        <v>1.4373819999999999</v>
      </c>
      <c r="T11">
        <v>1.419794</v>
      </c>
      <c r="U11">
        <v>1.409038</v>
      </c>
      <c r="V11">
        <v>1.4158649999999999</v>
      </c>
      <c r="W11">
        <v>1.4278200000000001</v>
      </c>
      <c r="X11">
        <v>1.4457720000000001</v>
      </c>
      <c r="Y11">
        <v>1.470386</v>
      </c>
      <c r="Z11">
        <v>1.4982059999999999</v>
      </c>
      <c r="AA11">
        <v>1.530392</v>
      </c>
      <c r="AB11">
        <v>1.5632619999999999</v>
      </c>
      <c r="AC11">
        <v>1.594311</v>
      </c>
      <c r="AD11">
        <v>1.6247069999999999</v>
      </c>
      <c r="AE11">
        <v>1.6545799999999999</v>
      </c>
      <c r="AF11">
        <v>1.6855150000000001</v>
      </c>
      <c r="AG11">
        <v>1.716235</v>
      </c>
      <c r="AH11">
        <v>1.750154</v>
      </c>
      <c r="AI11" s="31">
        <v>1.4E-2</v>
      </c>
    </row>
    <row r="12" spans="2:35">
      <c r="B12" t="s">
        <v>111</v>
      </c>
      <c r="C12" t="s">
        <v>1400</v>
      </c>
      <c r="D12" t="s">
        <v>3945</v>
      </c>
      <c r="E12" t="s">
        <v>3944</v>
      </c>
      <c r="F12" t="s">
        <v>387</v>
      </c>
      <c r="H12">
        <v>6.1778040000000001</v>
      </c>
      <c r="I12">
        <v>9.0846839999999993</v>
      </c>
      <c r="J12">
        <v>13.92764</v>
      </c>
      <c r="K12">
        <v>19.019038999999999</v>
      </c>
      <c r="L12">
        <v>24.548573999999999</v>
      </c>
      <c r="M12">
        <v>30.094479</v>
      </c>
      <c r="N12">
        <v>35.671551000000001</v>
      </c>
      <c r="O12">
        <v>40.503078000000002</v>
      </c>
      <c r="P12">
        <v>47.040320999999999</v>
      </c>
      <c r="Q12">
        <v>53.489758000000002</v>
      </c>
      <c r="R12">
        <v>60.544144000000003</v>
      </c>
      <c r="S12">
        <v>68.558166999999997</v>
      </c>
      <c r="T12">
        <v>76.790947000000003</v>
      </c>
      <c r="U12">
        <v>85.409721000000005</v>
      </c>
      <c r="V12">
        <v>94.238692999999998</v>
      </c>
      <c r="W12">
        <v>103.86404400000001</v>
      </c>
      <c r="X12">
        <v>113.36642500000001</v>
      </c>
      <c r="Y12">
        <v>122.791656</v>
      </c>
      <c r="Z12">
        <v>131.89782700000001</v>
      </c>
      <c r="AA12">
        <v>140.756989</v>
      </c>
      <c r="AB12">
        <v>149.25915499999999</v>
      </c>
      <c r="AC12">
        <v>157.369812</v>
      </c>
      <c r="AD12">
        <v>165.133118</v>
      </c>
      <c r="AE12">
        <v>172.6362</v>
      </c>
      <c r="AF12">
        <v>179.83914200000001</v>
      </c>
      <c r="AG12">
        <v>186.67259200000001</v>
      </c>
      <c r="AH12">
        <v>193.37832599999999</v>
      </c>
      <c r="AI12" s="31">
        <v>0.14199999999999999</v>
      </c>
    </row>
    <row r="13" spans="2:35">
      <c r="B13" t="s">
        <v>111</v>
      </c>
      <c r="C13" t="s">
        <v>1398</v>
      </c>
      <c r="D13" t="s">
        <v>3943</v>
      </c>
      <c r="E13" t="s">
        <v>3942</v>
      </c>
      <c r="F13" t="s">
        <v>387</v>
      </c>
      <c r="H13">
        <v>31.292504999999998</v>
      </c>
      <c r="I13">
        <v>48.648594000000003</v>
      </c>
      <c r="J13">
        <v>71.785942000000006</v>
      </c>
      <c r="K13">
        <v>100.158844</v>
      </c>
      <c r="L13">
        <v>131.608215</v>
      </c>
      <c r="M13">
        <v>165.374954</v>
      </c>
      <c r="N13">
        <v>201.30834999999999</v>
      </c>
      <c r="O13">
        <v>231.05517599999999</v>
      </c>
      <c r="P13">
        <v>259.93966699999999</v>
      </c>
      <c r="Q13">
        <v>285.20742799999999</v>
      </c>
      <c r="R13">
        <v>310.31802399999998</v>
      </c>
      <c r="S13">
        <v>334.06652800000001</v>
      </c>
      <c r="T13">
        <v>357.11611900000003</v>
      </c>
      <c r="U13">
        <v>379.46163899999999</v>
      </c>
      <c r="V13">
        <v>400.94500699999998</v>
      </c>
      <c r="W13">
        <v>421.10592700000001</v>
      </c>
      <c r="X13">
        <v>440.173676</v>
      </c>
      <c r="Y13">
        <v>457.85394300000002</v>
      </c>
      <c r="Z13">
        <v>473.92501800000002</v>
      </c>
      <c r="AA13">
        <v>488.38305700000001</v>
      </c>
      <c r="AB13">
        <v>501.36956800000002</v>
      </c>
      <c r="AC13">
        <v>512.808044</v>
      </c>
      <c r="AD13">
        <v>523.61523399999999</v>
      </c>
      <c r="AE13">
        <v>534.02160600000002</v>
      </c>
      <c r="AF13">
        <v>544.03112799999997</v>
      </c>
      <c r="AG13">
        <v>553.47430399999996</v>
      </c>
      <c r="AH13">
        <v>562.88214100000005</v>
      </c>
      <c r="AI13" s="31">
        <v>0.11799999999999999</v>
      </c>
    </row>
    <row r="14" spans="2:35">
      <c r="B14" t="s">
        <v>115</v>
      </c>
      <c r="C14" t="s">
        <v>1396</v>
      </c>
      <c r="D14" t="s">
        <v>3941</v>
      </c>
      <c r="E14" t="s">
        <v>3940</v>
      </c>
      <c r="F14" t="s">
        <v>387</v>
      </c>
      <c r="H14">
        <v>10.633583</v>
      </c>
      <c r="I14">
        <v>13.339897000000001</v>
      </c>
      <c r="J14">
        <v>18.432396000000001</v>
      </c>
      <c r="K14">
        <v>21.875589000000002</v>
      </c>
      <c r="L14">
        <v>26.271076000000001</v>
      </c>
      <c r="M14">
        <v>29.792583</v>
      </c>
      <c r="N14">
        <v>33.179554000000003</v>
      </c>
      <c r="O14">
        <v>36.715026999999999</v>
      </c>
      <c r="P14">
        <v>39.966118000000002</v>
      </c>
      <c r="Q14">
        <v>42.580894000000001</v>
      </c>
      <c r="R14">
        <v>45.103110999999998</v>
      </c>
      <c r="S14">
        <v>47.229075999999999</v>
      </c>
      <c r="T14">
        <v>49.279499000000001</v>
      </c>
      <c r="U14">
        <v>51.461120999999999</v>
      </c>
      <c r="V14">
        <v>53.598185999999998</v>
      </c>
      <c r="W14">
        <v>55.719692000000002</v>
      </c>
      <c r="X14">
        <v>57.804183999999999</v>
      </c>
      <c r="Y14">
        <v>59.694243999999998</v>
      </c>
      <c r="Z14">
        <v>61.461081999999998</v>
      </c>
      <c r="AA14">
        <v>63.201473</v>
      </c>
      <c r="AB14">
        <v>64.800933999999998</v>
      </c>
      <c r="AC14">
        <v>66.773398999999998</v>
      </c>
      <c r="AD14">
        <v>67.908828999999997</v>
      </c>
      <c r="AE14">
        <v>68.842262000000005</v>
      </c>
      <c r="AF14">
        <v>69.893523999999999</v>
      </c>
      <c r="AG14">
        <v>70.781577999999996</v>
      </c>
      <c r="AH14">
        <v>71.631180000000001</v>
      </c>
      <c r="AI14" s="31">
        <v>7.5999999999999998E-2</v>
      </c>
    </row>
    <row r="15" spans="2:35">
      <c r="B15" t="s">
        <v>115</v>
      </c>
      <c r="C15" t="s">
        <v>1393</v>
      </c>
      <c r="D15" t="s">
        <v>3939</v>
      </c>
      <c r="E15" t="s">
        <v>3938</v>
      </c>
      <c r="F15" t="s">
        <v>387</v>
      </c>
      <c r="H15">
        <v>3.8085260000000001</v>
      </c>
      <c r="I15">
        <v>5.8327059999999999</v>
      </c>
      <c r="J15">
        <v>8.502383</v>
      </c>
      <c r="K15">
        <v>11.829996</v>
      </c>
      <c r="L15">
        <v>14.920923999999999</v>
      </c>
      <c r="M15">
        <v>17.793755999999998</v>
      </c>
      <c r="N15">
        <v>22.150753000000002</v>
      </c>
      <c r="O15">
        <v>26.188922999999999</v>
      </c>
      <c r="P15">
        <v>30.387373</v>
      </c>
      <c r="Q15">
        <v>34.157257000000001</v>
      </c>
      <c r="R15">
        <v>37.864994000000003</v>
      </c>
      <c r="S15">
        <v>41.345230000000001</v>
      </c>
      <c r="T15">
        <v>45.296436</v>
      </c>
      <c r="U15">
        <v>49.195976000000002</v>
      </c>
      <c r="V15">
        <v>53.255538999999999</v>
      </c>
      <c r="W15">
        <v>57.177470999999997</v>
      </c>
      <c r="X15">
        <v>60.988723999999998</v>
      </c>
      <c r="Y15">
        <v>64.584395999999998</v>
      </c>
      <c r="Z15">
        <v>68.039787000000004</v>
      </c>
      <c r="AA15">
        <v>71.431061</v>
      </c>
      <c r="AB15">
        <v>74.838172999999998</v>
      </c>
      <c r="AC15">
        <v>78.024315000000001</v>
      </c>
      <c r="AD15">
        <v>80.820969000000005</v>
      </c>
      <c r="AE15">
        <v>83.097442999999998</v>
      </c>
      <c r="AF15">
        <v>85.181258999999997</v>
      </c>
      <c r="AG15">
        <v>87.537375999999995</v>
      </c>
      <c r="AH15">
        <v>89.682907</v>
      </c>
      <c r="AI15" s="31">
        <v>0.129</v>
      </c>
    </row>
    <row r="16" spans="2:35">
      <c r="B16" t="s">
        <v>114</v>
      </c>
      <c r="C16" t="s">
        <v>363</v>
      </c>
      <c r="D16" t="s">
        <v>3937</v>
      </c>
      <c r="E16" t="s">
        <v>3936</v>
      </c>
      <c r="F16" t="s">
        <v>387</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t="s">
        <v>117</v>
      </c>
    </row>
    <row r="17" spans="2:35">
      <c r="B17" t="s">
        <v>113</v>
      </c>
      <c r="C17" t="s">
        <v>364</v>
      </c>
      <c r="D17" t="s">
        <v>3935</v>
      </c>
      <c r="E17" t="s">
        <v>3934</v>
      </c>
      <c r="F17" t="s">
        <v>387</v>
      </c>
      <c r="H17">
        <v>91.694725000000005</v>
      </c>
      <c r="I17">
        <v>105.665741</v>
      </c>
      <c r="J17">
        <v>121.643951</v>
      </c>
      <c r="K17">
        <v>135.89033499999999</v>
      </c>
      <c r="L17">
        <v>150.46112099999999</v>
      </c>
      <c r="M17">
        <v>165.13211100000001</v>
      </c>
      <c r="N17">
        <v>180.451401</v>
      </c>
      <c r="O17">
        <v>196.437881</v>
      </c>
      <c r="P17">
        <v>211.650238</v>
      </c>
      <c r="Q17">
        <v>227.48126199999999</v>
      </c>
      <c r="R17">
        <v>242.92744400000001</v>
      </c>
      <c r="S17">
        <v>258.26385499999998</v>
      </c>
      <c r="T17">
        <v>273.475708</v>
      </c>
      <c r="U17">
        <v>288.36425800000001</v>
      </c>
      <c r="V17">
        <v>303.19842499999999</v>
      </c>
      <c r="W17">
        <v>317.39855999999997</v>
      </c>
      <c r="X17">
        <v>331.82507299999997</v>
      </c>
      <c r="Y17">
        <v>344.76446499999997</v>
      </c>
      <c r="Z17">
        <v>357.03595000000001</v>
      </c>
      <c r="AA17">
        <v>368.82076999999998</v>
      </c>
      <c r="AB17">
        <v>379.44000199999999</v>
      </c>
      <c r="AC17">
        <v>390.11138899999997</v>
      </c>
      <c r="AD17">
        <v>399.33251999999999</v>
      </c>
      <c r="AE17">
        <v>408.77862499999998</v>
      </c>
      <c r="AF17">
        <v>418.97531099999998</v>
      </c>
      <c r="AG17">
        <v>429.12570199999999</v>
      </c>
      <c r="AH17">
        <v>439.02261399999998</v>
      </c>
      <c r="AI17" s="31">
        <v>6.2E-2</v>
      </c>
    </row>
    <row r="18" spans="2:35">
      <c r="B18" t="s">
        <v>112</v>
      </c>
      <c r="C18" t="s">
        <v>365</v>
      </c>
      <c r="D18" t="s">
        <v>3933</v>
      </c>
      <c r="E18" t="s">
        <v>3932</v>
      </c>
      <c r="F18" t="s">
        <v>387</v>
      </c>
      <c r="H18">
        <v>9.3828999999999996E-2</v>
      </c>
      <c r="I18">
        <v>8.5961999999999997E-2</v>
      </c>
      <c r="J18">
        <v>7.8173000000000006E-2</v>
      </c>
      <c r="K18">
        <v>7.0470000000000005E-2</v>
      </c>
      <c r="L18">
        <v>6.3085000000000002E-2</v>
      </c>
      <c r="M18">
        <v>5.6184999999999999E-2</v>
      </c>
      <c r="N18">
        <v>5.0345000000000001E-2</v>
      </c>
      <c r="O18">
        <v>4.4814E-2</v>
      </c>
      <c r="P18">
        <v>3.9855000000000002E-2</v>
      </c>
      <c r="Q18">
        <v>3.5506000000000003E-2</v>
      </c>
      <c r="R18">
        <v>3.1813000000000001E-2</v>
      </c>
      <c r="S18">
        <v>2.8652E-2</v>
      </c>
      <c r="T18">
        <v>2.5992999999999999E-2</v>
      </c>
      <c r="U18">
        <v>2.4108999999999998E-2</v>
      </c>
      <c r="V18">
        <v>2.2449E-2</v>
      </c>
      <c r="W18">
        <v>2.1033E-2</v>
      </c>
      <c r="X18">
        <v>1.9747000000000001E-2</v>
      </c>
      <c r="Y18">
        <v>1.8540000000000001E-2</v>
      </c>
      <c r="Z18">
        <v>1.7406000000000001E-2</v>
      </c>
      <c r="AA18">
        <v>1.6341999999999999E-2</v>
      </c>
      <c r="AB18">
        <v>1.5344E-2</v>
      </c>
      <c r="AC18">
        <v>1.4406E-2</v>
      </c>
      <c r="AD18">
        <v>1.3526E-2</v>
      </c>
      <c r="AE18">
        <v>1.2699E-2</v>
      </c>
      <c r="AF18">
        <v>1.1923E-2</v>
      </c>
      <c r="AG18">
        <v>1.1195E-2</v>
      </c>
      <c r="AH18">
        <v>1.0511E-2</v>
      </c>
      <c r="AI18" s="31">
        <v>-8.1000000000000003E-2</v>
      </c>
    </row>
    <row r="19" spans="2:35">
      <c r="B19" t="s">
        <v>112</v>
      </c>
      <c r="C19" t="s">
        <v>366</v>
      </c>
      <c r="D19" t="s">
        <v>3931</v>
      </c>
      <c r="E19" t="s">
        <v>3930</v>
      </c>
      <c r="F19" t="s">
        <v>387</v>
      </c>
      <c r="H19">
        <v>1.9400000000000001E-2</v>
      </c>
      <c r="I19">
        <v>1.8200999999999998E-2</v>
      </c>
      <c r="J19">
        <v>1.7076000000000001E-2</v>
      </c>
      <c r="K19">
        <v>1.6021000000000001E-2</v>
      </c>
      <c r="L19">
        <v>1.5032E-2</v>
      </c>
      <c r="M19">
        <v>1.4102999999999999E-2</v>
      </c>
      <c r="N19">
        <v>1.3233E-2</v>
      </c>
      <c r="O19">
        <v>1.2416E-2</v>
      </c>
      <c r="P19">
        <v>1.1650000000000001E-2</v>
      </c>
      <c r="Q19">
        <v>1.0931E-2</v>
      </c>
      <c r="R19">
        <v>1.0257E-2</v>
      </c>
      <c r="S19">
        <v>9.6240000000000006E-3</v>
      </c>
      <c r="T19">
        <v>9.0310000000000008E-3</v>
      </c>
      <c r="U19">
        <v>8.4740000000000006E-3</v>
      </c>
      <c r="V19">
        <v>7.9520000000000007E-3</v>
      </c>
      <c r="W19">
        <v>7.4619999999999999E-3</v>
      </c>
      <c r="X19">
        <v>7.0020000000000004E-3</v>
      </c>
      <c r="Y19">
        <v>6.5709999999999996E-3</v>
      </c>
      <c r="Z19">
        <v>6.1659999999999996E-3</v>
      </c>
      <c r="AA19">
        <v>5.7869999999999996E-3</v>
      </c>
      <c r="AB19">
        <v>5.4299999999999999E-3</v>
      </c>
      <c r="AC19">
        <v>5.0959999999999998E-3</v>
      </c>
      <c r="AD19">
        <v>4.7829999999999999E-3</v>
      </c>
      <c r="AE19">
        <v>4.4889999999999999E-3</v>
      </c>
      <c r="AF19">
        <v>4.2119999999999996E-3</v>
      </c>
      <c r="AG19">
        <v>3.954E-3</v>
      </c>
      <c r="AH19">
        <v>3.7100000000000002E-3</v>
      </c>
      <c r="AI19" s="31">
        <v>-6.2E-2</v>
      </c>
    </row>
    <row r="20" spans="2:35">
      <c r="B20" t="s">
        <v>257</v>
      </c>
      <c r="C20" t="s">
        <v>367</v>
      </c>
      <c r="D20" t="s">
        <v>3929</v>
      </c>
      <c r="E20" t="s">
        <v>3928</v>
      </c>
      <c r="F20" t="s">
        <v>387</v>
      </c>
      <c r="H20">
        <v>5.5437E-2</v>
      </c>
      <c r="I20">
        <v>5.0043999999999998E-2</v>
      </c>
      <c r="J20">
        <v>4.6110999999999999E-2</v>
      </c>
      <c r="K20">
        <v>4.3152999999999997E-2</v>
      </c>
      <c r="L20">
        <v>4.0490999999999999E-2</v>
      </c>
      <c r="M20">
        <v>3.7994E-2</v>
      </c>
      <c r="N20">
        <v>3.5651000000000002E-2</v>
      </c>
      <c r="O20">
        <v>3.3453999999999998E-2</v>
      </c>
      <c r="P20">
        <v>3.1392000000000003E-2</v>
      </c>
      <c r="Q20">
        <v>2.9457000000000001E-2</v>
      </c>
      <c r="R20">
        <v>2.7642E-2</v>
      </c>
      <c r="S20">
        <v>2.5940000000000001E-2</v>
      </c>
      <c r="T20">
        <v>2.4341999999999999E-2</v>
      </c>
      <c r="U20">
        <v>2.2842999999999999E-2</v>
      </c>
      <c r="V20">
        <v>2.1437000000000001E-2</v>
      </c>
      <c r="W20">
        <v>2.0118E-2</v>
      </c>
      <c r="X20">
        <v>1.8880000000000001E-2</v>
      </c>
      <c r="Y20">
        <v>1.7718000000000001E-2</v>
      </c>
      <c r="Z20">
        <v>1.6628E-2</v>
      </c>
      <c r="AA20">
        <v>1.5606E-2</v>
      </c>
      <c r="AB20">
        <v>1.4645999999999999E-2</v>
      </c>
      <c r="AC20">
        <v>1.3746E-2</v>
      </c>
      <c r="AD20">
        <v>1.2900999999999999E-2</v>
      </c>
      <c r="AE20">
        <v>1.2108000000000001E-2</v>
      </c>
      <c r="AF20">
        <v>1.1364000000000001E-2</v>
      </c>
      <c r="AG20">
        <v>1.0666E-2</v>
      </c>
      <c r="AH20">
        <v>1.0011000000000001E-2</v>
      </c>
      <c r="AI20" s="31">
        <v>-6.4000000000000001E-2</v>
      </c>
    </row>
    <row r="21" spans="2:35">
      <c r="B21" t="s">
        <v>257</v>
      </c>
      <c r="C21" t="s">
        <v>368</v>
      </c>
      <c r="D21" t="s">
        <v>3927</v>
      </c>
      <c r="E21" t="s">
        <v>3926</v>
      </c>
      <c r="F21" t="s">
        <v>387</v>
      </c>
      <c r="H21">
        <v>6.2593999999999997E-2</v>
      </c>
      <c r="I21">
        <v>5.7144E-2</v>
      </c>
      <c r="J21">
        <v>5.2768000000000002E-2</v>
      </c>
      <c r="K21">
        <v>4.9305000000000002E-2</v>
      </c>
      <c r="L21">
        <v>4.6163000000000003E-2</v>
      </c>
      <c r="M21">
        <v>4.3321999999999999E-2</v>
      </c>
      <c r="N21">
        <v>4.0656999999999999E-2</v>
      </c>
      <c r="O21">
        <v>3.8156000000000002E-2</v>
      </c>
      <c r="P21">
        <v>3.5809000000000001E-2</v>
      </c>
      <c r="Q21">
        <v>3.3605999999999997E-2</v>
      </c>
      <c r="R21">
        <v>3.1539999999999999E-2</v>
      </c>
      <c r="S21">
        <v>2.9600999999999999E-2</v>
      </c>
      <c r="T21">
        <v>2.7782000000000001E-2</v>
      </c>
      <c r="U21">
        <v>2.6074E-2</v>
      </c>
      <c r="V21">
        <v>2.4472000000000001E-2</v>
      </c>
      <c r="W21">
        <v>2.2969E-2</v>
      </c>
      <c r="X21">
        <v>2.1558000000000001E-2</v>
      </c>
      <c r="Y21">
        <v>2.0233999999999999E-2</v>
      </c>
      <c r="Z21">
        <v>1.8991000000000001E-2</v>
      </c>
      <c r="AA21">
        <v>1.7825000000000001E-2</v>
      </c>
      <c r="AB21">
        <v>1.6730999999999999E-2</v>
      </c>
      <c r="AC21">
        <v>1.5703999999999999E-2</v>
      </c>
      <c r="AD21">
        <v>1.4741000000000001E-2</v>
      </c>
      <c r="AE21">
        <v>1.3835999999999999E-2</v>
      </c>
      <c r="AF21">
        <v>1.2988E-2</v>
      </c>
      <c r="AG21">
        <v>1.2191E-2</v>
      </c>
      <c r="AH21">
        <v>1.1443E-2</v>
      </c>
      <c r="AI21" s="31">
        <v>-6.3E-2</v>
      </c>
    </row>
    <row r="22" spans="2:35">
      <c r="B22" t="s">
        <v>258</v>
      </c>
      <c r="C22" t="s">
        <v>369</v>
      </c>
      <c r="D22" t="s">
        <v>3925</v>
      </c>
      <c r="E22" t="s">
        <v>3924</v>
      </c>
      <c r="F22" t="s">
        <v>387</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117</v>
      </c>
    </row>
    <row r="23" spans="2:35">
      <c r="B23" t="s">
        <v>258</v>
      </c>
      <c r="C23" t="s">
        <v>370</v>
      </c>
      <c r="D23" t="s">
        <v>3923</v>
      </c>
      <c r="E23" t="s">
        <v>3922</v>
      </c>
      <c r="F23" t="s">
        <v>387</v>
      </c>
      <c r="H23">
        <v>0.220414</v>
      </c>
      <c r="I23">
        <v>0.23516899999999999</v>
      </c>
      <c r="J23">
        <v>0.24113399999999999</v>
      </c>
      <c r="K23">
        <v>0.24398700000000001</v>
      </c>
      <c r="L23">
        <v>0.243755</v>
      </c>
      <c r="M23">
        <v>0.23689399999999999</v>
      </c>
      <c r="N23">
        <v>0.23035</v>
      </c>
      <c r="O23">
        <v>0.22249099999999999</v>
      </c>
      <c r="P23">
        <v>0.21315100000000001</v>
      </c>
      <c r="Q23">
        <v>0.20141200000000001</v>
      </c>
      <c r="R23">
        <v>0.18939500000000001</v>
      </c>
      <c r="S23">
        <v>0.17722199999999999</v>
      </c>
      <c r="T23">
        <v>0.16473399999999999</v>
      </c>
      <c r="U23">
        <v>0.15212700000000001</v>
      </c>
      <c r="V23">
        <v>0.139538</v>
      </c>
      <c r="W23">
        <v>0.12745500000000001</v>
      </c>
      <c r="X23">
        <v>0.115909</v>
      </c>
      <c r="Y23">
        <v>0.10467899999999999</v>
      </c>
      <c r="Z23">
        <v>9.5548999999999995E-2</v>
      </c>
      <c r="AA23">
        <v>8.7376999999999996E-2</v>
      </c>
      <c r="AB23">
        <v>8.0935999999999994E-2</v>
      </c>
      <c r="AC23">
        <v>7.4652999999999997E-2</v>
      </c>
      <c r="AD23">
        <v>6.9734000000000004E-2</v>
      </c>
      <c r="AE23">
        <v>6.6073000000000007E-2</v>
      </c>
      <c r="AF23">
        <v>6.3857999999999998E-2</v>
      </c>
      <c r="AG23">
        <v>6.2052000000000003E-2</v>
      </c>
      <c r="AH23">
        <v>6.0727000000000003E-2</v>
      </c>
      <c r="AI23" s="31">
        <v>-4.8000000000000001E-2</v>
      </c>
    </row>
    <row r="24" spans="2:35">
      <c r="C24" t="s">
        <v>579</v>
      </c>
    </row>
    <row r="25" spans="2:35">
      <c r="C25" t="s">
        <v>3921</v>
      </c>
      <c r="D25" t="s">
        <v>3920</v>
      </c>
      <c r="E25" t="s">
        <v>3919</v>
      </c>
      <c r="F25" t="s">
        <v>387</v>
      </c>
      <c r="H25">
        <v>3013.7297359999998</v>
      </c>
      <c r="I25">
        <v>3058.3715820000002</v>
      </c>
      <c r="J25">
        <v>3083.451172</v>
      </c>
      <c r="K25">
        <v>3100.0170899999998</v>
      </c>
      <c r="L25">
        <v>3112.2297359999998</v>
      </c>
      <c r="M25">
        <v>3125.576172</v>
      </c>
      <c r="N25">
        <v>3140.1669919999999</v>
      </c>
      <c r="O25">
        <v>3154.0073240000002</v>
      </c>
      <c r="P25">
        <v>3161.4350589999999</v>
      </c>
      <c r="Q25">
        <v>3167.1464839999999</v>
      </c>
      <c r="R25">
        <v>3171.9169919999999</v>
      </c>
      <c r="S25">
        <v>3174.3566890000002</v>
      </c>
      <c r="T25">
        <v>3179.41626</v>
      </c>
      <c r="U25">
        <v>3189.5078119999998</v>
      </c>
      <c r="V25">
        <v>3202.960693</v>
      </c>
      <c r="W25">
        <v>3216.1186520000001</v>
      </c>
      <c r="X25">
        <v>3230.5129390000002</v>
      </c>
      <c r="Y25">
        <v>3244.2316890000002</v>
      </c>
      <c r="Z25">
        <v>3257.2741700000001</v>
      </c>
      <c r="AA25">
        <v>3268.8366700000001</v>
      </c>
      <c r="AB25">
        <v>3279.341797</v>
      </c>
      <c r="AC25">
        <v>3288.4411620000001</v>
      </c>
      <c r="AD25">
        <v>3297.5173340000001</v>
      </c>
      <c r="AE25">
        <v>3308.5703119999998</v>
      </c>
      <c r="AF25">
        <v>3321.3464359999998</v>
      </c>
      <c r="AG25">
        <v>3335.046875</v>
      </c>
      <c r="AH25">
        <v>3349.8640140000002</v>
      </c>
      <c r="AI25" s="31">
        <v>4.0000000000000001E-3</v>
      </c>
    </row>
    <row r="26" spans="2:35">
      <c r="C26" t="s">
        <v>3918</v>
      </c>
      <c r="D26" t="s">
        <v>3917</v>
      </c>
      <c r="E26" t="s">
        <v>3916</v>
      </c>
      <c r="F26" t="s">
        <v>3915</v>
      </c>
      <c r="H26">
        <v>12.632863</v>
      </c>
      <c r="I26">
        <v>12.6976</v>
      </c>
      <c r="J26">
        <v>12.719298</v>
      </c>
      <c r="K26">
        <v>12.726963</v>
      </c>
      <c r="L26">
        <v>12.719049</v>
      </c>
      <c r="M26">
        <v>12.714320000000001</v>
      </c>
      <c r="N26">
        <v>12.712285</v>
      </c>
      <c r="O26">
        <v>12.708377</v>
      </c>
      <c r="P26">
        <v>12.684131000000001</v>
      </c>
      <c r="Q26">
        <v>12.660517</v>
      </c>
      <c r="R26">
        <v>12.639695</v>
      </c>
      <c r="S26">
        <v>12.614544</v>
      </c>
      <c r="T26">
        <v>12.597507999999999</v>
      </c>
      <c r="U26">
        <v>12.595806</v>
      </c>
      <c r="V26">
        <v>12.604687</v>
      </c>
      <c r="W26">
        <v>12.617718999999999</v>
      </c>
      <c r="X26">
        <v>12.635503</v>
      </c>
      <c r="Y26">
        <v>12.655177</v>
      </c>
      <c r="Z26">
        <v>12.675048</v>
      </c>
      <c r="AA26">
        <v>12.694362999999999</v>
      </c>
      <c r="AB26">
        <v>12.712054999999999</v>
      </c>
      <c r="AC26">
        <v>12.726727</v>
      </c>
      <c r="AD26">
        <v>12.743015</v>
      </c>
      <c r="AE26">
        <v>12.765904000000001</v>
      </c>
      <c r="AF26">
        <v>12.793575000000001</v>
      </c>
      <c r="AG26">
        <v>12.824799000000001</v>
      </c>
      <c r="AH26">
        <v>12.861134</v>
      </c>
      <c r="AI26" s="31">
        <v>1E-3</v>
      </c>
    </row>
    <row r="27" spans="2:35">
      <c r="C27" t="s">
        <v>3914</v>
      </c>
      <c r="D27" t="s">
        <v>3913</v>
      </c>
      <c r="E27" t="s">
        <v>3912</v>
      </c>
      <c r="F27" t="s">
        <v>416</v>
      </c>
      <c r="H27">
        <v>238.56268299999999</v>
      </c>
      <c r="I27">
        <v>240.862167</v>
      </c>
      <c r="J27">
        <v>242.42304999999999</v>
      </c>
      <c r="K27">
        <v>243.57870500000001</v>
      </c>
      <c r="L27">
        <v>244.69046</v>
      </c>
      <c r="M27">
        <v>245.83116100000001</v>
      </c>
      <c r="N27">
        <v>247.01829499999999</v>
      </c>
      <c r="O27">
        <v>248.183334</v>
      </c>
      <c r="P27">
        <v>249.24333200000001</v>
      </c>
      <c r="Q27">
        <v>250.15933200000001</v>
      </c>
      <c r="R27">
        <v>250.94885300000001</v>
      </c>
      <c r="S27">
        <v>251.64260899999999</v>
      </c>
      <c r="T27">
        <v>252.38453699999999</v>
      </c>
      <c r="U27">
        <v>253.21983299999999</v>
      </c>
      <c r="V27">
        <v>254.10871900000001</v>
      </c>
      <c r="W27">
        <v>254.889084</v>
      </c>
      <c r="X27">
        <v>255.66952499999999</v>
      </c>
      <c r="Y27">
        <v>256.35607900000002</v>
      </c>
      <c r="Z27">
        <v>256.98318499999999</v>
      </c>
      <c r="AA27">
        <v>257.50302099999999</v>
      </c>
      <c r="AB27">
        <v>257.97100799999998</v>
      </c>
      <c r="AC27">
        <v>258.38861100000003</v>
      </c>
      <c r="AD27">
        <v>258.77056900000002</v>
      </c>
      <c r="AE27">
        <v>259.17242399999998</v>
      </c>
      <c r="AF27">
        <v>259.61050399999999</v>
      </c>
      <c r="AG27">
        <v>260.04672199999999</v>
      </c>
      <c r="AH27">
        <v>260.46414199999998</v>
      </c>
      <c r="AI27" s="31">
        <v>3.0000000000000001E-3</v>
      </c>
    </row>
    <row r="28" spans="2:35">
      <c r="C28" t="s">
        <v>586</v>
      </c>
    </row>
    <row r="29" spans="2:35">
      <c r="C29" t="s">
        <v>3911</v>
      </c>
      <c r="D29" t="s">
        <v>3910</v>
      </c>
      <c r="E29" t="s">
        <v>3909</v>
      </c>
      <c r="F29" t="s">
        <v>452</v>
      </c>
      <c r="H29">
        <v>11.072175</v>
      </c>
      <c r="I29">
        <v>10.989207</v>
      </c>
      <c r="J29">
        <v>10.772219</v>
      </c>
      <c r="K29">
        <v>10.595737</v>
      </c>
      <c r="L29">
        <v>10.474872</v>
      </c>
      <c r="M29">
        <v>10.493524000000001</v>
      </c>
      <c r="N29">
        <v>10.551238</v>
      </c>
      <c r="O29">
        <v>10.61871</v>
      </c>
      <c r="P29">
        <v>10.598647</v>
      </c>
      <c r="Q29">
        <v>10.602679</v>
      </c>
      <c r="R29">
        <v>10.855601</v>
      </c>
      <c r="S29">
        <v>11.030699</v>
      </c>
      <c r="T29">
        <v>11.128284000000001</v>
      </c>
      <c r="U29">
        <v>11.184184999999999</v>
      </c>
      <c r="V29">
        <v>11.276982</v>
      </c>
      <c r="W29">
        <v>11.385999</v>
      </c>
      <c r="X29">
        <v>11.392191</v>
      </c>
      <c r="Y29">
        <v>11.389072000000001</v>
      </c>
      <c r="Z29">
        <v>11.348050000000001</v>
      </c>
      <c r="AA29">
        <v>11.420823</v>
      </c>
      <c r="AB29">
        <v>11.421824000000001</v>
      </c>
      <c r="AC29">
        <v>11.530760000000001</v>
      </c>
      <c r="AD29">
        <v>11.544772999999999</v>
      </c>
      <c r="AE29">
        <v>11.516560999999999</v>
      </c>
      <c r="AF29">
        <v>11.558902</v>
      </c>
      <c r="AG29">
        <v>11.613436</v>
      </c>
      <c r="AH29">
        <v>11.918524</v>
      </c>
      <c r="AI29" s="31">
        <v>3.0000000000000001E-3</v>
      </c>
    </row>
    <row r="30" spans="2:35">
      <c r="C30" t="s">
        <v>3908</v>
      </c>
      <c r="D30" t="s">
        <v>3907</v>
      </c>
      <c r="E30" t="s">
        <v>3906</v>
      </c>
      <c r="F30" t="s">
        <v>414</v>
      </c>
      <c r="H30">
        <v>22.698512999999998</v>
      </c>
      <c r="I30">
        <v>23.025316</v>
      </c>
      <c r="J30">
        <v>23.390398000000001</v>
      </c>
      <c r="K30">
        <v>23.807403999999998</v>
      </c>
      <c r="L30">
        <v>24.270475000000001</v>
      </c>
      <c r="M30">
        <v>24.807924</v>
      </c>
      <c r="N30">
        <v>25.406624000000001</v>
      </c>
      <c r="O30">
        <v>25.966094999999999</v>
      </c>
      <c r="P30">
        <v>26.522801999999999</v>
      </c>
      <c r="Q30">
        <v>27.060917</v>
      </c>
      <c r="R30">
        <v>27.532969999999999</v>
      </c>
      <c r="S30">
        <v>28.000629</v>
      </c>
      <c r="T30">
        <v>28.546972</v>
      </c>
      <c r="U30">
        <v>29.123341</v>
      </c>
      <c r="V30">
        <v>29.667120000000001</v>
      </c>
      <c r="W30">
        <v>30.192613999999999</v>
      </c>
      <c r="X30">
        <v>30.662116999999999</v>
      </c>
      <c r="Y30">
        <v>31.090136000000001</v>
      </c>
      <c r="Z30">
        <v>31.555025000000001</v>
      </c>
      <c r="AA30">
        <v>31.897570000000002</v>
      </c>
      <c r="AB30">
        <v>32.255496999999998</v>
      </c>
      <c r="AC30">
        <v>32.578896</v>
      </c>
      <c r="AD30">
        <v>32.905796000000002</v>
      </c>
      <c r="AE30">
        <v>33.153111000000003</v>
      </c>
      <c r="AF30">
        <v>33.536633000000002</v>
      </c>
      <c r="AG30">
        <v>33.834964999999997</v>
      </c>
      <c r="AH30">
        <v>34.03566</v>
      </c>
      <c r="AI30" s="31">
        <v>1.6E-2</v>
      </c>
    </row>
    <row r="31" spans="2:35">
      <c r="C31" t="s">
        <v>3905</v>
      </c>
      <c r="D31" t="s">
        <v>3904</v>
      </c>
      <c r="E31" t="s">
        <v>3903</v>
      </c>
      <c r="F31" t="s">
        <v>3902</v>
      </c>
      <c r="H31">
        <v>8.0318509999999996</v>
      </c>
      <c r="I31">
        <v>7.8498109999999999</v>
      </c>
      <c r="J31">
        <v>7.5682790000000004</v>
      </c>
      <c r="K31">
        <v>7.3078370000000001</v>
      </c>
      <c r="L31">
        <v>7.0830419999999998</v>
      </c>
      <c r="M31">
        <v>6.9407300000000003</v>
      </c>
      <c r="N31">
        <v>6.8145769999999999</v>
      </c>
      <c r="O31">
        <v>6.7097100000000003</v>
      </c>
      <c r="P31">
        <v>6.5560859999999996</v>
      </c>
      <c r="Q31">
        <v>6.4295309999999999</v>
      </c>
      <c r="R31">
        <v>6.472245</v>
      </c>
      <c r="S31">
        <v>6.4681819999999997</v>
      </c>
      <c r="T31">
        <v>6.4015500000000003</v>
      </c>
      <c r="U31">
        <v>6.3077629999999996</v>
      </c>
      <c r="V31">
        <v>6.2451809999999996</v>
      </c>
      <c r="W31">
        <v>6.1970539999999996</v>
      </c>
      <c r="X31">
        <v>6.1066580000000004</v>
      </c>
      <c r="Y31">
        <v>6.0225270000000002</v>
      </c>
      <c r="Z31">
        <v>5.9137110000000002</v>
      </c>
      <c r="AA31">
        <v>5.89039</v>
      </c>
      <c r="AB31">
        <v>5.8259540000000003</v>
      </c>
      <c r="AC31">
        <v>5.8250549999999999</v>
      </c>
      <c r="AD31">
        <v>5.7753379999999996</v>
      </c>
      <c r="AE31">
        <v>5.7186820000000003</v>
      </c>
      <c r="AF31">
        <v>5.6746720000000002</v>
      </c>
      <c r="AG31">
        <v>5.6517109999999997</v>
      </c>
      <c r="AH31">
        <v>5.7658420000000001</v>
      </c>
      <c r="AI31" s="31">
        <v>-1.2999999999999999E-2</v>
      </c>
    </row>
    <row r="32" spans="2:35">
      <c r="C32" t="s">
        <v>3901</v>
      </c>
      <c r="D32" t="s">
        <v>3900</v>
      </c>
      <c r="E32" t="s">
        <v>3899</v>
      </c>
      <c r="F32" t="s">
        <v>3898</v>
      </c>
      <c r="H32">
        <v>0.84764700000000004</v>
      </c>
      <c r="I32">
        <v>0.84704100000000004</v>
      </c>
      <c r="J32">
        <v>0.84578299999999995</v>
      </c>
      <c r="K32">
        <v>0.84481499999999998</v>
      </c>
      <c r="L32">
        <v>0.84391099999999997</v>
      </c>
      <c r="M32">
        <v>0.84319599999999995</v>
      </c>
      <c r="N32">
        <v>0.84269799999999995</v>
      </c>
      <c r="O32">
        <v>0.84220899999999999</v>
      </c>
      <c r="P32">
        <v>0.84160299999999999</v>
      </c>
      <c r="Q32">
        <v>0.84086000000000005</v>
      </c>
      <c r="R32">
        <v>0.84003000000000005</v>
      </c>
      <c r="S32">
        <v>0.83919600000000005</v>
      </c>
      <c r="T32">
        <v>0.83879800000000004</v>
      </c>
      <c r="U32">
        <v>0.83899999999999997</v>
      </c>
      <c r="V32">
        <v>0.83922300000000005</v>
      </c>
      <c r="W32">
        <v>0.83921900000000005</v>
      </c>
      <c r="X32">
        <v>0.839333</v>
      </c>
      <c r="Y32">
        <v>0.83925000000000005</v>
      </c>
      <c r="Z32">
        <v>0.83905600000000002</v>
      </c>
      <c r="AA32">
        <v>0.83860299999999999</v>
      </c>
      <c r="AB32">
        <v>0.838059</v>
      </c>
      <c r="AC32">
        <v>0.837422</v>
      </c>
      <c r="AD32">
        <v>0.83672100000000005</v>
      </c>
      <c r="AE32">
        <v>0.83613400000000004</v>
      </c>
      <c r="AF32">
        <v>0.83569400000000005</v>
      </c>
      <c r="AG32">
        <v>0.83530400000000005</v>
      </c>
      <c r="AH32">
        <v>0.83488899999999999</v>
      </c>
      <c r="AI32" s="31">
        <v>-1E-3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8EA5C-6B00-48D3-BEC0-40135419C073}">
  <dimension ref="A1:AG309"/>
  <sheetViews>
    <sheetView workbookViewId="0"/>
  </sheetViews>
  <sheetFormatPr defaultRowHeight="15"/>
  <cols>
    <col min="1" max="1" width="22" customWidth="1"/>
    <col min="2" max="2" width="59.85546875" customWidth="1"/>
  </cols>
  <sheetData>
    <row r="1" spans="1:33">
      <c r="A1" t="s">
        <v>388</v>
      </c>
    </row>
    <row r="2" spans="1:33">
      <c r="A2" t="s">
        <v>3784</v>
      </c>
    </row>
    <row r="3" spans="1:33">
      <c r="A3" t="s">
        <v>3783</v>
      </c>
    </row>
    <row r="4" spans="1:33">
      <c r="A4" t="s">
        <v>302</v>
      </c>
    </row>
    <row r="5" spans="1:33">
      <c r="B5" t="s">
        <v>303</v>
      </c>
      <c r="C5" t="s">
        <v>351</v>
      </c>
      <c r="D5" t="s">
        <v>352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2808</v>
      </c>
    </row>
    <row r="6" spans="1:33">
      <c r="A6" t="s">
        <v>216</v>
      </c>
    </row>
    <row r="7" spans="1:33">
      <c r="A7" t="s">
        <v>389</v>
      </c>
    </row>
    <row r="8" spans="1:33">
      <c r="A8" t="s">
        <v>341</v>
      </c>
    </row>
    <row r="9" spans="1:33">
      <c r="A9" t="s">
        <v>327</v>
      </c>
      <c r="B9" t="s">
        <v>3782</v>
      </c>
      <c r="C9" t="s">
        <v>3781</v>
      </c>
      <c r="D9" t="s">
        <v>387</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31">
        <v>-4.2000000000000003E-2</v>
      </c>
    </row>
    <row r="10" spans="1:33">
      <c r="A10" t="s">
        <v>313</v>
      </c>
      <c r="B10" t="s">
        <v>3780</v>
      </c>
      <c r="C10" t="s">
        <v>3779</v>
      </c>
      <c r="D10" t="s">
        <v>387</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31">
        <v>-1.2E-2</v>
      </c>
    </row>
    <row r="11" spans="1:33">
      <c r="A11" t="s">
        <v>308</v>
      </c>
      <c r="B11" t="s">
        <v>3778</v>
      </c>
      <c r="C11" t="s">
        <v>3777</v>
      </c>
      <c r="D11" t="s">
        <v>387</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31">
        <v>1.7999999999999999E-2</v>
      </c>
    </row>
    <row r="12" spans="1:33">
      <c r="A12" t="s">
        <v>307</v>
      </c>
      <c r="B12" t="s">
        <v>3776</v>
      </c>
      <c r="C12" t="s">
        <v>3775</v>
      </c>
      <c r="D12" t="s">
        <v>387</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31">
        <v>0.153</v>
      </c>
    </row>
    <row r="13" spans="1:33">
      <c r="A13" t="s">
        <v>378</v>
      </c>
      <c r="B13" t="s">
        <v>3774</v>
      </c>
      <c r="C13" t="s">
        <v>3773</v>
      </c>
      <c r="D13" t="s">
        <v>387</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31">
        <v>-0.114</v>
      </c>
    </row>
    <row r="14" spans="1:33">
      <c r="A14" t="s">
        <v>379</v>
      </c>
      <c r="B14" t="s">
        <v>3772</v>
      </c>
      <c r="C14" t="s">
        <v>3771</v>
      </c>
      <c r="D14" t="s">
        <v>387</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31">
        <v>0.23100000000000001</v>
      </c>
    </row>
    <row r="15" spans="1:33">
      <c r="A15" t="s">
        <v>381</v>
      </c>
      <c r="B15" t="s">
        <v>3770</v>
      </c>
      <c r="C15" t="s">
        <v>3769</v>
      </c>
      <c r="D15" t="s">
        <v>387</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117</v>
      </c>
    </row>
    <row r="16" spans="1:33">
      <c r="A16" t="s">
        <v>380</v>
      </c>
      <c r="B16" t="s">
        <v>3768</v>
      </c>
      <c r="C16" t="s">
        <v>3767</v>
      </c>
      <c r="D16" t="s">
        <v>387</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117</v>
      </c>
    </row>
    <row r="17" spans="1:33">
      <c r="A17" t="s">
        <v>382</v>
      </c>
      <c r="B17" t="s">
        <v>3766</v>
      </c>
      <c r="C17" t="s">
        <v>3765</v>
      </c>
      <c r="D17" t="s">
        <v>387</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117</v>
      </c>
    </row>
    <row r="18" spans="1:33">
      <c r="A18" t="s">
        <v>3288</v>
      </c>
      <c r="B18" t="s">
        <v>3764</v>
      </c>
      <c r="C18" t="s">
        <v>3763</v>
      </c>
      <c r="D18" t="s">
        <v>387</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117</v>
      </c>
    </row>
    <row r="19" spans="1:33">
      <c r="A19" t="s">
        <v>3285</v>
      </c>
      <c r="B19" t="s">
        <v>3762</v>
      </c>
      <c r="C19" t="s">
        <v>3761</v>
      </c>
      <c r="D19" t="s">
        <v>387</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117</v>
      </c>
    </row>
    <row r="20" spans="1:33">
      <c r="A20" t="s">
        <v>3282</v>
      </c>
      <c r="B20" t="s">
        <v>3760</v>
      </c>
      <c r="C20" t="s">
        <v>3759</v>
      </c>
      <c r="D20" t="s">
        <v>387</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117</v>
      </c>
    </row>
    <row r="21" spans="1:33">
      <c r="A21" t="s">
        <v>390</v>
      </c>
      <c r="B21" t="s">
        <v>3758</v>
      </c>
      <c r="C21" t="s">
        <v>3757</v>
      </c>
      <c r="D21" t="s">
        <v>387</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31">
        <v>1.7000000000000001E-2</v>
      </c>
    </row>
    <row r="22" spans="1:33">
      <c r="A22" t="s">
        <v>342</v>
      </c>
    </row>
    <row r="23" spans="1:33">
      <c r="A23" t="s">
        <v>327</v>
      </c>
      <c r="B23" t="s">
        <v>3756</v>
      </c>
      <c r="C23" t="s">
        <v>3755</v>
      </c>
      <c r="D23" t="s">
        <v>387</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31">
        <v>-1.7999999999999999E-2</v>
      </c>
    </row>
    <row r="24" spans="1:33">
      <c r="A24" t="s">
        <v>313</v>
      </c>
      <c r="B24" t="s">
        <v>3754</v>
      </c>
      <c r="C24" t="s">
        <v>3753</v>
      </c>
      <c r="D24" t="s">
        <v>387</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31">
        <v>-4.0000000000000001E-3</v>
      </c>
    </row>
    <row r="25" spans="1:33">
      <c r="A25" t="s">
        <v>308</v>
      </c>
      <c r="B25" t="s">
        <v>3752</v>
      </c>
      <c r="C25" t="s">
        <v>3751</v>
      </c>
      <c r="D25" t="s">
        <v>387</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31">
        <v>-0.1</v>
      </c>
    </row>
    <row r="26" spans="1:33">
      <c r="A26" t="s">
        <v>307</v>
      </c>
      <c r="B26" t="s">
        <v>3750</v>
      </c>
      <c r="C26" t="s">
        <v>3749</v>
      </c>
      <c r="D26" t="s">
        <v>387</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31">
        <v>6.5000000000000002E-2</v>
      </c>
    </row>
    <row r="27" spans="1:33">
      <c r="A27" t="s">
        <v>378</v>
      </c>
      <c r="B27" t="s">
        <v>3748</v>
      </c>
      <c r="C27" t="s">
        <v>3747</v>
      </c>
      <c r="D27" t="s">
        <v>387</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31">
        <v>-9.5000000000000001E-2</v>
      </c>
    </row>
    <row r="28" spans="1:33">
      <c r="A28" t="s">
        <v>379</v>
      </c>
      <c r="B28" t="s">
        <v>3746</v>
      </c>
      <c r="C28" t="s">
        <v>3745</v>
      </c>
      <c r="D28" t="s">
        <v>387</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31">
        <v>2.1999999999999999E-2</v>
      </c>
    </row>
    <row r="29" spans="1:33">
      <c r="A29" t="s">
        <v>381</v>
      </c>
      <c r="B29" t="s">
        <v>3744</v>
      </c>
      <c r="C29" t="s">
        <v>3743</v>
      </c>
      <c r="D29" t="s">
        <v>387</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117</v>
      </c>
    </row>
    <row r="30" spans="1:33">
      <c r="A30" t="s">
        <v>380</v>
      </c>
      <c r="B30" t="s">
        <v>3742</v>
      </c>
      <c r="C30" t="s">
        <v>3741</v>
      </c>
      <c r="D30" t="s">
        <v>387</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117</v>
      </c>
    </row>
    <row r="31" spans="1:33">
      <c r="A31" t="s">
        <v>382</v>
      </c>
      <c r="B31" t="s">
        <v>3740</v>
      </c>
      <c r="C31" t="s">
        <v>3739</v>
      </c>
      <c r="D31" t="s">
        <v>387</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117</v>
      </c>
    </row>
    <row r="32" spans="1:33">
      <c r="A32" t="s">
        <v>3288</v>
      </c>
      <c r="B32" t="s">
        <v>3738</v>
      </c>
      <c r="C32" t="s">
        <v>3737</v>
      </c>
      <c r="D32" t="s">
        <v>387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117</v>
      </c>
    </row>
    <row r="33" spans="1:33">
      <c r="A33" t="s">
        <v>3285</v>
      </c>
      <c r="B33" t="s">
        <v>3736</v>
      </c>
      <c r="C33" t="s">
        <v>3735</v>
      </c>
      <c r="D33" t="s">
        <v>387</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117</v>
      </c>
    </row>
    <row r="34" spans="1:33">
      <c r="A34" t="s">
        <v>3282</v>
      </c>
      <c r="B34" t="s">
        <v>3734</v>
      </c>
      <c r="C34" t="s">
        <v>3733</v>
      </c>
      <c r="D34" t="s">
        <v>387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117</v>
      </c>
    </row>
    <row r="35" spans="1:33">
      <c r="A35" t="s">
        <v>391</v>
      </c>
      <c r="B35" t="s">
        <v>3732</v>
      </c>
      <c r="C35" t="s">
        <v>3731</v>
      </c>
      <c r="D35" t="s">
        <v>387</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31">
        <v>0</v>
      </c>
    </row>
    <row r="36" spans="1:33">
      <c r="A36" t="s">
        <v>392</v>
      </c>
    </row>
    <row r="37" spans="1:33">
      <c r="A37" t="s">
        <v>327</v>
      </c>
      <c r="B37" t="s">
        <v>3730</v>
      </c>
      <c r="C37" t="s">
        <v>3729</v>
      </c>
      <c r="D37" t="s">
        <v>387</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31">
        <v>7.0000000000000001E-3</v>
      </c>
    </row>
    <row r="38" spans="1:33">
      <c r="A38" t="s">
        <v>313</v>
      </c>
      <c r="B38" t="s">
        <v>3728</v>
      </c>
      <c r="C38" t="s">
        <v>3727</v>
      </c>
      <c r="D38" t="s">
        <v>387</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31">
        <v>-4.5999999999999999E-2</v>
      </c>
    </row>
    <row r="39" spans="1:33">
      <c r="A39" t="s">
        <v>308</v>
      </c>
      <c r="B39" t="s">
        <v>3726</v>
      </c>
      <c r="C39" t="s">
        <v>3725</v>
      </c>
      <c r="D39" t="s">
        <v>387</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31">
        <v>3.5999999999999997E-2</v>
      </c>
    </row>
    <row r="40" spans="1:33">
      <c r="A40" t="s">
        <v>307</v>
      </c>
      <c r="B40" t="s">
        <v>3724</v>
      </c>
      <c r="C40" t="s">
        <v>3723</v>
      </c>
      <c r="D40" t="s">
        <v>387</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31">
        <v>2.5999999999999999E-2</v>
      </c>
    </row>
    <row r="41" spans="1:33">
      <c r="A41" t="s">
        <v>378</v>
      </c>
      <c r="B41" t="s">
        <v>3722</v>
      </c>
      <c r="C41" t="s">
        <v>3721</v>
      </c>
      <c r="D41" t="s">
        <v>387</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117</v>
      </c>
    </row>
    <row r="42" spans="1:33">
      <c r="A42" t="s">
        <v>379</v>
      </c>
      <c r="B42" t="s">
        <v>3720</v>
      </c>
      <c r="C42" t="s">
        <v>3719</v>
      </c>
      <c r="D42" t="s">
        <v>387</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31">
        <v>5.1999999999999998E-2</v>
      </c>
    </row>
    <row r="43" spans="1:33">
      <c r="A43" t="s">
        <v>381</v>
      </c>
      <c r="B43" t="s">
        <v>3718</v>
      </c>
      <c r="C43" t="s">
        <v>3717</v>
      </c>
      <c r="D43" t="s">
        <v>387</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117</v>
      </c>
    </row>
    <row r="44" spans="1:33">
      <c r="A44" t="s">
        <v>380</v>
      </c>
      <c r="B44" t="s">
        <v>3716</v>
      </c>
      <c r="C44" t="s">
        <v>3715</v>
      </c>
      <c r="D44" t="s">
        <v>387</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117</v>
      </c>
    </row>
    <row r="45" spans="1:33">
      <c r="A45" t="s">
        <v>382</v>
      </c>
      <c r="B45" t="s">
        <v>3714</v>
      </c>
      <c r="C45" t="s">
        <v>3713</v>
      </c>
      <c r="D45" t="s">
        <v>387</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117</v>
      </c>
    </row>
    <row r="46" spans="1:33">
      <c r="A46" t="s">
        <v>3288</v>
      </c>
      <c r="B46" t="s">
        <v>3712</v>
      </c>
      <c r="C46" t="s">
        <v>3711</v>
      </c>
      <c r="D46" t="s">
        <v>387</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117</v>
      </c>
    </row>
    <row r="47" spans="1:33">
      <c r="A47" t="s">
        <v>3285</v>
      </c>
      <c r="B47" t="s">
        <v>3710</v>
      </c>
      <c r="C47" t="s">
        <v>3709</v>
      </c>
      <c r="D47" t="s">
        <v>387</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117</v>
      </c>
    </row>
    <row r="48" spans="1:33">
      <c r="A48" t="s">
        <v>3282</v>
      </c>
      <c r="B48" t="s">
        <v>3708</v>
      </c>
      <c r="C48" t="s">
        <v>3707</v>
      </c>
      <c r="D48" t="s">
        <v>387</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117</v>
      </c>
    </row>
    <row r="49" spans="1:33">
      <c r="A49" t="s">
        <v>393</v>
      </c>
      <c r="B49" t="s">
        <v>3706</v>
      </c>
      <c r="C49" t="s">
        <v>3705</v>
      </c>
      <c r="D49" t="s">
        <v>387</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31">
        <v>8.0000000000000002E-3</v>
      </c>
    </row>
    <row r="50" spans="1:33">
      <c r="A50" t="s">
        <v>394</v>
      </c>
      <c r="B50" t="s">
        <v>3704</v>
      </c>
      <c r="C50" t="s">
        <v>3703</v>
      </c>
      <c r="D50" t="s">
        <v>387</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31">
        <v>8.9999999999999993E-3</v>
      </c>
    </row>
    <row r="51" spans="1:33">
      <c r="A51" t="s">
        <v>395</v>
      </c>
    </row>
    <row r="52" spans="1:33">
      <c r="A52" t="s">
        <v>341</v>
      </c>
    </row>
    <row r="53" spans="1:33">
      <c r="A53" t="s">
        <v>327</v>
      </c>
      <c r="B53" t="s">
        <v>3702</v>
      </c>
      <c r="C53" t="s">
        <v>3701</v>
      </c>
      <c r="D53" t="s">
        <v>354</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31">
        <v>-4.5999999999999999E-2</v>
      </c>
    </row>
    <row r="54" spans="1:33" s="29" customFormat="1">
      <c r="A54" s="29" t="s">
        <v>313</v>
      </c>
      <c r="B54" s="29" t="s">
        <v>3700</v>
      </c>
      <c r="C54" s="29" t="s">
        <v>3699</v>
      </c>
      <c r="D54" s="29" t="s">
        <v>354</v>
      </c>
      <c r="F54" s="29">
        <v>270.20654300000001</v>
      </c>
      <c r="G54" s="29">
        <v>286.74316399999998</v>
      </c>
      <c r="H54" s="29">
        <v>300.59240699999998</v>
      </c>
      <c r="I54" s="29">
        <v>312.42083700000001</v>
      </c>
      <c r="J54" s="29">
        <v>320.31881700000002</v>
      </c>
      <c r="K54" s="29">
        <v>326.26678500000003</v>
      </c>
      <c r="L54" s="29">
        <v>329.71170000000001</v>
      </c>
      <c r="M54" s="29">
        <v>329.802032</v>
      </c>
      <c r="N54" s="29">
        <v>327.10320999999999</v>
      </c>
      <c r="O54" s="29">
        <v>322.50714099999999</v>
      </c>
      <c r="P54" s="29">
        <v>316.945312</v>
      </c>
      <c r="Q54" s="29">
        <v>310.35699499999998</v>
      </c>
      <c r="R54" s="29">
        <v>303.54803500000003</v>
      </c>
      <c r="S54" s="29">
        <v>296.39196800000002</v>
      </c>
      <c r="T54" s="29">
        <v>288.21630900000002</v>
      </c>
      <c r="U54" s="29">
        <v>278.85684199999997</v>
      </c>
      <c r="V54" s="29">
        <v>269.63986199999999</v>
      </c>
      <c r="W54" s="29">
        <v>259.62844799999999</v>
      </c>
      <c r="X54" s="29">
        <v>249.007294</v>
      </c>
      <c r="Y54" s="29">
        <v>237.562637</v>
      </c>
      <c r="Z54" s="29">
        <v>226.576401</v>
      </c>
      <c r="AA54" s="29">
        <v>216.55032299999999</v>
      </c>
      <c r="AB54" s="29">
        <v>207.086716</v>
      </c>
      <c r="AC54" s="29">
        <v>198.388046</v>
      </c>
      <c r="AD54" s="29">
        <v>189.61007699999999</v>
      </c>
      <c r="AE54" s="29">
        <v>180.95361299999999</v>
      </c>
      <c r="AF54" s="29">
        <v>172.71246300000001</v>
      </c>
      <c r="AG54" s="193">
        <v>-1.7000000000000001E-2</v>
      </c>
    </row>
    <row r="55" spans="1:33">
      <c r="A55" t="s">
        <v>308</v>
      </c>
      <c r="B55" t="s">
        <v>3698</v>
      </c>
      <c r="C55" t="s">
        <v>3697</v>
      </c>
      <c r="D55" t="s">
        <v>354</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31">
        <v>7.0000000000000001E-3</v>
      </c>
    </row>
    <row r="56" spans="1:33">
      <c r="A56" t="s">
        <v>307</v>
      </c>
      <c r="B56" t="s">
        <v>3696</v>
      </c>
      <c r="C56" t="s">
        <v>3695</v>
      </c>
      <c r="D56" t="s">
        <v>354</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31">
        <v>0.14799999999999999</v>
      </c>
    </row>
    <row r="57" spans="1:33" s="29" customFormat="1">
      <c r="A57" s="29" t="s">
        <v>378</v>
      </c>
      <c r="B57" s="29" t="s">
        <v>3694</v>
      </c>
      <c r="C57" s="29" t="s">
        <v>3693</v>
      </c>
      <c r="D57" s="29" t="s">
        <v>354</v>
      </c>
      <c r="F57" s="29">
        <v>40.716315999999999</v>
      </c>
      <c r="G57" s="29">
        <v>37.109366999999999</v>
      </c>
      <c r="H57" s="29">
        <v>33.380229999999997</v>
      </c>
      <c r="I57" s="29">
        <v>29.907885</v>
      </c>
      <c r="J57" s="29">
        <v>26.824255000000001</v>
      </c>
      <c r="K57" s="29">
        <v>24.225940999999999</v>
      </c>
      <c r="L57" s="29">
        <v>21.93648</v>
      </c>
      <c r="M57" s="29">
        <v>19.895927</v>
      </c>
      <c r="N57" s="29">
        <v>18.051977000000001</v>
      </c>
      <c r="O57" s="29">
        <v>16.351952000000001</v>
      </c>
      <c r="P57" s="29">
        <v>14.802211</v>
      </c>
      <c r="Q57" s="29">
        <v>13.389184</v>
      </c>
      <c r="R57" s="29">
        <v>12.073988999999999</v>
      </c>
      <c r="S57" s="29">
        <v>10.838914000000001</v>
      </c>
      <c r="T57" s="29">
        <v>9.6831160000000001</v>
      </c>
      <c r="U57" s="29">
        <v>8.6211570000000002</v>
      </c>
      <c r="V57" s="29">
        <v>7.6712660000000001</v>
      </c>
      <c r="W57" s="29">
        <v>6.8364719999999997</v>
      </c>
      <c r="X57" s="29">
        <v>6.1080100000000002</v>
      </c>
      <c r="Y57" s="29">
        <v>5.4671849999999997</v>
      </c>
      <c r="Z57" s="29">
        <v>4.8528729999999998</v>
      </c>
      <c r="AA57" s="29">
        <v>4.2811690000000002</v>
      </c>
      <c r="AB57" s="29">
        <v>3.7411020000000001</v>
      </c>
      <c r="AC57" s="29">
        <v>3.2653530000000002</v>
      </c>
      <c r="AD57" s="29">
        <v>2.7555480000000001</v>
      </c>
      <c r="AE57" s="29">
        <v>2.2511809999999999</v>
      </c>
      <c r="AF57" s="29">
        <v>1.7685310000000001</v>
      </c>
      <c r="AG57" s="193">
        <v>-0.114</v>
      </c>
    </row>
    <row r="58" spans="1:33">
      <c r="A58" t="s">
        <v>379</v>
      </c>
      <c r="B58" t="s">
        <v>3692</v>
      </c>
      <c r="C58" t="s">
        <v>3691</v>
      </c>
      <c r="D58" t="s">
        <v>354</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31">
        <v>0.23</v>
      </c>
    </row>
    <row r="59" spans="1:33">
      <c r="A59" t="s">
        <v>381</v>
      </c>
      <c r="B59" t="s">
        <v>3690</v>
      </c>
      <c r="C59" t="s">
        <v>3689</v>
      </c>
      <c r="D59" t="s">
        <v>354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117</v>
      </c>
    </row>
    <row r="60" spans="1:33">
      <c r="A60" t="s">
        <v>380</v>
      </c>
      <c r="B60" t="s">
        <v>3688</v>
      </c>
      <c r="C60" t="s">
        <v>3687</v>
      </c>
      <c r="D60" t="s">
        <v>354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117</v>
      </c>
    </row>
    <row r="61" spans="1:33">
      <c r="A61" t="s">
        <v>382</v>
      </c>
      <c r="B61" t="s">
        <v>3686</v>
      </c>
      <c r="C61" t="s">
        <v>3685</v>
      </c>
      <c r="D61" t="s">
        <v>354</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117</v>
      </c>
    </row>
    <row r="62" spans="1:33">
      <c r="A62" t="s">
        <v>3288</v>
      </c>
      <c r="B62" t="s">
        <v>3684</v>
      </c>
      <c r="C62" t="s">
        <v>3683</v>
      </c>
      <c r="D62" t="s">
        <v>354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117</v>
      </c>
    </row>
    <row r="63" spans="1:33">
      <c r="A63" t="s">
        <v>3285</v>
      </c>
      <c r="B63" t="s">
        <v>3682</v>
      </c>
      <c r="C63" t="s">
        <v>3681</v>
      </c>
      <c r="D63" t="s">
        <v>354</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117</v>
      </c>
    </row>
    <row r="64" spans="1:33">
      <c r="A64" t="s">
        <v>3282</v>
      </c>
      <c r="B64" t="s">
        <v>3680</v>
      </c>
      <c r="C64" t="s">
        <v>3679</v>
      </c>
      <c r="D64" t="s">
        <v>354</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117</v>
      </c>
    </row>
    <row r="65" spans="1:33">
      <c r="A65" t="s">
        <v>390</v>
      </c>
      <c r="B65" t="s">
        <v>3678</v>
      </c>
      <c r="C65" t="s">
        <v>3677</v>
      </c>
      <c r="D65" t="s">
        <v>354</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31">
        <v>6.0000000000000001E-3</v>
      </c>
    </row>
    <row r="66" spans="1:33">
      <c r="A66" t="s">
        <v>342</v>
      </c>
    </row>
    <row r="67" spans="1:33">
      <c r="A67" t="s">
        <v>327</v>
      </c>
      <c r="B67" t="s">
        <v>3676</v>
      </c>
      <c r="C67" t="s">
        <v>3675</v>
      </c>
      <c r="D67" t="s">
        <v>354</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31">
        <v>-2.5999999999999999E-2</v>
      </c>
    </row>
    <row r="68" spans="1:33" s="29" customFormat="1">
      <c r="A68" s="29" t="s">
        <v>313</v>
      </c>
      <c r="B68" s="29" t="s">
        <v>3674</v>
      </c>
      <c r="C68" s="29" t="s">
        <v>3673</v>
      </c>
      <c r="D68" s="29" t="s">
        <v>354</v>
      </c>
      <c r="F68" s="29">
        <v>359.68539399999997</v>
      </c>
      <c r="G68" s="29">
        <v>360.30960099999999</v>
      </c>
      <c r="H68" s="29">
        <v>358.48315400000001</v>
      </c>
      <c r="I68" s="29">
        <v>356.47775300000001</v>
      </c>
      <c r="J68" s="29">
        <v>353.87088</v>
      </c>
      <c r="K68" s="29">
        <v>351.62857100000002</v>
      </c>
      <c r="L68" s="29">
        <v>349.46173099999999</v>
      </c>
      <c r="M68" s="29">
        <v>346.85674999999998</v>
      </c>
      <c r="N68" s="29">
        <v>344.34634399999999</v>
      </c>
      <c r="O68" s="29">
        <v>341.01715100000001</v>
      </c>
      <c r="P68" s="29">
        <v>337.59548999999998</v>
      </c>
      <c r="Q68" s="29">
        <v>333.75140399999998</v>
      </c>
      <c r="R68" s="29">
        <v>329.916473</v>
      </c>
      <c r="S68" s="29">
        <v>326.27279700000003</v>
      </c>
      <c r="T68" s="29">
        <v>322.26357999999999</v>
      </c>
      <c r="U68" s="29">
        <v>318.03363000000002</v>
      </c>
      <c r="V68" s="29">
        <v>314.02862499999998</v>
      </c>
      <c r="W68" s="29">
        <v>310.18368500000003</v>
      </c>
      <c r="X68" s="29">
        <v>306.739441</v>
      </c>
      <c r="Y68" s="29">
        <v>303.39968900000002</v>
      </c>
      <c r="Z68" s="29">
        <v>300.22131300000001</v>
      </c>
      <c r="AA68" s="29">
        <v>297.467285</v>
      </c>
      <c r="AB68" s="29">
        <v>294.79830900000002</v>
      </c>
      <c r="AC68" s="29">
        <v>293.383667</v>
      </c>
      <c r="AD68" s="29">
        <v>292.20773300000002</v>
      </c>
      <c r="AE68" s="29">
        <v>290.96585099999999</v>
      </c>
      <c r="AF68" s="29">
        <v>289.34399400000001</v>
      </c>
      <c r="AG68" s="193">
        <v>-8.0000000000000002E-3</v>
      </c>
    </row>
    <row r="69" spans="1:33">
      <c r="A69" t="s">
        <v>308</v>
      </c>
      <c r="B69" t="s">
        <v>3672</v>
      </c>
      <c r="C69" t="s">
        <v>3671</v>
      </c>
      <c r="D69" t="s">
        <v>354</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31">
        <v>-0.104</v>
      </c>
    </row>
    <row r="70" spans="1:33">
      <c r="A70" t="s">
        <v>307</v>
      </c>
      <c r="B70" t="s">
        <v>3670</v>
      </c>
      <c r="C70" t="s">
        <v>3669</v>
      </c>
      <c r="D70" t="s">
        <v>354</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31">
        <v>5.5E-2</v>
      </c>
    </row>
    <row r="71" spans="1:33" s="29" customFormat="1">
      <c r="A71" s="29" t="s">
        <v>378</v>
      </c>
      <c r="B71" s="29" t="s">
        <v>3668</v>
      </c>
      <c r="C71" s="29" t="s">
        <v>3667</v>
      </c>
      <c r="D71" s="29" t="s">
        <v>354</v>
      </c>
      <c r="F71" s="29">
        <v>9.0335409999999996</v>
      </c>
      <c r="G71" s="29">
        <v>8.1573930000000008</v>
      </c>
      <c r="H71" s="29">
        <v>7.269139</v>
      </c>
      <c r="I71" s="29">
        <v>6.4449149999999999</v>
      </c>
      <c r="J71" s="29">
        <v>5.7201279999999999</v>
      </c>
      <c r="K71" s="29">
        <v>5.1299650000000003</v>
      </c>
      <c r="L71" s="29">
        <v>4.6090689999999999</v>
      </c>
      <c r="M71" s="29">
        <v>4.1451770000000003</v>
      </c>
      <c r="N71" s="29">
        <v>3.7455750000000001</v>
      </c>
      <c r="O71" s="29">
        <v>3.3678439999999998</v>
      </c>
      <c r="P71" s="29">
        <v>3.0418370000000001</v>
      </c>
      <c r="Q71" s="29">
        <v>2.7652130000000001</v>
      </c>
      <c r="R71" s="29">
        <v>2.5227219999999999</v>
      </c>
      <c r="S71" s="29">
        <v>2.3180540000000001</v>
      </c>
      <c r="T71" s="29">
        <v>2.140215</v>
      </c>
      <c r="U71" s="29">
        <v>1.9839070000000001</v>
      </c>
      <c r="V71" s="29">
        <v>1.8526009999999999</v>
      </c>
      <c r="W71" s="29">
        <v>1.7306029999999999</v>
      </c>
      <c r="X71" s="29">
        <v>1.61426</v>
      </c>
      <c r="Y71" s="29">
        <v>1.5015909999999999</v>
      </c>
      <c r="Z71" s="29">
        <v>1.3909229999999999</v>
      </c>
      <c r="AA71" s="29">
        <v>1.2808109999999999</v>
      </c>
      <c r="AB71" s="29">
        <v>1.1661630000000001</v>
      </c>
      <c r="AC71" s="29">
        <v>1.0466299999999999</v>
      </c>
      <c r="AD71" s="29">
        <v>0.92224600000000001</v>
      </c>
      <c r="AE71" s="29">
        <v>0.80049199999999998</v>
      </c>
      <c r="AF71" s="29">
        <v>0.67332499999999995</v>
      </c>
      <c r="AG71" s="193">
        <v>-9.5000000000000001E-2</v>
      </c>
    </row>
    <row r="72" spans="1:33">
      <c r="A72" t="s">
        <v>379</v>
      </c>
      <c r="B72" t="s">
        <v>3666</v>
      </c>
      <c r="C72" t="s">
        <v>3665</v>
      </c>
      <c r="D72" t="s">
        <v>354</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31">
        <v>2.7E-2</v>
      </c>
    </row>
    <row r="73" spans="1:33">
      <c r="A73" t="s">
        <v>381</v>
      </c>
      <c r="B73" t="s">
        <v>3664</v>
      </c>
      <c r="C73" t="s">
        <v>3663</v>
      </c>
      <c r="D73" t="s">
        <v>354</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117</v>
      </c>
    </row>
    <row r="74" spans="1:33">
      <c r="A74" t="s">
        <v>380</v>
      </c>
      <c r="B74" t="s">
        <v>3662</v>
      </c>
      <c r="C74" t="s">
        <v>3661</v>
      </c>
      <c r="D74" t="s">
        <v>354</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117</v>
      </c>
    </row>
    <row r="75" spans="1:33">
      <c r="A75" t="s">
        <v>382</v>
      </c>
      <c r="B75" t="s">
        <v>3660</v>
      </c>
      <c r="C75" t="s">
        <v>3659</v>
      </c>
      <c r="D75" t="s">
        <v>354</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117</v>
      </c>
    </row>
    <row r="76" spans="1:33">
      <c r="A76" t="s">
        <v>3288</v>
      </c>
      <c r="B76" t="s">
        <v>3658</v>
      </c>
      <c r="C76" t="s">
        <v>3657</v>
      </c>
      <c r="D76" t="s">
        <v>354</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117</v>
      </c>
    </row>
    <row r="77" spans="1:33">
      <c r="A77" t="s">
        <v>3285</v>
      </c>
      <c r="B77" t="s">
        <v>3656</v>
      </c>
      <c r="C77" t="s">
        <v>3655</v>
      </c>
      <c r="D77" t="s">
        <v>354</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117</v>
      </c>
    </row>
    <row r="78" spans="1:33">
      <c r="A78" t="s">
        <v>3282</v>
      </c>
      <c r="B78" t="s">
        <v>3654</v>
      </c>
      <c r="C78" t="s">
        <v>3653</v>
      </c>
      <c r="D78" t="s">
        <v>354</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117</v>
      </c>
    </row>
    <row r="79" spans="1:33">
      <c r="A79" t="s">
        <v>391</v>
      </c>
      <c r="B79" t="s">
        <v>3652</v>
      </c>
      <c r="C79" t="s">
        <v>3651</v>
      </c>
      <c r="D79" t="s">
        <v>354</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31">
        <v>-7.0000000000000001E-3</v>
      </c>
    </row>
    <row r="80" spans="1:33">
      <c r="A80" t="s">
        <v>392</v>
      </c>
    </row>
    <row r="81" spans="1:33">
      <c r="A81" t="s">
        <v>327</v>
      </c>
      <c r="B81" t="s">
        <v>3650</v>
      </c>
      <c r="C81" t="s">
        <v>3649</v>
      </c>
      <c r="D81" t="s">
        <v>354</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31">
        <v>-1E-3</v>
      </c>
    </row>
    <row r="82" spans="1:33">
      <c r="A82" t="s">
        <v>313</v>
      </c>
      <c r="B82" t="s">
        <v>3648</v>
      </c>
      <c r="C82" t="s">
        <v>3647</v>
      </c>
      <c r="D82" t="s">
        <v>354</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31">
        <v>-5.5E-2</v>
      </c>
    </row>
    <row r="83" spans="1:33">
      <c r="A83" t="s">
        <v>308</v>
      </c>
      <c r="B83" t="s">
        <v>3646</v>
      </c>
      <c r="C83" t="s">
        <v>3645</v>
      </c>
      <c r="D83" t="s">
        <v>354</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31">
        <v>2.7E-2</v>
      </c>
    </row>
    <row r="84" spans="1:33">
      <c r="A84" t="s">
        <v>307</v>
      </c>
      <c r="B84" t="s">
        <v>3644</v>
      </c>
      <c r="C84" t="s">
        <v>3643</v>
      </c>
      <c r="D84" t="s">
        <v>354</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31">
        <v>1.9E-2</v>
      </c>
    </row>
    <row r="85" spans="1:33">
      <c r="A85" t="s">
        <v>378</v>
      </c>
      <c r="B85" t="s">
        <v>3642</v>
      </c>
      <c r="C85" t="s">
        <v>3641</v>
      </c>
      <c r="D85" t="s">
        <v>354</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117</v>
      </c>
    </row>
    <row r="86" spans="1:33">
      <c r="A86" t="s">
        <v>379</v>
      </c>
      <c r="B86" t="s">
        <v>3640</v>
      </c>
      <c r="C86" t="s">
        <v>3639</v>
      </c>
      <c r="D86" t="s">
        <v>354</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31">
        <v>4.8000000000000001E-2</v>
      </c>
    </row>
    <row r="87" spans="1:33">
      <c r="A87" t="s">
        <v>381</v>
      </c>
      <c r="B87" t="s">
        <v>3638</v>
      </c>
      <c r="C87" t="s">
        <v>3637</v>
      </c>
      <c r="D87" t="s">
        <v>354</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117</v>
      </c>
    </row>
    <row r="88" spans="1:33">
      <c r="A88" t="s">
        <v>380</v>
      </c>
      <c r="B88" t="s">
        <v>3636</v>
      </c>
      <c r="C88" t="s">
        <v>3635</v>
      </c>
      <c r="D88" t="s">
        <v>354</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117</v>
      </c>
    </row>
    <row r="89" spans="1:33">
      <c r="A89" t="s">
        <v>382</v>
      </c>
      <c r="B89" t="s">
        <v>3634</v>
      </c>
      <c r="C89" t="s">
        <v>3633</v>
      </c>
      <c r="D89" t="s">
        <v>354</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117</v>
      </c>
    </row>
    <row r="90" spans="1:33">
      <c r="A90" t="s">
        <v>3288</v>
      </c>
      <c r="B90" t="s">
        <v>3632</v>
      </c>
      <c r="C90" t="s">
        <v>3631</v>
      </c>
      <c r="D90" t="s">
        <v>354</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117</v>
      </c>
    </row>
    <row r="91" spans="1:33">
      <c r="A91" t="s">
        <v>3285</v>
      </c>
      <c r="B91" t="s">
        <v>3630</v>
      </c>
      <c r="C91" t="s">
        <v>3629</v>
      </c>
      <c r="D91" t="s">
        <v>354</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117</v>
      </c>
    </row>
    <row r="92" spans="1:33">
      <c r="A92" t="s">
        <v>3282</v>
      </c>
      <c r="B92" t="s">
        <v>3628</v>
      </c>
      <c r="C92" t="s">
        <v>3627</v>
      </c>
      <c r="D92" t="s">
        <v>354</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117</v>
      </c>
    </row>
    <row r="93" spans="1:33">
      <c r="A93" t="s">
        <v>393</v>
      </c>
      <c r="B93" t="s">
        <v>3626</v>
      </c>
      <c r="C93" t="s">
        <v>3625</v>
      </c>
      <c r="D93" t="s">
        <v>354</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31">
        <v>-1E-3</v>
      </c>
    </row>
    <row r="94" spans="1:33">
      <c r="A94" t="s">
        <v>341</v>
      </c>
      <c r="B94" t="s">
        <v>396</v>
      </c>
      <c r="C94" t="s">
        <v>412</v>
      </c>
    </row>
    <row r="95" spans="1:33">
      <c r="A95" t="s">
        <v>327</v>
      </c>
      <c r="B95" t="s">
        <v>3624</v>
      </c>
      <c r="C95" t="s">
        <v>3623</v>
      </c>
      <c r="D95" t="s">
        <v>354</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31">
        <v>-6.0000000000000001E-3</v>
      </c>
    </row>
    <row r="96" spans="1:33">
      <c r="A96" t="s">
        <v>313</v>
      </c>
      <c r="B96" t="s">
        <v>3622</v>
      </c>
      <c r="C96" t="s">
        <v>3621</v>
      </c>
      <c r="D96" t="s">
        <v>354</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31">
        <v>-1.2E-2</v>
      </c>
    </row>
    <row r="97" spans="1:33">
      <c r="A97" t="s">
        <v>308</v>
      </c>
      <c r="B97" t="s">
        <v>3620</v>
      </c>
      <c r="C97" t="s">
        <v>3619</v>
      </c>
      <c r="D97" t="s">
        <v>354</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31">
        <v>1.4E-2</v>
      </c>
    </row>
    <row r="98" spans="1:33">
      <c r="A98" t="s">
        <v>307</v>
      </c>
      <c r="B98" t="s">
        <v>3618</v>
      </c>
      <c r="C98" t="s">
        <v>3617</v>
      </c>
      <c r="D98" t="s">
        <v>354</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31">
        <v>3.4000000000000002E-2</v>
      </c>
    </row>
    <row r="99" spans="1:33">
      <c r="A99" t="s">
        <v>378</v>
      </c>
      <c r="B99" t="s">
        <v>3616</v>
      </c>
      <c r="C99" t="s">
        <v>3615</v>
      </c>
      <c r="D99" t="s">
        <v>354</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31">
        <v>-0.109</v>
      </c>
    </row>
    <row r="100" spans="1:33">
      <c r="A100" t="s">
        <v>379</v>
      </c>
      <c r="B100" t="s">
        <v>3614</v>
      </c>
      <c r="C100" t="s">
        <v>3613</v>
      </c>
      <c r="D100" t="s">
        <v>354</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31">
        <v>0.14099999999999999</v>
      </c>
    </row>
    <row r="101" spans="1:33">
      <c r="A101" t="s">
        <v>381</v>
      </c>
      <c r="B101" t="s">
        <v>3612</v>
      </c>
      <c r="C101" t="s">
        <v>3611</v>
      </c>
      <c r="D101" t="s">
        <v>354</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117</v>
      </c>
    </row>
    <row r="102" spans="1:33">
      <c r="A102" t="s">
        <v>380</v>
      </c>
      <c r="B102" t="s">
        <v>3610</v>
      </c>
      <c r="C102" t="s">
        <v>3609</v>
      </c>
      <c r="D102" t="s">
        <v>354</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117</v>
      </c>
    </row>
    <row r="103" spans="1:33">
      <c r="A103" t="s">
        <v>382</v>
      </c>
      <c r="B103" t="s">
        <v>3608</v>
      </c>
      <c r="C103" t="s">
        <v>3607</v>
      </c>
      <c r="D103" t="s">
        <v>354</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117</v>
      </c>
    </row>
    <row r="104" spans="1:33">
      <c r="A104" t="s">
        <v>3288</v>
      </c>
      <c r="B104" t="s">
        <v>3606</v>
      </c>
      <c r="C104" t="s">
        <v>3605</v>
      </c>
      <c r="D104" t="s">
        <v>354</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117</v>
      </c>
    </row>
    <row r="105" spans="1:33">
      <c r="A105" t="s">
        <v>3285</v>
      </c>
      <c r="B105" t="s">
        <v>3604</v>
      </c>
      <c r="C105" t="s">
        <v>3603</v>
      </c>
      <c r="D105" t="s">
        <v>354</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117</v>
      </c>
    </row>
    <row r="106" spans="1:33">
      <c r="A106" t="s">
        <v>3282</v>
      </c>
      <c r="B106" t="s">
        <v>3602</v>
      </c>
      <c r="C106" t="s">
        <v>3601</v>
      </c>
      <c r="D106" t="s">
        <v>354</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117</v>
      </c>
    </row>
    <row r="107" spans="1:33">
      <c r="A107" t="s">
        <v>195</v>
      </c>
      <c r="B107" t="s">
        <v>3600</v>
      </c>
      <c r="C107" t="s">
        <v>3599</v>
      </c>
      <c r="D107" t="s">
        <v>354</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31">
        <v>-1E-3</v>
      </c>
    </row>
    <row r="108" spans="1:33">
      <c r="A108" t="s">
        <v>397</v>
      </c>
    </row>
    <row r="109" spans="1:33">
      <c r="A109" t="s">
        <v>341</v>
      </c>
    </row>
    <row r="110" spans="1:33">
      <c r="A110" t="s">
        <v>327</v>
      </c>
      <c r="B110" t="s">
        <v>3598</v>
      </c>
      <c r="C110" t="s">
        <v>3597</v>
      </c>
      <c r="D110" t="s">
        <v>413</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31">
        <v>4.0000000000000001E-3</v>
      </c>
    </row>
    <row r="111" spans="1:33">
      <c r="A111" t="s">
        <v>313</v>
      </c>
      <c r="B111" t="s">
        <v>3596</v>
      </c>
      <c r="C111" t="s">
        <v>3595</v>
      </c>
      <c r="D111" t="s">
        <v>414</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31">
        <v>5.0000000000000001E-3</v>
      </c>
    </row>
    <row r="112" spans="1:33">
      <c r="A112" t="s">
        <v>308</v>
      </c>
      <c r="B112" t="s">
        <v>3594</v>
      </c>
      <c r="C112" t="s">
        <v>3593</v>
      </c>
      <c r="D112" t="s">
        <v>414</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31">
        <v>0.01</v>
      </c>
    </row>
    <row r="113" spans="1:33">
      <c r="A113" t="s">
        <v>307</v>
      </c>
      <c r="B113" t="s">
        <v>3592</v>
      </c>
      <c r="C113" t="s">
        <v>3591</v>
      </c>
      <c r="D113" t="s">
        <v>414</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31">
        <v>4.0000000000000001E-3</v>
      </c>
    </row>
    <row r="114" spans="1:33">
      <c r="A114" t="s">
        <v>378</v>
      </c>
      <c r="B114" t="s">
        <v>3590</v>
      </c>
      <c r="C114" t="s">
        <v>3589</v>
      </c>
      <c r="D114" t="s">
        <v>414</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31">
        <v>0</v>
      </c>
    </row>
    <row r="115" spans="1:33">
      <c r="A115" t="s">
        <v>379</v>
      </c>
      <c r="B115" t="s">
        <v>3588</v>
      </c>
      <c r="C115" t="s">
        <v>3587</v>
      </c>
      <c r="D115" t="s">
        <v>413</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31">
        <v>1E-3</v>
      </c>
    </row>
    <row r="116" spans="1:33">
      <c r="A116" t="s">
        <v>381</v>
      </c>
      <c r="B116" t="s">
        <v>3586</v>
      </c>
      <c r="C116" t="s">
        <v>3585</v>
      </c>
      <c r="D116" t="s">
        <v>413</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117</v>
      </c>
    </row>
    <row r="117" spans="1:33">
      <c r="A117" t="s">
        <v>380</v>
      </c>
      <c r="B117" t="s">
        <v>3584</v>
      </c>
      <c r="C117" t="s">
        <v>3583</v>
      </c>
      <c r="D117" t="s">
        <v>414</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117</v>
      </c>
    </row>
    <row r="118" spans="1:33">
      <c r="A118" t="s">
        <v>382</v>
      </c>
      <c r="B118" t="s">
        <v>3582</v>
      </c>
      <c r="C118" t="s">
        <v>3581</v>
      </c>
      <c r="D118" t="s">
        <v>413</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117</v>
      </c>
    </row>
    <row r="119" spans="1:33">
      <c r="A119" t="s">
        <v>3288</v>
      </c>
      <c r="B119" t="s">
        <v>3580</v>
      </c>
      <c r="C119" t="s">
        <v>3579</v>
      </c>
      <c r="D119" t="s">
        <v>413</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117</v>
      </c>
    </row>
    <row r="120" spans="1:33">
      <c r="A120" t="s">
        <v>3285</v>
      </c>
      <c r="B120" t="s">
        <v>3578</v>
      </c>
      <c r="C120" t="s">
        <v>3577</v>
      </c>
      <c r="D120" t="s">
        <v>414</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117</v>
      </c>
    </row>
    <row r="121" spans="1:33">
      <c r="A121" t="s">
        <v>3282</v>
      </c>
      <c r="B121" t="s">
        <v>3576</v>
      </c>
      <c r="C121" t="s">
        <v>3575</v>
      </c>
      <c r="D121" t="s">
        <v>413</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117</v>
      </c>
    </row>
    <row r="122" spans="1:33">
      <c r="A122" t="s">
        <v>398</v>
      </c>
      <c r="B122" t="s">
        <v>3574</v>
      </c>
      <c r="C122" t="s">
        <v>3573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31">
        <v>8.9999999999999993E-3</v>
      </c>
    </row>
    <row r="123" spans="1:33">
      <c r="A123" t="s">
        <v>342</v>
      </c>
    </row>
    <row r="124" spans="1:33">
      <c r="A124" t="s">
        <v>327</v>
      </c>
      <c r="B124" t="s">
        <v>3572</v>
      </c>
      <c r="C124" t="s">
        <v>3571</v>
      </c>
      <c r="D124" t="s">
        <v>413</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31">
        <v>8.0000000000000002E-3</v>
      </c>
    </row>
    <row r="125" spans="1:33">
      <c r="A125" t="s">
        <v>313</v>
      </c>
      <c r="B125" t="s">
        <v>3570</v>
      </c>
      <c r="C125" t="s">
        <v>3569</v>
      </c>
      <c r="D125" t="s">
        <v>414</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31">
        <v>4.0000000000000001E-3</v>
      </c>
    </row>
    <row r="126" spans="1:33">
      <c r="A126" t="s">
        <v>308</v>
      </c>
      <c r="B126" t="s">
        <v>3568</v>
      </c>
      <c r="C126" t="s">
        <v>3567</v>
      </c>
      <c r="D126" t="s">
        <v>414</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31">
        <v>4.0000000000000001E-3</v>
      </c>
    </row>
    <row r="127" spans="1:33">
      <c r="A127" t="s">
        <v>307</v>
      </c>
      <c r="B127" t="s">
        <v>3566</v>
      </c>
      <c r="C127" t="s">
        <v>3565</v>
      </c>
      <c r="D127" t="s">
        <v>414</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31">
        <v>0.01</v>
      </c>
    </row>
    <row r="128" spans="1:33">
      <c r="A128" t="s">
        <v>378</v>
      </c>
      <c r="B128" t="s">
        <v>3564</v>
      </c>
      <c r="C128" t="s">
        <v>3563</v>
      </c>
      <c r="D128" t="s">
        <v>415</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31">
        <v>0</v>
      </c>
    </row>
    <row r="129" spans="1:33">
      <c r="A129" t="s">
        <v>379</v>
      </c>
      <c r="B129" t="s">
        <v>3562</v>
      </c>
      <c r="C129" t="s">
        <v>3561</v>
      </c>
      <c r="D129" t="s">
        <v>414</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31">
        <v>-5.0000000000000001E-3</v>
      </c>
    </row>
    <row r="130" spans="1:33">
      <c r="A130" t="s">
        <v>381</v>
      </c>
      <c r="B130" t="s">
        <v>3560</v>
      </c>
      <c r="C130" t="s">
        <v>3559</v>
      </c>
      <c r="D130" t="s">
        <v>414</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117</v>
      </c>
    </row>
    <row r="131" spans="1:33">
      <c r="A131" t="s">
        <v>380</v>
      </c>
      <c r="B131" t="s">
        <v>3558</v>
      </c>
      <c r="C131" t="s">
        <v>3557</v>
      </c>
      <c r="D131" t="s">
        <v>414</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117</v>
      </c>
    </row>
    <row r="132" spans="1:33">
      <c r="A132" t="s">
        <v>382</v>
      </c>
      <c r="B132" t="s">
        <v>3556</v>
      </c>
      <c r="C132" t="s">
        <v>3555</v>
      </c>
      <c r="D132" t="s">
        <v>414</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117</v>
      </c>
    </row>
    <row r="133" spans="1:33">
      <c r="A133" t="s">
        <v>3288</v>
      </c>
      <c r="B133" t="s">
        <v>3554</v>
      </c>
      <c r="C133" t="s">
        <v>3553</v>
      </c>
      <c r="D133" t="s">
        <v>413</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117</v>
      </c>
    </row>
    <row r="134" spans="1:33">
      <c r="A134" t="s">
        <v>3285</v>
      </c>
      <c r="B134" t="s">
        <v>3552</v>
      </c>
      <c r="C134" t="s">
        <v>3551</v>
      </c>
      <c r="D134" t="s">
        <v>414</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117</v>
      </c>
    </row>
    <row r="135" spans="1:33">
      <c r="A135" t="s">
        <v>3282</v>
      </c>
      <c r="B135" t="s">
        <v>3550</v>
      </c>
      <c r="C135" t="s">
        <v>3549</v>
      </c>
      <c r="D135" t="s">
        <v>413</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117</v>
      </c>
    </row>
    <row r="136" spans="1:33">
      <c r="A136" t="s">
        <v>399</v>
      </c>
      <c r="B136" t="s">
        <v>3548</v>
      </c>
      <c r="C136" t="s">
        <v>3547</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31">
        <v>6.0000000000000001E-3</v>
      </c>
    </row>
    <row r="137" spans="1:33">
      <c r="A137" t="s">
        <v>392</v>
      </c>
    </row>
    <row r="138" spans="1:33" s="1" customFormat="1">
      <c r="A138" s="1" t="s">
        <v>327</v>
      </c>
      <c r="B138" s="1" t="s">
        <v>3546</v>
      </c>
      <c r="C138" s="1" t="s">
        <v>3545</v>
      </c>
      <c r="D138" s="1" t="s">
        <v>413</v>
      </c>
      <c r="F138" s="1">
        <v>6.4481590000000004</v>
      </c>
      <c r="G138" s="1">
        <v>6.5237150000000002</v>
      </c>
      <c r="H138" s="1">
        <v>6.610277</v>
      </c>
      <c r="I138" s="1">
        <v>6.7069049999999999</v>
      </c>
      <c r="J138" s="1">
        <v>6.8064679999999997</v>
      </c>
      <c r="K138" s="1">
        <v>6.9066099999999997</v>
      </c>
      <c r="L138" s="1">
        <v>7.0061400000000003</v>
      </c>
      <c r="M138" s="1">
        <v>7.1038860000000001</v>
      </c>
      <c r="N138" s="1">
        <v>7.1993840000000002</v>
      </c>
      <c r="O138" s="1">
        <v>7.2923330000000002</v>
      </c>
      <c r="P138" s="1">
        <v>7.3804069999999999</v>
      </c>
      <c r="Q138" s="1">
        <v>7.4618279999999997</v>
      </c>
      <c r="R138" s="1">
        <v>7.5358000000000001</v>
      </c>
      <c r="S138" s="1">
        <v>7.6030470000000001</v>
      </c>
      <c r="T138" s="1">
        <v>7.664059</v>
      </c>
      <c r="U138" s="1">
        <v>7.7193630000000004</v>
      </c>
      <c r="V138" s="1">
        <v>7.769641</v>
      </c>
      <c r="W138" s="1">
        <v>7.8135589999999997</v>
      </c>
      <c r="X138" s="1">
        <v>7.8512329999999997</v>
      </c>
      <c r="Y138" s="1">
        <v>7.8831619999999996</v>
      </c>
      <c r="Z138" s="1">
        <v>7.910139</v>
      </c>
      <c r="AA138" s="1">
        <v>7.9335370000000003</v>
      </c>
      <c r="AB138" s="1">
        <v>7.9543119999999998</v>
      </c>
      <c r="AC138" s="1">
        <v>7.9732010000000004</v>
      </c>
      <c r="AD138" s="1">
        <v>7.990386</v>
      </c>
      <c r="AE138" s="1">
        <v>8.0064489999999999</v>
      </c>
      <c r="AF138" s="1">
        <v>8.0207669999999993</v>
      </c>
      <c r="AG138" s="200">
        <v>8.0000000000000002E-3</v>
      </c>
    </row>
    <row r="139" spans="1:33">
      <c r="A139" t="s">
        <v>313</v>
      </c>
      <c r="B139" t="s">
        <v>3544</v>
      </c>
      <c r="C139" t="s">
        <v>3543</v>
      </c>
      <c r="D139" t="s">
        <v>414</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31">
        <v>8.9999999999999993E-3</v>
      </c>
    </row>
    <row r="140" spans="1:33">
      <c r="A140" t="s">
        <v>308</v>
      </c>
      <c r="B140" t="s">
        <v>3542</v>
      </c>
      <c r="C140" t="s">
        <v>3541</v>
      </c>
      <c r="D140" t="s">
        <v>414</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31">
        <v>8.9999999999999993E-3</v>
      </c>
    </row>
    <row r="141" spans="1:33">
      <c r="A141" t="s">
        <v>307</v>
      </c>
      <c r="B141" t="s">
        <v>3540</v>
      </c>
      <c r="C141" t="s">
        <v>3539</v>
      </c>
      <c r="D141" t="s">
        <v>413</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31">
        <v>7.0000000000000001E-3</v>
      </c>
    </row>
    <row r="142" spans="1:33">
      <c r="A142" t="s">
        <v>378</v>
      </c>
      <c r="B142" t="s">
        <v>3538</v>
      </c>
      <c r="C142" t="s">
        <v>3537</v>
      </c>
      <c r="D142" t="s">
        <v>414</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117</v>
      </c>
    </row>
    <row r="143" spans="1:33" s="1" customFormat="1">
      <c r="A143" s="1" t="s">
        <v>379</v>
      </c>
      <c r="B143" s="1" t="s">
        <v>3536</v>
      </c>
      <c r="C143" s="1" t="s">
        <v>3535</v>
      </c>
      <c r="D143" s="1" t="s">
        <v>413</v>
      </c>
      <c r="F143" s="1">
        <v>13.988659</v>
      </c>
      <c r="G143" s="1">
        <v>13.883277</v>
      </c>
      <c r="H143" s="1">
        <v>13.850619999999999</v>
      </c>
      <c r="I143" s="1">
        <v>13.859565999999999</v>
      </c>
      <c r="J143" s="1">
        <v>13.895028999999999</v>
      </c>
      <c r="K143" s="1">
        <v>13.954997000000001</v>
      </c>
      <c r="L143" s="1">
        <v>14.030798000000001</v>
      </c>
      <c r="M143" s="1">
        <v>14.115463999999999</v>
      </c>
      <c r="N143" s="1">
        <v>14.211738</v>
      </c>
      <c r="O143" s="1">
        <v>14.318835999999999</v>
      </c>
      <c r="P143" s="1">
        <v>14.423564000000001</v>
      </c>
      <c r="Q143" s="1">
        <v>14.524480000000001</v>
      </c>
      <c r="R143" s="1">
        <v>14.620310999999999</v>
      </c>
      <c r="S143" s="1">
        <v>14.710813999999999</v>
      </c>
      <c r="T143" s="1">
        <v>14.79519</v>
      </c>
      <c r="U143" s="1">
        <v>14.872324000000001</v>
      </c>
      <c r="V143" s="1">
        <v>14.941452999999999</v>
      </c>
      <c r="W143" s="1">
        <v>15.002162</v>
      </c>
      <c r="X143" s="1">
        <v>15.054307</v>
      </c>
      <c r="Y143" s="1">
        <v>15.098464999999999</v>
      </c>
      <c r="Z143" s="1">
        <v>15.13503</v>
      </c>
      <c r="AA143" s="1">
        <v>15.16474</v>
      </c>
      <c r="AB143" s="1">
        <v>15.188535</v>
      </c>
      <c r="AC143" s="1">
        <v>15.207722</v>
      </c>
      <c r="AD143" s="1">
        <v>15.223267</v>
      </c>
      <c r="AE143" s="1">
        <v>15.235799</v>
      </c>
      <c r="AF143" s="1">
        <v>15.245944</v>
      </c>
      <c r="AG143" s="200">
        <v>3.0000000000000001E-3</v>
      </c>
    </row>
    <row r="144" spans="1:33">
      <c r="A144" t="s">
        <v>381</v>
      </c>
      <c r="B144" t="s">
        <v>3534</v>
      </c>
      <c r="C144" t="s">
        <v>3533</v>
      </c>
      <c r="D144" t="s">
        <v>413</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117</v>
      </c>
    </row>
    <row r="145" spans="1:33">
      <c r="A145" t="s">
        <v>380</v>
      </c>
      <c r="B145" t="s">
        <v>3532</v>
      </c>
      <c r="C145" t="s">
        <v>3531</v>
      </c>
      <c r="D145" t="s">
        <v>414</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117</v>
      </c>
    </row>
    <row r="146" spans="1:33">
      <c r="A146" t="s">
        <v>382</v>
      </c>
      <c r="B146" t="s">
        <v>3530</v>
      </c>
      <c r="C146" t="s">
        <v>3529</v>
      </c>
      <c r="D146" t="s">
        <v>413</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117</v>
      </c>
    </row>
    <row r="147" spans="1:33">
      <c r="A147" t="s">
        <v>3288</v>
      </c>
      <c r="B147" t="s">
        <v>3528</v>
      </c>
      <c r="C147" t="s">
        <v>3527</v>
      </c>
      <c r="D147" t="s">
        <v>413</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117</v>
      </c>
    </row>
    <row r="148" spans="1:33">
      <c r="A148" t="s">
        <v>3285</v>
      </c>
      <c r="B148" t="s">
        <v>3526</v>
      </c>
      <c r="C148" t="s">
        <v>3525</v>
      </c>
      <c r="D148" t="s">
        <v>414</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117</v>
      </c>
    </row>
    <row r="149" spans="1:33">
      <c r="A149" t="s">
        <v>3282</v>
      </c>
      <c r="B149" t="s">
        <v>3524</v>
      </c>
      <c r="C149" t="s">
        <v>3523</v>
      </c>
      <c r="D149" t="s">
        <v>413</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117</v>
      </c>
    </row>
    <row r="150" spans="1:33">
      <c r="A150" t="s">
        <v>400</v>
      </c>
      <c r="B150" t="s">
        <v>3522</v>
      </c>
      <c r="C150" t="s">
        <v>3521</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31">
        <v>8.0000000000000002E-3</v>
      </c>
    </row>
    <row r="151" spans="1:33">
      <c r="A151" t="s">
        <v>401</v>
      </c>
      <c r="B151" t="s">
        <v>3520</v>
      </c>
      <c r="C151" t="s">
        <v>3519</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31">
        <v>8.9999999999999993E-3</v>
      </c>
    </row>
    <row r="152" spans="1:33">
      <c r="A152" t="s">
        <v>402</v>
      </c>
    </row>
    <row r="153" spans="1:33">
      <c r="A153" t="s">
        <v>341</v>
      </c>
    </row>
    <row r="154" spans="1:33">
      <c r="A154" t="s">
        <v>327</v>
      </c>
      <c r="B154" t="s">
        <v>3518</v>
      </c>
      <c r="C154" t="s">
        <v>3517</v>
      </c>
      <c r="D154" t="s">
        <v>416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31">
        <v>-1.7000000000000001E-2</v>
      </c>
    </row>
    <row r="155" spans="1:33">
      <c r="A155" t="s">
        <v>313</v>
      </c>
      <c r="B155" t="s">
        <v>3516</v>
      </c>
      <c r="C155" t="s">
        <v>3515</v>
      </c>
      <c r="D155" t="s">
        <v>416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31">
        <v>7.0000000000000001E-3</v>
      </c>
    </row>
    <row r="156" spans="1:33">
      <c r="A156" t="s">
        <v>308</v>
      </c>
      <c r="B156" t="s">
        <v>3514</v>
      </c>
      <c r="C156" t="s">
        <v>3513</v>
      </c>
      <c r="D156" t="s">
        <v>416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31">
        <v>-1.0999999999999999E-2</v>
      </c>
    </row>
    <row r="157" spans="1:33">
      <c r="A157" t="s">
        <v>307</v>
      </c>
      <c r="B157" t="s">
        <v>3512</v>
      </c>
      <c r="C157" t="s">
        <v>3511</v>
      </c>
      <c r="D157" t="s">
        <v>416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31">
        <v>0.17199999999999999</v>
      </c>
    </row>
    <row r="158" spans="1:33">
      <c r="A158" t="s">
        <v>378</v>
      </c>
      <c r="B158" t="s">
        <v>3510</v>
      </c>
      <c r="C158" t="s">
        <v>3509</v>
      </c>
      <c r="D158" t="s">
        <v>416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31">
        <v>-6.4000000000000001E-2</v>
      </c>
    </row>
    <row r="159" spans="1:33">
      <c r="A159" t="s">
        <v>379</v>
      </c>
      <c r="B159" t="s">
        <v>3508</v>
      </c>
      <c r="C159" t="s">
        <v>3507</v>
      </c>
      <c r="D159" t="s">
        <v>416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31">
        <v>0.253</v>
      </c>
    </row>
    <row r="160" spans="1:33">
      <c r="A160" t="s">
        <v>381</v>
      </c>
      <c r="B160" t="s">
        <v>3506</v>
      </c>
      <c r="C160" t="s">
        <v>3505</v>
      </c>
      <c r="D160" t="s">
        <v>416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117</v>
      </c>
    </row>
    <row r="161" spans="1:33">
      <c r="A161" t="s">
        <v>380</v>
      </c>
      <c r="B161" t="s">
        <v>3504</v>
      </c>
      <c r="C161" t="s">
        <v>3503</v>
      </c>
      <c r="D161" t="s">
        <v>416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117</v>
      </c>
    </row>
    <row r="162" spans="1:33">
      <c r="A162" t="s">
        <v>382</v>
      </c>
      <c r="B162" t="s">
        <v>3502</v>
      </c>
      <c r="C162" t="s">
        <v>3501</v>
      </c>
      <c r="D162" t="s">
        <v>416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117</v>
      </c>
    </row>
    <row r="163" spans="1:33">
      <c r="A163" t="s">
        <v>3288</v>
      </c>
      <c r="B163" t="s">
        <v>3500</v>
      </c>
      <c r="C163" t="s">
        <v>3499</v>
      </c>
      <c r="D163" t="s">
        <v>416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117</v>
      </c>
    </row>
    <row r="164" spans="1:33">
      <c r="A164" t="s">
        <v>3285</v>
      </c>
      <c r="B164" t="s">
        <v>3498</v>
      </c>
      <c r="C164" t="s">
        <v>3497</v>
      </c>
      <c r="D164" t="s">
        <v>416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117</v>
      </c>
    </row>
    <row r="165" spans="1:33">
      <c r="A165" t="s">
        <v>3282</v>
      </c>
      <c r="B165" t="s">
        <v>3496</v>
      </c>
      <c r="C165" t="s">
        <v>3495</v>
      </c>
      <c r="D165" t="s">
        <v>416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117</v>
      </c>
    </row>
    <row r="166" spans="1:33">
      <c r="A166" t="s">
        <v>390</v>
      </c>
      <c r="B166" t="s">
        <v>3494</v>
      </c>
      <c r="C166" t="s">
        <v>3493</v>
      </c>
      <c r="D166" t="s">
        <v>416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31">
        <v>2.4E-2</v>
      </c>
    </row>
    <row r="167" spans="1:33">
      <c r="A167" t="s">
        <v>342</v>
      </c>
    </row>
    <row r="168" spans="1:33">
      <c r="A168" t="s">
        <v>327</v>
      </c>
      <c r="B168" t="s">
        <v>3492</v>
      </c>
      <c r="C168" t="s">
        <v>3491</v>
      </c>
      <c r="D168" t="s">
        <v>416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31">
        <v>-0.01</v>
      </c>
    </row>
    <row r="169" spans="1:33">
      <c r="A169" t="s">
        <v>313</v>
      </c>
      <c r="B169" t="s">
        <v>3490</v>
      </c>
      <c r="C169" t="s">
        <v>3489</v>
      </c>
      <c r="D169" t="s">
        <v>416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31">
        <v>4.0000000000000001E-3</v>
      </c>
    </row>
    <row r="170" spans="1:33">
      <c r="A170" t="s">
        <v>308</v>
      </c>
      <c r="B170" t="s">
        <v>3488</v>
      </c>
      <c r="C170" t="s">
        <v>3487</v>
      </c>
      <c r="D170" t="s">
        <v>416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31">
        <v>-0.08</v>
      </c>
    </row>
    <row r="171" spans="1:33">
      <c r="A171" t="s">
        <v>307</v>
      </c>
      <c r="B171" t="s">
        <v>3486</v>
      </c>
      <c r="C171" t="s">
        <v>3485</v>
      </c>
      <c r="D171" t="s">
        <v>416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31">
        <v>8.6999999999999994E-2</v>
      </c>
    </row>
    <row r="172" spans="1:33">
      <c r="A172" t="s">
        <v>378</v>
      </c>
      <c r="B172" t="s">
        <v>3484</v>
      </c>
      <c r="C172" t="s">
        <v>3483</v>
      </c>
      <c r="D172" t="s">
        <v>416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31">
        <v>-5.0999999999999997E-2</v>
      </c>
    </row>
    <row r="173" spans="1:33">
      <c r="A173" t="s">
        <v>379</v>
      </c>
      <c r="B173" t="s">
        <v>3482</v>
      </c>
      <c r="C173" t="s">
        <v>3481</v>
      </c>
      <c r="D173" t="s">
        <v>416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31">
        <v>4.8000000000000001E-2</v>
      </c>
    </row>
    <row r="174" spans="1:33">
      <c r="A174" t="s">
        <v>381</v>
      </c>
      <c r="B174" t="s">
        <v>3480</v>
      </c>
      <c r="C174" t="s">
        <v>3479</v>
      </c>
      <c r="D174" t="s">
        <v>416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117</v>
      </c>
    </row>
    <row r="175" spans="1:33">
      <c r="A175" t="s">
        <v>380</v>
      </c>
      <c r="B175" t="s">
        <v>3478</v>
      </c>
      <c r="C175" t="s">
        <v>3477</v>
      </c>
      <c r="D175" t="s">
        <v>416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117</v>
      </c>
    </row>
    <row r="176" spans="1:33">
      <c r="A176" t="s">
        <v>382</v>
      </c>
      <c r="B176" t="s">
        <v>3476</v>
      </c>
      <c r="C176" t="s">
        <v>3475</v>
      </c>
      <c r="D176" t="s">
        <v>416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117</v>
      </c>
    </row>
    <row r="177" spans="1:33">
      <c r="A177" t="s">
        <v>3288</v>
      </c>
      <c r="B177" t="s">
        <v>3474</v>
      </c>
      <c r="C177" t="s">
        <v>3473</v>
      </c>
      <c r="D177" t="s">
        <v>416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117</v>
      </c>
    </row>
    <row r="178" spans="1:33">
      <c r="A178" t="s">
        <v>3285</v>
      </c>
      <c r="B178" t="s">
        <v>3472</v>
      </c>
      <c r="C178" t="s">
        <v>3471</v>
      </c>
      <c r="D178" t="s">
        <v>416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117</v>
      </c>
    </row>
    <row r="179" spans="1:33">
      <c r="A179" t="s">
        <v>3282</v>
      </c>
      <c r="B179" t="s">
        <v>3470</v>
      </c>
      <c r="C179" t="s">
        <v>3469</v>
      </c>
      <c r="D179" t="s">
        <v>416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117</v>
      </c>
    </row>
    <row r="180" spans="1:33">
      <c r="A180" t="s">
        <v>391</v>
      </c>
      <c r="B180" t="s">
        <v>3468</v>
      </c>
      <c r="C180" t="s">
        <v>3467</v>
      </c>
      <c r="D180" t="s">
        <v>416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31">
        <v>6.0000000000000001E-3</v>
      </c>
    </row>
    <row r="181" spans="1:33">
      <c r="A181" t="s">
        <v>392</v>
      </c>
    </row>
    <row r="182" spans="1:33">
      <c r="A182" t="s">
        <v>327</v>
      </c>
      <c r="B182" t="s">
        <v>3466</v>
      </c>
      <c r="C182" t="s">
        <v>3465</v>
      </c>
      <c r="D182" t="s">
        <v>416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31">
        <v>1.0999999999999999E-2</v>
      </c>
    </row>
    <row r="183" spans="1:33">
      <c r="A183" t="s">
        <v>313</v>
      </c>
      <c r="B183" t="s">
        <v>3464</v>
      </c>
      <c r="C183" t="s">
        <v>3463</v>
      </c>
      <c r="D183" t="s">
        <v>416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31">
        <v>-6.3E-2</v>
      </c>
    </row>
    <row r="184" spans="1:33">
      <c r="A184" t="s">
        <v>308</v>
      </c>
      <c r="B184" t="s">
        <v>3462</v>
      </c>
      <c r="C184" t="s">
        <v>3461</v>
      </c>
      <c r="D184" t="s">
        <v>416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31">
        <v>0.01</v>
      </c>
    </row>
    <row r="185" spans="1:33">
      <c r="A185" t="s">
        <v>307</v>
      </c>
      <c r="B185" t="s">
        <v>3460</v>
      </c>
      <c r="C185" t="s">
        <v>3459</v>
      </c>
      <c r="D185" t="s">
        <v>416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31">
        <v>3.4000000000000002E-2</v>
      </c>
    </row>
    <row r="186" spans="1:33">
      <c r="A186" t="s">
        <v>378</v>
      </c>
      <c r="B186" t="s">
        <v>3458</v>
      </c>
      <c r="C186" t="s">
        <v>3457</v>
      </c>
      <c r="D186" t="s">
        <v>416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117</v>
      </c>
    </row>
    <row r="187" spans="1:33">
      <c r="A187" t="s">
        <v>379</v>
      </c>
      <c r="B187" t="s">
        <v>3456</v>
      </c>
      <c r="C187" t="s">
        <v>3455</v>
      </c>
      <c r="D187" t="s">
        <v>416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31">
        <v>8.5000000000000006E-2</v>
      </c>
    </row>
    <row r="188" spans="1:33">
      <c r="A188" t="s">
        <v>381</v>
      </c>
      <c r="B188" t="s">
        <v>3454</v>
      </c>
      <c r="C188" t="s">
        <v>3453</v>
      </c>
      <c r="D188" t="s">
        <v>416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117</v>
      </c>
    </row>
    <row r="189" spans="1:33">
      <c r="A189" t="s">
        <v>380</v>
      </c>
      <c r="B189" t="s">
        <v>3452</v>
      </c>
      <c r="C189" t="s">
        <v>3451</v>
      </c>
      <c r="D189" t="s">
        <v>416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117</v>
      </c>
    </row>
    <row r="190" spans="1:33">
      <c r="A190" t="s">
        <v>382</v>
      </c>
      <c r="B190" t="s">
        <v>3450</v>
      </c>
      <c r="C190" t="s">
        <v>3449</v>
      </c>
      <c r="D190" t="s">
        <v>416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117</v>
      </c>
    </row>
    <row r="191" spans="1:33">
      <c r="A191" t="s">
        <v>3288</v>
      </c>
      <c r="B191" t="s">
        <v>3448</v>
      </c>
      <c r="C191" t="s">
        <v>3447</v>
      </c>
      <c r="D191" t="s">
        <v>416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117</v>
      </c>
    </row>
    <row r="192" spans="1:33">
      <c r="A192" t="s">
        <v>3285</v>
      </c>
      <c r="B192" t="s">
        <v>3446</v>
      </c>
      <c r="C192" t="s">
        <v>3445</v>
      </c>
      <c r="D192" t="s">
        <v>416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117</v>
      </c>
    </row>
    <row r="193" spans="1:33">
      <c r="A193" t="s">
        <v>3282</v>
      </c>
      <c r="B193" t="s">
        <v>3444</v>
      </c>
      <c r="C193" t="s">
        <v>3443</v>
      </c>
      <c r="D193" t="s">
        <v>416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117</v>
      </c>
    </row>
    <row r="194" spans="1:33">
      <c r="A194" t="s">
        <v>393</v>
      </c>
      <c r="B194" t="s">
        <v>3442</v>
      </c>
      <c r="C194" t="s">
        <v>3441</v>
      </c>
      <c r="D194" t="s">
        <v>416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31">
        <v>1.0999999999999999E-2</v>
      </c>
    </row>
    <row r="195" spans="1:33">
      <c r="A195" t="s">
        <v>403</v>
      </c>
      <c r="B195" t="s">
        <v>3440</v>
      </c>
      <c r="C195" t="s">
        <v>3439</v>
      </c>
      <c r="D195" t="s">
        <v>416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31">
        <v>1.4999999999999999E-2</v>
      </c>
    </row>
    <row r="196" spans="1:33">
      <c r="A196" t="s">
        <v>215</v>
      </c>
    </row>
    <row r="197" spans="1:33">
      <c r="A197" t="s">
        <v>397</v>
      </c>
    </row>
    <row r="198" spans="1:33">
      <c r="A198" t="s">
        <v>341</v>
      </c>
    </row>
    <row r="199" spans="1:33">
      <c r="A199" t="s">
        <v>327</v>
      </c>
      <c r="B199" t="s">
        <v>3438</v>
      </c>
      <c r="C199" t="s">
        <v>3437</v>
      </c>
      <c r="D199" t="s">
        <v>413</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31">
        <v>5.0000000000000001E-3</v>
      </c>
    </row>
    <row r="200" spans="1:33">
      <c r="A200" t="s">
        <v>313</v>
      </c>
      <c r="B200" t="s">
        <v>3436</v>
      </c>
      <c r="C200" t="s">
        <v>3435</v>
      </c>
      <c r="D200" t="s">
        <v>414</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31">
        <v>4.0000000000000001E-3</v>
      </c>
    </row>
    <row r="201" spans="1:33">
      <c r="A201" t="s">
        <v>308</v>
      </c>
      <c r="B201" t="s">
        <v>3434</v>
      </c>
      <c r="C201" t="s">
        <v>3433</v>
      </c>
      <c r="D201" t="s">
        <v>414</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31">
        <v>4.0000000000000001E-3</v>
      </c>
    </row>
    <row r="202" spans="1:33">
      <c r="A202" t="s">
        <v>307</v>
      </c>
      <c r="B202" t="s">
        <v>3432</v>
      </c>
      <c r="C202" t="s">
        <v>3431</v>
      </c>
      <c r="D202" t="s">
        <v>414</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31">
        <v>4.0000000000000001E-3</v>
      </c>
    </row>
    <row r="203" spans="1:33">
      <c r="A203" t="s">
        <v>378</v>
      </c>
      <c r="B203" t="s">
        <v>3430</v>
      </c>
      <c r="C203" t="s">
        <v>3429</v>
      </c>
      <c r="D203" t="s">
        <v>414</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31">
        <v>2E-3</v>
      </c>
    </row>
    <row r="204" spans="1:33">
      <c r="A204" t="s">
        <v>379</v>
      </c>
      <c r="B204" t="s">
        <v>3428</v>
      </c>
      <c r="C204" t="s">
        <v>3427</v>
      </c>
      <c r="D204" t="s">
        <v>413</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31">
        <v>0</v>
      </c>
    </row>
    <row r="205" spans="1:33">
      <c r="A205" t="s">
        <v>381</v>
      </c>
      <c r="B205" t="s">
        <v>3426</v>
      </c>
      <c r="C205" t="s">
        <v>3425</v>
      </c>
      <c r="D205" t="s">
        <v>413</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117</v>
      </c>
    </row>
    <row r="206" spans="1:33">
      <c r="A206" t="s">
        <v>380</v>
      </c>
      <c r="B206" t="s">
        <v>3424</v>
      </c>
      <c r="C206" t="s">
        <v>3423</v>
      </c>
      <c r="D206" t="s">
        <v>414</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117</v>
      </c>
    </row>
    <row r="207" spans="1:33">
      <c r="A207" t="s">
        <v>382</v>
      </c>
      <c r="B207" t="s">
        <v>3422</v>
      </c>
      <c r="C207" t="s">
        <v>3421</v>
      </c>
      <c r="D207" t="s">
        <v>413</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117</v>
      </c>
    </row>
    <row r="208" spans="1:33">
      <c r="A208" t="s">
        <v>3288</v>
      </c>
      <c r="B208" t="s">
        <v>3420</v>
      </c>
      <c r="C208" t="s">
        <v>3419</v>
      </c>
      <c r="D208" t="s">
        <v>413</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117</v>
      </c>
    </row>
    <row r="209" spans="1:33">
      <c r="A209" t="s">
        <v>3285</v>
      </c>
      <c r="B209" t="s">
        <v>3418</v>
      </c>
      <c r="C209" t="s">
        <v>3417</v>
      </c>
      <c r="D209" t="s">
        <v>414</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117</v>
      </c>
    </row>
    <row r="210" spans="1:33">
      <c r="A210" t="s">
        <v>3282</v>
      </c>
      <c r="B210" t="s">
        <v>3416</v>
      </c>
      <c r="C210" t="s">
        <v>3415</v>
      </c>
      <c r="D210" t="s">
        <v>413</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117</v>
      </c>
    </row>
    <row r="211" spans="1:33">
      <c r="A211" t="s">
        <v>398</v>
      </c>
      <c r="B211" t="s">
        <v>3414</v>
      </c>
      <c r="C211" t="s">
        <v>3413</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31">
        <v>1.2E-2</v>
      </c>
    </row>
    <row r="212" spans="1:33">
      <c r="A212" t="s">
        <v>342</v>
      </c>
    </row>
    <row r="213" spans="1:33">
      <c r="A213" t="s">
        <v>327</v>
      </c>
      <c r="B213" t="s">
        <v>3412</v>
      </c>
      <c r="C213" t="s">
        <v>3411</v>
      </c>
      <c r="D213" t="s">
        <v>413</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31">
        <v>5.0000000000000001E-3</v>
      </c>
    </row>
    <row r="214" spans="1:33">
      <c r="A214" t="s">
        <v>313</v>
      </c>
      <c r="B214" t="s">
        <v>3410</v>
      </c>
      <c r="C214" t="s">
        <v>3409</v>
      </c>
      <c r="D214" t="s">
        <v>414</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31">
        <v>5.0000000000000001E-3</v>
      </c>
    </row>
    <row r="215" spans="1:33">
      <c r="A215" t="s">
        <v>308</v>
      </c>
      <c r="B215" t="s">
        <v>3408</v>
      </c>
      <c r="C215" t="s">
        <v>3407</v>
      </c>
      <c r="D215" t="s">
        <v>414</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31">
        <v>1.0999999999999999E-2</v>
      </c>
    </row>
    <row r="216" spans="1:33">
      <c r="A216" t="s">
        <v>307</v>
      </c>
      <c r="B216" t="s">
        <v>3406</v>
      </c>
      <c r="C216" t="s">
        <v>3405</v>
      </c>
      <c r="D216" t="s">
        <v>414</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31">
        <v>8.9999999999999993E-3</v>
      </c>
    </row>
    <row r="217" spans="1:33">
      <c r="A217" t="s">
        <v>378</v>
      </c>
      <c r="B217" t="s">
        <v>3404</v>
      </c>
      <c r="C217" t="s">
        <v>3403</v>
      </c>
      <c r="D217" t="s">
        <v>415</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31">
        <v>8.0000000000000002E-3</v>
      </c>
    </row>
    <row r="218" spans="1:33">
      <c r="A218" t="s">
        <v>379</v>
      </c>
      <c r="B218" t="s">
        <v>3402</v>
      </c>
      <c r="C218" t="s">
        <v>3401</v>
      </c>
      <c r="D218" t="s">
        <v>414</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31">
        <v>2E-3</v>
      </c>
    </row>
    <row r="219" spans="1:33">
      <c r="A219" t="s">
        <v>381</v>
      </c>
      <c r="B219" t="s">
        <v>3400</v>
      </c>
      <c r="C219" t="s">
        <v>3399</v>
      </c>
      <c r="D219" t="s">
        <v>414</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117</v>
      </c>
    </row>
    <row r="220" spans="1:33">
      <c r="A220" t="s">
        <v>380</v>
      </c>
      <c r="B220" t="s">
        <v>3398</v>
      </c>
      <c r="C220" t="s">
        <v>3397</v>
      </c>
      <c r="D220" t="s">
        <v>414</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117</v>
      </c>
    </row>
    <row r="221" spans="1:33">
      <c r="A221" t="s">
        <v>382</v>
      </c>
      <c r="B221" t="s">
        <v>3396</v>
      </c>
      <c r="C221" t="s">
        <v>3395</v>
      </c>
      <c r="D221" t="s">
        <v>414</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117</v>
      </c>
    </row>
    <row r="222" spans="1:33">
      <c r="A222" t="s">
        <v>3288</v>
      </c>
      <c r="B222" t="s">
        <v>3394</v>
      </c>
      <c r="C222" t="s">
        <v>3393</v>
      </c>
      <c r="D222" t="s">
        <v>413</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117</v>
      </c>
    </row>
    <row r="223" spans="1:33">
      <c r="A223" t="s">
        <v>3285</v>
      </c>
      <c r="B223" t="s">
        <v>3392</v>
      </c>
      <c r="C223" t="s">
        <v>3391</v>
      </c>
      <c r="D223" t="s">
        <v>414</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117</v>
      </c>
    </row>
    <row r="224" spans="1:33">
      <c r="A224" t="s">
        <v>3282</v>
      </c>
      <c r="B224" t="s">
        <v>3390</v>
      </c>
      <c r="C224" t="s">
        <v>3389</v>
      </c>
      <c r="D224" t="s">
        <v>413</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117</v>
      </c>
    </row>
    <row r="225" spans="1:33">
      <c r="A225" t="s">
        <v>399</v>
      </c>
      <c r="B225" t="s">
        <v>3388</v>
      </c>
      <c r="C225" t="s">
        <v>3387</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31">
        <v>5.0000000000000001E-3</v>
      </c>
    </row>
    <row r="226" spans="1:33">
      <c r="A226" t="s">
        <v>392</v>
      </c>
    </row>
    <row r="227" spans="1:33">
      <c r="A227" t="s">
        <v>327</v>
      </c>
      <c r="B227" t="s">
        <v>3386</v>
      </c>
      <c r="C227" t="s">
        <v>3385</v>
      </c>
      <c r="D227" t="s">
        <v>413</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31">
        <v>7.0000000000000001E-3</v>
      </c>
    </row>
    <row r="228" spans="1:33">
      <c r="A228" t="s">
        <v>313</v>
      </c>
      <c r="B228" t="s">
        <v>3384</v>
      </c>
      <c r="C228" t="s">
        <v>3383</v>
      </c>
      <c r="D228" t="s">
        <v>414</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31">
        <v>7.0000000000000001E-3</v>
      </c>
    </row>
    <row r="229" spans="1:33">
      <c r="A229" t="s">
        <v>308</v>
      </c>
      <c r="B229" t="s">
        <v>3382</v>
      </c>
      <c r="C229" t="s">
        <v>3381</v>
      </c>
      <c r="D229" t="s">
        <v>414</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31">
        <v>8.0000000000000002E-3</v>
      </c>
    </row>
    <row r="230" spans="1:33">
      <c r="A230" t="s">
        <v>307</v>
      </c>
      <c r="B230" t="s">
        <v>3380</v>
      </c>
      <c r="C230" t="s">
        <v>3379</v>
      </c>
      <c r="D230" t="s">
        <v>413</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31">
        <v>8.9999999999999993E-3</v>
      </c>
    </row>
    <row r="231" spans="1:33">
      <c r="A231" t="s">
        <v>378</v>
      </c>
      <c r="B231" t="s">
        <v>3378</v>
      </c>
      <c r="C231" t="s">
        <v>3377</v>
      </c>
      <c r="D231" t="s">
        <v>414</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117</v>
      </c>
    </row>
    <row r="232" spans="1:33">
      <c r="A232" t="s">
        <v>379</v>
      </c>
      <c r="B232" t="s">
        <v>3376</v>
      </c>
      <c r="C232" t="s">
        <v>3375</v>
      </c>
      <c r="D232" t="s">
        <v>413</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31">
        <v>5.0000000000000001E-3</v>
      </c>
    </row>
    <row r="233" spans="1:33">
      <c r="A233" t="s">
        <v>381</v>
      </c>
      <c r="B233" t="s">
        <v>3374</v>
      </c>
      <c r="C233" t="s">
        <v>3373</v>
      </c>
      <c r="D233" t="s">
        <v>413</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117</v>
      </c>
    </row>
    <row r="234" spans="1:33">
      <c r="A234" t="s">
        <v>380</v>
      </c>
      <c r="B234" t="s">
        <v>3372</v>
      </c>
      <c r="C234" t="s">
        <v>3371</v>
      </c>
      <c r="D234" t="s">
        <v>414</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117</v>
      </c>
    </row>
    <row r="235" spans="1:33">
      <c r="A235" t="s">
        <v>382</v>
      </c>
      <c r="B235" t="s">
        <v>3370</v>
      </c>
      <c r="C235" t="s">
        <v>3369</v>
      </c>
      <c r="D235" t="s">
        <v>413</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117</v>
      </c>
    </row>
    <row r="236" spans="1:33">
      <c r="A236" t="s">
        <v>3288</v>
      </c>
      <c r="B236" t="s">
        <v>3368</v>
      </c>
      <c r="C236" t="s">
        <v>3367</v>
      </c>
      <c r="D236" t="s">
        <v>413</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117</v>
      </c>
    </row>
    <row r="237" spans="1:33">
      <c r="A237" t="s">
        <v>3285</v>
      </c>
      <c r="B237" t="s">
        <v>3366</v>
      </c>
      <c r="C237" t="s">
        <v>3365</v>
      </c>
      <c r="D237" t="s">
        <v>414</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117</v>
      </c>
    </row>
    <row r="238" spans="1:33">
      <c r="A238" t="s">
        <v>3282</v>
      </c>
      <c r="B238" t="s">
        <v>3364</v>
      </c>
      <c r="C238" t="s">
        <v>3363</v>
      </c>
      <c r="D238" t="s">
        <v>413</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117</v>
      </c>
    </row>
    <row r="239" spans="1:33">
      <c r="A239" t="s">
        <v>400</v>
      </c>
      <c r="B239" t="s">
        <v>3362</v>
      </c>
      <c r="C239" t="s">
        <v>3361</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31">
        <v>7.0000000000000001E-3</v>
      </c>
    </row>
    <row r="240" spans="1:33">
      <c r="A240" t="s">
        <v>401</v>
      </c>
      <c r="B240" t="s">
        <v>3360</v>
      </c>
      <c r="C240" t="s">
        <v>3359</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31">
        <v>8.9999999999999993E-3</v>
      </c>
    </row>
    <row r="241" spans="1:33">
      <c r="A241" t="s">
        <v>404</v>
      </c>
    </row>
    <row r="242" spans="1:33">
      <c r="A242" t="s">
        <v>341</v>
      </c>
    </row>
    <row r="243" spans="1:33">
      <c r="A243" t="s">
        <v>327</v>
      </c>
      <c r="B243" t="s">
        <v>3358</v>
      </c>
      <c r="C243" t="s">
        <v>3357</v>
      </c>
      <c r="D243" t="s">
        <v>417</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31">
        <v>-7.8E-2</v>
      </c>
    </row>
    <row r="244" spans="1:33">
      <c r="A244" t="s">
        <v>313</v>
      </c>
      <c r="B244" t="s">
        <v>3356</v>
      </c>
      <c r="C244" t="s">
        <v>3355</v>
      </c>
      <c r="D244" t="s">
        <v>417</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31">
        <v>-6.2E-2</v>
      </c>
    </row>
    <row r="245" spans="1:33">
      <c r="A245" t="s">
        <v>308</v>
      </c>
      <c r="B245" t="s">
        <v>3354</v>
      </c>
      <c r="C245" t="s">
        <v>3353</v>
      </c>
      <c r="D245" t="s">
        <v>417</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31">
        <v>1.7999999999999999E-2</v>
      </c>
    </row>
    <row r="246" spans="1:33">
      <c r="A246" t="s">
        <v>307</v>
      </c>
      <c r="B246" t="s">
        <v>3352</v>
      </c>
      <c r="C246" t="s">
        <v>3351</v>
      </c>
      <c r="D246" t="s">
        <v>417</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31">
        <v>8.3000000000000004E-2</v>
      </c>
    </row>
    <row r="247" spans="1:33">
      <c r="A247" t="s">
        <v>378</v>
      </c>
      <c r="B247" t="s">
        <v>3350</v>
      </c>
      <c r="C247" t="s">
        <v>3349</v>
      </c>
      <c r="D247" t="s">
        <v>417</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31">
        <v>1.7999999999999999E-2</v>
      </c>
    </row>
    <row r="248" spans="1:33">
      <c r="A248" t="s">
        <v>379</v>
      </c>
      <c r="B248" t="s">
        <v>3348</v>
      </c>
      <c r="C248" t="s">
        <v>3347</v>
      </c>
      <c r="D248" t="s">
        <v>417</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31">
        <v>0.20399999999999999</v>
      </c>
    </row>
    <row r="249" spans="1:33">
      <c r="A249" t="s">
        <v>381</v>
      </c>
      <c r="B249" t="s">
        <v>3346</v>
      </c>
      <c r="C249" t="s">
        <v>3345</v>
      </c>
      <c r="D249" t="s">
        <v>417</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117</v>
      </c>
    </row>
    <row r="250" spans="1:33">
      <c r="A250" t="s">
        <v>380</v>
      </c>
      <c r="B250" t="s">
        <v>3344</v>
      </c>
      <c r="C250" t="s">
        <v>3343</v>
      </c>
      <c r="D250" t="s">
        <v>417</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117</v>
      </c>
    </row>
    <row r="251" spans="1:33">
      <c r="A251" t="s">
        <v>382</v>
      </c>
      <c r="B251" t="s">
        <v>3342</v>
      </c>
      <c r="C251" t="s">
        <v>3341</v>
      </c>
      <c r="D251" t="s">
        <v>417</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117</v>
      </c>
    </row>
    <row r="252" spans="1:33">
      <c r="A252" t="s">
        <v>3288</v>
      </c>
      <c r="B252" t="s">
        <v>3340</v>
      </c>
      <c r="C252" t="s">
        <v>3339</v>
      </c>
      <c r="D252" t="s">
        <v>417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117</v>
      </c>
    </row>
    <row r="253" spans="1:33">
      <c r="A253" t="s">
        <v>3285</v>
      </c>
      <c r="B253" t="s">
        <v>3338</v>
      </c>
      <c r="C253" t="s">
        <v>3337</v>
      </c>
      <c r="D253" t="s">
        <v>417</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117</v>
      </c>
    </row>
    <row r="254" spans="1:33">
      <c r="A254" t="s">
        <v>3282</v>
      </c>
      <c r="B254" t="s">
        <v>3336</v>
      </c>
      <c r="C254" t="s">
        <v>3335</v>
      </c>
      <c r="D254" t="s">
        <v>417</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117</v>
      </c>
    </row>
    <row r="255" spans="1:33">
      <c r="A255" t="s">
        <v>390</v>
      </c>
      <c r="B255" t="s">
        <v>3334</v>
      </c>
      <c r="C255" t="s">
        <v>3333</v>
      </c>
      <c r="D255" t="s">
        <v>417</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31">
        <v>2.3E-2</v>
      </c>
    </row>
    <row r="256" spans="1:33">
      <c r="A256" t="s">
        <v>342</v>
      </c>
    </row>
    <row r="257" spans="1:33">
      <c r="A257" t="s">
        <v>327</v>
      </c>
      <c r="B257" t="s">
        <v>3332</v>
      </c>
      <c r="C257" t="s">
        <v>3331</v>
      </c>
      <c r="D257" t="s">
        <v>417</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31">
        <v>-2.3E-2</v>
      </c>
    </row>
    <row r="258" spans="1:33">
      <c r="A258" t="s">
        <v>313</v>
      </c>
      <c r="B258" t="s">
        <v>3330</v>
      </c>
      <c r="C258" t="s">
        <v>3329</v>
      </c>
      <c r="D258" t="s">
        <v>417</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31">
        <v>-1.4999999999999999E-2</v>
      </c>
    </row>
    <row r="259" spans="1:33">
      <c r="A259" t="s">
        <v>308</v>
      </c>
      <c r="B259" t="s">
        <v>3328</v>
      </c>
      <c r="C259" t="s">
        <v>3327</v>
      </c>
      <c r="D259" t="s">
        <v>417</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31">
        <v>-2E-3</v>
      </c>
    </row>
    <row r="260" spans="1:33">
      <c r="A260" t="s">
        <v>307</v>
      </c>
      <c r="B260" t="s">
        <v>3326</v>
      </c>
      <c r="C260" t="s">
        <v>3325</v>
      </c>
      <c r="D260" t="s">
        <v>417</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31">
        <v>3.0000000000000001E-3</v>
      </c>
    </row>
    <row r="261" spans="1:33">
      <c r="A261" t="s">
        <v>378</v>
      </c>
      <c r="B261" t="s">
        <v>3324</v>
      </c>
      <c r="C261" t="s">
        <v>3323</v>
      </c>
      <c r="D261" t="s">
        <v>417</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31">
        <v>-2E-3</v>
      </c>
    </row>
    <row r="262" spans="1:33">
      <c r="A262" t="s">
        <v>379</v>
      </c>
      <c r="B262" t="s">
        <v>3322</v>
      </c>
      <c r="C262" t="s">
        <v>3321</v>
      </c>
      <c r="D262" t="s">
        <v>417</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31">
        <v>-2E-3</v>
      </c>
    </row>
    <row r="263" spans="1:33">
      <c r="A263" t="s">
        <v>381</v>
      </c>
      <c r="B263" t="s">
        <v>3320</v>
      </c>
      <c r="C263" t="s">
        <v>3319</v>
      </c>
      <c r="D263" t="s">
        <v>417</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117</v>
      </c>
    </row>
    <row r="264" spans="1:33">
      <c r="A264" t="s">
        <v>380</v>
      </c>
      <c r="B264" t="s">
        <v>3318</v>
      </c>
      <c r="C264" t="s">
        <v>3317</v>
      </c>
      <c r="D264" t="s">
        <v>417</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117</v>
      </c>
    </row>
    <row r="265" spans="1:33">
      <c r="A265" t="s">
        <v>382</v>
      </c>
      <c r="B265" t="s">
        <v>3316</v>
      </c>
      <c r="C265" t="s">
        <v>3315</v>
      </c>
      <c r="D265" t="s">
        <v>417</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117</v>
      </c>
    </row>
    <row r="266" spans="1:33">
      <c r="A266" t="s">
        <v>3288</v>
      </c>
      <c r="B266" t="s">
        <v>3314</v>
      </c>
      <c r="C266" t="s">
        <v>3313</v>
      </c>
      <c r="D266" t="s">
        <v>417</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117</v>
      </c>
    </row>
    <row r="267" spans="1:33">
      <c r="A267" t="s">
        <v>3285</v>
      </c>
      <c r="B267" t="s">
        <v>3312</v>
      </c>
      <c r="C267" t="s">
        <v>3311</v>
      </c>
      <c r="D267" t="s">
        <v>417</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117</v>
      </c>
    </row>
    <row r="268" spans="1:33">
      <c r="A268" t="s">
        <v>3282</v>
      </c>
      <c r="B268" t="s">
        <v>3310</v>
      </c>
      <c r="C268" t="s">
        <v>3309</v>
      </c>
      <c r="D268" t="s">
        <v>417</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117</v>
      </c>
    </row>
    <row r="269" spans="1:33">
      <c r="A269" t="s">
        <v>391</v>
      </c>
      <c r="B269" t="s">
        <v>3308</v>
      </c>
      <c r="C269" t="s">
        <v>3307</v>
      </c>
      <c r="D269" t="s">
        <v>417</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31">
        <v>-2E-3</v>
      </c>
    </row>
    <row r="270" spans="1:33">
      <c r="A270" t="s">
        <v>392</v>
      </c>
    </row>
    <row r="271" spans="1:33">
      <c r="A271" t="s">
        <v>327</v>
      </c>
      <c r="B271" t="s">
        <v>3306</v>
      </c>
      <c r="C271" t="s">
        <v>3305</v>
      </c>
      <c r="D271" t="s">
        <v>417</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31">
        <v>-2E-3</v>
      </c>
    </row>
    <row r="272" spans="1:33">
      <c r="A272" t="s">
        <v>313</v>
      </c>
      <c r="B272" t="s">
        <v>3304</v>
      </c>
      <c r="C272" t="s">
        <v>3303</v>
      </c>
      <c r="D272" t="s">
        <v>417</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31">
        <v>-1E-3</v>
      </c>
    </row>
    <row r="273" spans="1:33">
      <c r="A273" t="s">
        <v>308</v>
      </c>
      <c r="B273" t="s">
        <v>3302</v>
      </c>
      <c r="C273" t="s">
        <v>3301</v>
      </c>
      <c r="D273" t="s">
        <v>417</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31">
        <v>-2E-3</v>
      </c>
    </row>
    <row r="274" spans="1:33">
      <c r="A274" t="s">
        <v>307</v>
      </c>
      <c r="B274" t="s">
        <v>3300</v>
      </c>
      <c r="C274" t="s">
        <v>3299</v>
      </c>
      <c r="D274" t="s">
        <v>417</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31">
        <v>1.9E-2</v>
      </c>
    </row>
    <row r="275" spans="1:33">
      <c r="A275" t="s">
        <v>378</v>
      </c>
      <c r="B275" t="s">
        <v>3298</v>
      </c>
      <c r="C275" t="s">
        <v>3297</v>
      </c>
      <c r="D275" t="s">
        <v>417</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117</v>
      </c>
    </row>
    <row r="276" spans="1:33">
      <c r="A276" t="s">
        <v>379</v>
      </c>
      <c r="B276" t="s">
        <v>3296</v>
      </c>
      <c r="C276" t="s">
        <v>3295</v>
      </c>
      <c r="D276" t="s">
        <v>417</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31">
        <v>-2E-3</v>
      </c>
    </row>
    <row r="277" spans="1:33">
      <c r="A277" t="s">
        <v>381</v>
      </c>
      <c r="B277" t="s">
        <v>3294</v>
      </c>
      <c r="C277" t="s">
        <v>3293</v>
      </c>
      <c r="D277" t="s">
        <v>417</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117</v>
      </c>
    </row>
    <row r="278" spans="1:33">
      <c r="A278" t="s">
        <v>380</v>
      </c>
      <c r="B278" t="s">
        <v>3292</v>
      </c>
      <c r="C278" t="s">
        <v>3291</v>
      </c>
      <c r="D278" t="s">
        <v>417</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117</v>
      </c>
    </row>
    <row r="279" spans="1:33">
      <c r="A279" t="s">
        <v>382</v>
      </c>
      <c r="B279" t="s">
        <v>3290</v>
      </c>
      <c r="C279" t="s">
        <v>3289</v>
      </c>
      <c r="D279" t="s">
        <v>417</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117</v>
      </c>
    </row>
    <row r="280" spans="1:33">
      <c r="A280" t="s">
        <v>3288</v>
      </c>
      <c r="B280" t="s">
        <v>3287</v>
      </c>
      <c r="C280" t="s">
        <v>3286</v>
      </c>
      <c r="D280" t="s">
        <v>417</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117</v>
      </c>
    </row>
    <row r="281" spans="1:33">
      <c r="A281" t="s">
        <v>3285</v>
      </c>
      <c r="B281" t="s">
        <v>3284</v>
      </c>
      <c r="C281" t="s">
        <v>3283</v>
      </c>
      <c r="D281" t="s">
        <v>417</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117</v>
      </c>
    </row>
    <row r="282" spans="1:33">
      <c r="A282" t="s">
        <v>3282</v>
      </c>
      <c r="B282" t="s">
        <v>3281</v>
      </c>
      <c r="C282" t="s">
        <v>3280</v>
      </c>
      <c r="D282" t="s">
        <v>417</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117</v>
      </c>
    </row>
    <row r="283" spans="1:33">
      <c r="A283" t="s">
        <v>393</v>
      </c>
      <c r="B283" t="s">
        <v>3279</v>
      </c>
      <c r="C283" t="s">
        <v>3278</v>
      </c>
      <c r="D283" t="s">
        <v>417</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31">
        <v>-2E-3</v>
      </c>
    </row>
    <row r="284" spans="1:33">
      <c r="A284" t="s">
        <v>405</v>
      </c>
      <c r="B284" t="s">
        <v>3277</v>
      </c>
      <c r="C284" t="s">
        <v>3276</v>
      </c>
      <c r="D284" t="s">
        <v>417</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31">
        <v>8.0000000000000002E-3</v>
      </c>
    </row>
    <row r="285" spans="1:33">
      <c r="A285" t="s">
        <v>214</v>
      </c>
    </row>
    <row r="286" spans="1:33">
      <c r="A286" t="s">
        <v>406</v>
      </c>
      <c r="B286" t="s">
        <v>3275</v>
      </c>
      <c r="C286" t="s">
        <v>3274</v>
      </c>
      <c r="D286" t="s">
        <v>418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31">
        <v>-2E-3</v>
      </c>
    </row>
    <row r="287" spans="1:33">
      <c r="A287" t="s">
        <v>407</v>
      </c>
      <c r="B287" t="s">
        <v>3273</v>
      </c>
      <c r="C287" t="s">
        <v>3272</v>
      </c>
      <c r="D287" t="s">
        <v>2886</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31">
        <v>1E-3</v>
      </c>
    </row>
    <row r="288" spans="1:33">
      <c r="A288" t="s">
        <v>116</v>
      </c>
    </row>
    <row r="289" spans="1:33">
      <c r="A289" t="s">
        <v>306</v>
      </c>
      <c r="B289" t="s">
        <v>3271</v>
      </c>
      <c r="C289" t="s">
        <v>3270</v>
      </c>
      <c r="D289" t="s">
        <v>354</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31">
        <v>-3.0000000000000001E-3</v>
      </c>
    </row>
    <row r="290" spans="1:33">
      <c r="A290" t="s">
        <v>315</v>
      </c>
      <c r="B290" t="s">
        <v>3269</v>
      </c>
      <c r="C290" t="s">
        <v>3268</v>
      </c>
      <c r="D290" t="s">
        <v>354</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117</v>
      </c>
    </row>
    <row r="291" spans="1:33">
      <c r="A291" t="s">
        <v>316</v>
      </c>
      <c r="B291" t="s">
        <v>3267</v>
      </c>
      <c r="C291" t="s">
        <v>3266</v>
      </c>
      <c r="D291" t="s">
        <v>354</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117</v>
      </c>
    </row>
    <row r="292" spans="1:33">
      <c r="A292" t="s">
        <v>317</v>
      </c>
      <c r="B292" t="s">
        <v>3265</v>
      </c>
      <c r="C292" t="s">
        <v>3264</v>
      </c>
      <c r="D292" t="s">
        <v>354</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117</v>
      </c>
    </row>
    <row r="293" spans="1:33">
      <c r="A293" t="s">
        <v>213</v>
      </c>
    </row>
    <row r="294" spans="1:33">
      <c r="A294" t="s">
        <v>408</v>
      </c>
      <c r="B294" t="s">
        <v>3263</v>
      </c>
      <c r="C294" t="s">
        <v>3262</v>
      </c>
      <c r="D294" t="s">
        <v>418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31">
        <v>-3.0000000000000001E-3</v>
      </c>
    </row>
    <row r="295" spans="1:33">
      <c r="A295" t="s">
        <v>407</v>
      </c>
      <c r="B295" t="s">
        <v>3261</v>
      </c>
      <c r="C295" t="s">
        <v>3260</v>
      </c>
      <c r="D295" t="s">
        <v>2886</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31">
        <v>4.0000000000000001E-3</v>
      </c>
    </row>
    <row r="296" spans="1:33">
      <c r="A296" t="s">
        <v>116</v>
      </c>
    </row>
    <row r="297" spans="1:33">
      <c r="A297" t="s">
        <v>306</v>
      </c>
      <c r="B297" t="s">
        <v>3259</v>
      </c>
      <c r="C297" t="s">
        <v>3124</v>
      </c>
      <c r="D297" t="s">
        <v>354</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31">
        <v>-8.0000000000000002E-3</v>
      </c>
    </row>
    <row r="298" spans="1:33">
      <c r="A298" t="s">
        <v>315</v>
      </c>
      <c r="B298" t="s">
        <v>3258</v>
      </c>
      <c r="C298" t="s">
        <v>3126</v>
      </c>
      <c r="D298" t="s">
        <v>354</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31">
        <v>-5.7000000000000002E-2</v>
      </c>
    </row>
    <row r="299" spans="1:33">
      <c r="A299" t="s">
        <v>316</v>
      </c>
      <c r="B299" t="s">
        <v>3257</v>
      </c>
      <c r="C299" t="s">
        <v>3128</v>
      </c>
      <c r="D299" t="s">
        <v>354</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117</v>
      </c>
    </row>
    <row r="300" spans="1:33">
      <c r="A300" t="s">
        <v>317</v>
      </c>
      <c r="B300" t="s">
        <v>3256</v>
      </c>
      <c r="C300" t="s">
        <v>3130</v>
      </c>
      <c r="D300" t="s">
        <v>354</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31">
        <v>0.05</v>
      </c>
    </row>
    <row r="301" spans="1:33">
      <c r="A301" t="s">
        <v>212</v>
      </c>
    </row>
    <row r="302" spans="1:33">
      <c r="A302" t="s">
        <v>409</v>
      </c>
      <c r="B302" t="s">
        <v>3255</v>
      </c>
      <c r="C302" t="s">
        <v>3254</v>
      </c>
      <c r="D302" t="s">
        <v>420</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31">
        <v>2.1000000000000001E-2</v>
      </c>
    </row>
    <row r="303" spans="1:33">
      <c r="A303" t="s">
        <v>410</v>
      </c>
      <c r="B303" t="s">
        <v>3253</v>
      </c>
      <c r="C303" t="s">
        <v>3252</v>
      </c>
      <c r="D303" t="s">
        <v>420</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31">
        <v>2.3E-2</v>
      </c>
    </row>
    <row r="304" spans="1:33">
      <c r="A304" t="s">
        <v>411</v>
      </c>
      <c r="B304" t="s">
        <v>3251</v>
      </c>
      <c r="C304" t="s">
        <v>3250</v>
      </c>
      <c r="D304" t="s">
        <v>420</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31">
        <v>2.1000000000000001E-2</v>
      </c>
    </row>
    <row r="305" spans="1:33">
      <c r="A305" t="s">
        <v>116</v>
      </c>
    </row>
    <row r="306" spans="1:33">
      <c r="A306" t="s">
        <v>306</v>
      </c>
      <c r="B306" t="s">
        <v>3249</v>
      </c>
      <c r="C306" t="s">
        <v>3134</v>
      </c>
      <c r="D306" t="s">
        <v>354</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31">
        <v>1.6E-2</v>
      </c>
    </row>
    <row r="307" spans="1:33">
      <c r="A307" t="s">
        <v>315</v>
      </c>
      <c r="B307" t="s">
        <v>3248</v>
      </c>
      <c r="C307" t="s">
        <v>3136</v>
      </c>
      <c r="D307" t="s">
        <v>354</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31">
        <v>5.0000000000000001E-3</v>
      </c>
    </row>
    <row r="308" spans="1:33">
      <c r="A308" t="s">
        <v>316</v>
      </c>
      <c r="B308" t="s">
        <v>3247</v>
      </c>
      <c r="C308" t="s">
        <v>3138</v>
      </c>
      <c r="D308" t="s">
        <v>354</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117</v>
      </c>
    </row>
    <row r="309" spans="1:33">
      <c r="A309" t="s">
        <v>317</v>
      </c>
      <c r="B309" t="s">
        <v>3246</v>
      </c>
      <c r="C309" t="s">
        <v>3140</v>
      </c>
      <c r="D309" t="s">
        <v>354</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31">
        <v>2.5999999999999999E-2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A73D-6F07-4F01-AEAE-024989E99D64}">
  <dimension ref="A1:AG63"/>
  <sheetViews>
    <sheetView workbookViewId="0"/>
  </sheetViews>
  <sheetFormatPr defaultRowHeight="15"/>
  <cols>
    <col min="2" max="2" width="59" customWidth="1"/>
  </cols>
  <sheetData>
    <row r="1" spans="1:33">
      <c r="A1" t="s">
        <v>355</v>
      </c>
    </row>
    <row r="2" spans="1:33">
      <c r="A2" t="s">
        <v>3890</v>
      </c>
    </row>
    <row r="3" spans="1:33">
      <c r="A3" t="s">
        <v>3889</v>
      </c>
    </row>
    <row r="4" spans="1:33">
      <c r="A4" t="s">
        <v>302</v>
      </c>
    </row>
    <row r="5" spans="1:33">
      <c r="B5" t="s">
        <v>303</v>
      </c>
      <c r="C5" t="s">
        <v>351</v>
      </c>
      <c r="D5" t="s">
        <v>352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2808</v>
      </c>
    </row>
    <row r="6" spans="1:33">
      <c r="A6" t="s">
        <v>356</v>
      </c>
    </row>
    <row r="7" spans="1:33">
      <c r="A7" t="s">
        <v>357</v>
      </c>
    </row>
    <row r="8" spans="1:33">
      <c r="A8" t="s">
        <v>358</v>
      </c>
      <c r="B8" t="s">
        <v>3888</v>
      </c>
      <c r="C8" t="s">
        <v>3887</v>
      </c>
      <c r="D8" t="s">
        <v>354</v>
      </c>
      <c r="F8">
        <v>240.254471</v>
      </c>
      <c r="G8">
        <v>227.832764</v>
      </c>
      <c r="H8">
        <v>216.32669100000001</v>
      </c>
      <c r="I8">
        <v>201.824265</v>
      </c>
      <c r="J8">
        <v>188.91449</v>
      </c>
      <c r="K8">
        <v>178.36935399999999</v>
      </c>
      <c r="L8">
        <v>169.62948600000001</v>
      </c>
      <c r="M8">
        <v>159.94416799999999</v>
      </c>
      <c r="N8">
        <v>150.87777700000001</v>
      </c>
      <c r="O8">
        <v>143.45529199999999</v>
      </c>
      <c r="P8">
        <v>140.914917</v>
      </c>
      <c r="Q8">
        <v>135.31362899999999</v>
      </c>
      <c r="R8">
        <v>128.10479699999999</v>
      </c>
      <c r="S8">
        <v>122.664062</v>
      </c>
      <c r="T8">
        <v>118.711685</v>
      </c>
      <c r="U8">
        <v>114.357758</v>
      </c>
      <c r="V8">
        <v>110.036079</v>
      </c>
      <c r="W8">
        <v>106.842628</v>
      </c>
      <c r="X8">
        <v>103.493607</v>
      </c>
      <c r="Y8">
        <v>101.925049</v>
      </c>
      <c r="Z8">
        <v>98.878876000000005</v>
      </c>
      <c r="AA8">
        <v>97.077606000000003</v>
      </c>
      <c r="AB8">
        <v>94.944534000000004</v>
      </c>
      <c r="AC8">
        <v>93.063430999999994</v>
      </c>
      <c r="AD8">
        <v>90.100845000000007</v>
      </c>
      <c r="AE8">
        <v>87.711776999999998</v>
      </c>
      <c r="AF8">
        <v>86.099250999999995</v>
      </c>
      <c r="AG8" s="31">
        <v>-3.9E-2</v>
      </c>
    </row>
    <row r="9" spans="1:33">
      <c r="A9" t="s">
        <v>359</v>
      </c>
      <c r="B9" t="s">
        <v>3886</v>
      </c>
      <c r="C9" t="s">
        <v>3885</v>
      </c>
      <c r="D9" t="s">
        <v>354</v>
      </c>
      <c r="F9">
        <v>0.38502900000000001</v>
      </c>
      <c r="G9">
        <v>0.33424900000000002</v>
      </c>
      <c r="H9">
        <v>0.29196499999999997</v>
      </c>
      <c r="I9">
        <v>0.247387</v>
      </c>
      <c r="J9">
        <v>0.21944900000000001</v>
      </c>
      <c r="K9">
        <v>0.19592699999999999</v>
      </c>
      <c r="L9">
        <v>0.174762</v>
      </c>
      <c r="M9">
        <v>0.14440700000000001</v>
      </c>
      <c r="N9">
        <v>0.13067699999999999</v>
      </c>
      <c r="O9">
        <v>9.0588000000000002E-2</v>
      </c>
      <c r="P9">
        <v>8.0385999999999999E-2</v>
      </c>
      <c r="Q9">
        <v>6.9764000000000007E-2</v>
      </c>
      <c r="R9">
        <v>5.8654999999999999E-2</v>
      </c>
      <c r="S9">
        <v>5.0708000000000003E-2</v>
      </c>
      <c r="T9">
        <v>4.4734000000000003E-2</v>
      </c>
      <c r="U9">
        <v>3.8004000000000003E-2</v>
      </c>
      <c r="V9">
        <v>3.7619E-2</v>
      </c>
      <c r="W9">
        <v>3.0726E-2</v>
      </c>
      <c r="X9">
        <v>2.9267000000000001E-2</v>
      </c>
      <c r="Y9">
        <v>2.7136E-2</v>
      </c>
      <c r="Z9">
        <v>2.4702000000000002E-2</v>
      </c>
      <c r="AA9">
        <v>2.2495000000000001E-2</v>
      </c>
      <c r="AB9">
        <v>2.0493000000000001E-2</v>
      </c>
      <c r="AC9">
        <v>1.8678E-2</v>
      </c>
      <c r="AD9">
        <v>1.703E-2</v>
      </c>
      <c r="AE9">
        <v>1.5533999999999999E-2</v>
      </c>
      <c r="AF9">
        <v>1.4175E-2</v>
      </c>
      <c r="AG9" s="31">
        <v>-0.11899999999999999</v>
      </c>
    </row>
    <row r="10" spans="1:33">
      <c r="A10" t="s">
        <v>360</v>
      </c>
      <c r="B10" t="s">
        <v>3884</v>
      </c>
      <c r="C10" t="s">
        <v>3883</v>
      </c>
      <c r="D10" t="s">
        <v>354</v>
      </c>
      <c r="F10">
        <v>240.63949600000001</v>
      </c>
      <c r="G10">
        <v>228.16700700000001</v>
      </c>
      <c r="H10">
        <v>216.618652</v>
      </c>
      <c r="I10">
        <v>202.07165499999999</v>
      </c>
      <c r="J10">
        <v>189.13394199999999</v>
      </c>
      <c r="K10">
        <v>178.56527700000001</v>
      </c>
      <c r="L10">
        <v>169.80424500000001</v>
      </c>
      <c r="M10">
        <v>160.08857699999999</v>
      </c>
      <c r="N10">
        <v>151.008453</v>
      </c>
      <c r="O10">
        <v>143.545883</v>
      </c>
      <c r="P10">
        <v>140.99529999999999</v>
      </c>
      <c r="Q10">
        <v>135.38339199999999</v>
      </c>
      <c r="R10">
        <v>128.16345200000001</v>
      </c>
      <c r="S10">
        <v>122.71476699999999</v>
      </c>
      <c r="T10">
        <v>118.756416</v>
      </c>
      <c r="U10">
        <v>114.39576</v>
      </c>
      <c r="V10">
        <v>110.0737</v>
      </c>
      <c r="W10">
        <v>106.873352</v>
      </c>
      <c r="X10">
        <v>103.522873</v>
      </c>
      <c r="Y10">
        <v>101.952187</v>
      </c>
      <c r="Z10">
        <v>98.903580000000005</v>
      </c>
      <c r="AA10">
        <v>97.100098000000003</v>
      </c>
      <c r="AB10">
        <v>94.965027000000006</v>
      </c>
      <c r="AC10">
        <v>93.082108000000005</v>
      </c>
      <c r="AD10">
        <v>90.117874</v>
      </c>
      <c r="AE10">
        <v>87.727310000000003</v>
      </c>
      <c r="AF10">
        <v>86.113426000000004</v>
      </c>
      <c r="AG10" s="31">
        <v>-3.9E-2</v>
      </c>
    </row>
    <row r="11" spans="1:33">
      <c r="A11" t="s">
        <v>361</v>
      </c>
    </row>
    <row r="12" spans="1:33">
      <c r="A12" t="s">
        <v>362</v>
      </c>
      <c r="B12" t="s">
        <v>3882</v>
      </c>
      <c r="C12" t="s">
        <v>3881</v>
      </c>
      <c r="D12" t="s">
        <v>354</v>
      </c>
      <c r="F12">
        <v>8.7905329999999999</v>
      </c>
      <c r="G12">
        <v>7.3907069999999999</v>
      </c>
      <c r="H12">
        <v>6.2951610000000002</v>
      </c>
      <c r="I12">
        <v>5.3804980000000002</v>
      </c>
      <c r="J12">
        <v>4.5989979999999999</v>
      </c>
      <c r="K12">
        <v>3.936782</v>
      </c>
      <c r="L12">
        <v>3.376849</v>
      </c>
      <c r="M12">
        <v>2.9265629999999998</v>
      </c>
      <c r="N12">
        <v>2.5458419999999999</v>
      </c>
      <c r="O12">
        <v>2.2610160000000001</v>
      </c>
      <c r="P12">
        <v>2.0822180000000001</v>
      </c>
      <c r="Q12">
        <v>1.89882</v>
      </c>
      <c r="R12">
        <v>1.738021</v>
      </c>
      <c r="S12">
        <v>1.5940129999999999</v>
      </c>
      <c r="T12">
        <v>1.4621200000000001</v>
      </c>
      <c r="U12">
        <v>1.369826</v>
      </c>
      <c r="V12">
        <v>1.3062830000000001</v>
      </c>
      <c r="W12">
        <v>1.2885629999999999</v>
      </c>
      <c r="X12">
        <v>1.333674</v>
      </c>
      <c r="Y12">
        <v>1.3337619999999999</v>
      </c>
      <c r="Z12">
        <v>1.3565700000000001</v>
      </c>
      <c r="AA12">
        <v>1.3267659999999999</v>
      </c>
      <c r="AB12">
        <v>1.299221</v>
      </c>
      <c r="AC12">
        <v>1.731252</v>
      </c>
      <c r="AD12">
        <v>1.7039070000000001</v>
      </c>
      <c r="AE12">
        <v>1.6786369999999999</v>
      </c>
      <c r="AF12">
        <v>1.655081</v>
      </c>
      <c r="AG12" s="31">
        <v>-6.2E-2</v>
      </c>
    </row>
    <row r="13" spans="1:33">
      <c r="A13" t="s">
        <v>1402</v>
      </c>
      <c r="B13" t="s">
        <v>3880</v>
      </c>
      <c r="C13" t="s">
        <v>3879</v>
      </c>
      <c r="D13" t="s">
        <v>354</v>
      </c>
      <c r="F13">
        <v>0.102729</v>
      </c>
      <c r="G13">
        <v>0.113427</v>
      </c>
      <c r="H13">
        <v>0.113314</v>
      </c>
      <c r="I13">
        <v>0.107531</v>
      </c>
      <c r="J13">
        <v>9.9787000000000001E-2</v>
      </c>
      <c r="K13">
        <v>9.4340999999999994E-2</v>
      </c>
      <c r="L13">
        <v>9.1937000000000005E-2</v>
      </c>
      <c r="M13">
        <v>9.0452000000000005E-2</v>
      </c>
      <c r="N13">
        <v>8.8986999999999997E-2</v>
      </c>
      <c r="O13">
        <v>8.3551E-2</v>
      </c>
      <c r="P13">
        <v>8.1295999999999993E-2</v>
      </c>
      <c r="Q13">
        <v>8.0685000000000007E-2</v>
      </c>
      <c r="R13">
        <v>8.1122E-2</v>
      </c>
      <c r="S13">
        <v>8.1831000000000001E-2</v>
      </c>
      <c r="T13">
        <v>8.3461999999999995E-2</v>
      </c>
      <c r="U13">
        <v>8.5413000000000003E-2</v>
      </c>
      <c r="V13">
        <v>8.5903999999999994E-2</v>
      </c>
      <c r="W13">
        <v>8.6748000000000006E-2</v>
      </c>
      <c r="X13">
        <v>8.7836999999999998E-2</v>
      </c>
      <c r="Y13">
        <v>8.9231000000000005E-2</v>
      </c>
      <c r="Z13">
        <v>9.0490000000000001E-2</v>
      </c>
      <c r="AA13">
        <v>9.1740000000000002E-2</v>
      </c>
      <c r="AB13">
        <v>9.2680999999999999E-2</v>
      </c>
      <c r="AC13">
        <v>9.3371999999999997E-2</v>
      </c>
      <c r="AD13">
        <v>9.3696000000000002E-2</v>
      </c>
      <c r="AE13">
        <v>9.4205999999999998E-2</v>
      </c>
      <c r="AF13">
        <v>9.5222000000000001E-2</v>
      </c>
      <c r="AG13" s="31">
        <v>-3.0000000000000001E-3</v>
      </c>
    </row>
    <row r="14" spans="1:33">
      <c r="A14" t="s">
        <v>1400</v>
      </c>
      <c r="B14" t="s">
        <v>3878</v>
      </c>
      <c r="C14" t="s">
        <v>3877</v>
      </c>
      <c r="D14" t="s">
        <v>354</v>
      </c>
      <c r="F14">
        <v>0.78562500000000002</v>
      </c>
      <c r="G14">
        <v>0.99435099999999998</v>
      </c>
      <c r="H14">
        <v>1.2088110000000001</v>
      </c>
      <c r="I14">
        <v>1.4568540000000001</v>
      </c>
      <c r="J14">
        <v>1.6208180000000001</v>
      </c>
      <c r="K14">
        <v>1.7275739999999999</v>
      </c>
      <c r="L14">
        <v>1.8877029999999999</v>
      </c>
      <c r="M14">
        <v>2.05192</v>
      </c>
      <c r="N14">
        <v>2.710944</v>
      </c>
      <c r="O14">
        <v>3.292001</v>
      </c>
      <c r="P14">
        <v>3.8071030000000001</v>
      </c>
      <c r="Q14">
        <v>4.459085</v>
      </c>
      <c r="R14">
        <v>4.9495009999999997</v>
      </c>
      <c r="S14">
        <v>5.3431470000000001</v>
      </c>
      <c r="T14">
        <v>5.6941680000000003</v>
      </c>
      <c r="U14">
        <v>6.2244710000000003</v>
      </c>
      <c r="V14">
        <v>6.6227819999999999</v>
      </c>
      <c r="W14">
        <v>6.9259519999999997</v>
      </c>
      <c r="X14">
        <v>7.1601249999999999</v>
      </c>
      <c r="Y14">
        <v>7.3892030000000002</v>
      </c>
      <c r="Z14">
        <v>7.5777900000000002</v>
      </c>
      <c r="AA14">
        <v>7.7684660000000001</v>
      </c>
      <c r="AB14">
        <v>7.9100479999999997</v>
      </c>
      <c r="AC14">
        <v>8.0180710000000008</v>
      </c>
      <c r="AD14">
        <v>8.1114379999999997</v>
      </c>
      <c r="AE14">
        <v>8.1931189999999994</v>
      </c>
      <c r="AF14">
        <v>8.3243399999999994</v>
      </c>
      <c r="AG14" s="31">
        <v>9.5000000000000001E-2</v>
      </c>
    </row>
    <row r="15" spans="1:33">
      <c r="A15" t="s">
        <v>1398</v>
      </c>
      <c r="B15" t="s">
        <v>3876</v>
      </c>
      <c r="C15" t="s">
        <v>3875</v>
      </c>
      <c r="D15" t="s">
        <v>354</v>
      </c>
      <c r="F15">
        <v>2.617105</v>
      </c>
      <c r="G15">
        <v>3.3536959999999998</v>
      </c>
      <c r="H15">
        <v>4.7137399999999996</v>
      </c>
      <c r="I15">
        <v>6.1486590000000003</v>
      </c>
      <c r="J15">
        <v>7.2152149999999997</v>
      </c>
      <c r="K15">
        <v>7.909249</v>
      </c>
      <c r="L15">
        <v>8.5611569999999997</v>
      </c>
      <c r="M15">
        <v>9.0991959999999992</v>
      </c>
      <c r="N15">
        <v>9.4956099999999992</v>
      </c>
      <c r="O15">
        <v>9.4770439999999994</v>
      </c>
      <c r="P15">
        <v>9.6937320000000007</v>
      </c>
      <c r="Q15">
        <v>9.9267710000000005</v>
      </c>
      <c r="R15">
        <v>10.156903</v>
      </c>
      <c r="S15">
        <v>10.364329</v>
      </c>
      <c r="T15">
        <v>10.569909000000001</v>
      </c>
      <c r="U15">
        <v>10.737353000000001</v>
      </c>
      <c r="V15">
        <v>10.985816</v>
      </c>
      <c r="W15">
        <v>11.159594999999999</v>
      </c>
      <c r="X15">
        <v>11.279845</v>
      </c>
      <c r="Y15">
        <v>11.359636</v>
      </c>
      <c r="Z15">
        <v>11.425822999999999</v>
      </c>
      <c r="AA15">
        <v>11.483007000000001</v>
      </c>
      <c r="AB15">
        <v>11.524374</v>
      </c>
      <c r="AC15">
        <v>11.543158</v>
      </c>
      <c r="AD15">
        <v>11.533887999999999</v>
      </c>
      <c r="AE15">
        <v>11.518879999999999</v>
      </c>
      <c r="AF15">
        <v>11.521348</v>
      </c>
      <c r="AG15" s="31">
        <v>5.8999999999999997E-2</v>
      </c>
    </row>
    <row r="16" spans="1:33">
      <c r="A16" t="s">
        <v>1396</v>
      </c>
      <c r="B16" t="s">
        <v>3874</v>
      </c>
      <c r="C16" t="s">
        <v>3873</v>
      </c>
      <c r="D16" t="s">
        <v>354</v>
      </c>
      <c r="F16">
        <v>0.52494200000000002</v>
      </c>
      <c r="G16">
        <v>0.69277900000000003</v>
      </c>
      <c r="H16">
        <v>0.85853699999999999</v>
      </c>
      <c r="I16">
        <v>1.0141929999999999</v>
      </c>
      <c r="J16">
        <v>1.1371610000000001</v>
      </c>
      <c r="K16">
        <v>1.2019770000000001</v>
      </c>
      <c r="L16">
        <v>1.2536210000000001</v>
      </c>
      <c r="M16">
        <v>1.296435</v>
      </c>
      <c r="N16">
        <v>1.3025530000000001</v>
      </c>
      <c r="O16">
        <v>1.272708</v>
      </c>
      <c r="P16">
        <v>1.2729010000000001</v>
      </c>
      <c r="Q16">
        <v>1.27213</v>
      </c>
      <c r="R16">
        <v>1.2738080000000001</v>
      </c>
      <c r="S16">
        <v>1.2766139999999999</v>
      </c>
      <c r="T16">
        <v>1.2828470000000001</v>
      </c>
      <c r="U16">
        <v>1.2852429999999999</v>
      </c>
      <c r="V16">
        <v>1.2866329999999999</v>
      </c>
      <c r="W16">
        <v>1.287765</v>
      </c>
      <c r="X16">
        <v>1.2899149999999999</v>
      </c>
      <c r="Y16">
        <v>1.292262</v>
      </c>
      <c r="Z16">
        <v>1.291477</v>
      </c>
      <c r="AA16">
        <v>1.2922720000000001</v>
      </c>
      <c r="AB16">
        <v>1.289228</v>
      </c>
      <c r="AC16">
        <v>1.285174</v>
      </c>
      <c r="AD16">
        <v>1.281004</v>
      </c>
      <c r="AE16">
        <v>1.2748170000000001</v>
      </c>
      <c r="AF16">
        <v>1.2748729999999999</v>
      </c>
      <c r="AG16" s="31">
        <v>3.5000000000000003E-2</v>
      </c>
    </row>
    <row r="17" spans="1:33">
      <c r="A17" t="s">
        <v>1393</v>
      </c>
      <c r="B17" t="s">
        <v>3872</v>
      </c>
      <c r="C17" t="s">
        <v>3871</v>
      </c>
      <c r="D17" t="s">
        <v>354</v>
      </c>
      <c r="F17">
        <v>0.252081</v>
      </c>
      <c r="G17">
        <v>0.354462</v>
      </c>
      <c r="H17">
        <v>0.58600699999999994</v>
      </c>
      <c r="I17">
        <v>0.78287099999999998</v>
      </c>
      <c r="J17">
        <v>0.93593800000000005</v>
      </c>
      <c r="K17">
        <v>1.029641</v>
      </c>
      <c r="L17">
        <v>1.10531</v>
      </c>
      <c r="M17">
        <v>1.172166</v>
      </c>
      <c r="N17">
        <v>1.1598919999999999</v>
      </c>
      <c r="O17">
        <v>1.097847</v>
      </c>
      <c r="P17">
        <v>1.0833459999999999</v>
      </c>
      <c r="Q17">
        <v>1.0558689999999999</v>
      </c>
      <c r="R17">
        <v>1.0408539999999999</v>
      </c>
      <c r="S17">
        <v>1.0310919999999999</v>
      </c>
      <c r="T17">
        <v>1.0271729999999999</v>
      </c>
      <c r="U17">
        <v>0.99950700000000003</v>
      </c>
      <c r="V17">
        <v>0.97712100000000002</v>
      </c>
      <c r="W17">
        <v>0.96008599999999999</v>
      </c>
      <c r="X17">
        <v>0.94694900000000004</v>
      </c>
      <c r="Y17">
        <v>0.93563499999999999</v>
      </c>
      <c r="Z17">
        <v>0.92302399999999996</v>
      </c>
      <c r="AA17">
        <v>0.91133500000000001</v>
      </c>
      <c r="AB17">
        <v>0.89819099999999996</v>
      </c>
      <c r="AC17">
        <v>0.88473999999999997</v>
      </c>
      <c r="AD17">
        <v>0.87280599999999997</v>
      </c>
      <c r="AE17">
        <v>0.86083500000000002</v>
      </c>
      <c r="AF17">
        <v>0.85212900000000003</v>
      </c>
      <c r="AG17" s="31">
        <v>4.8000000000000001E-2</v>
      </c>
    </row>
    <row r="18" spans="1:33">
      <c r="A18" t="s">
        <v>363</v>
      </c>
      <c r="B18" t="s">
        <v>3870</v>
      </c>
      <c r="C18" t="s">
        <v>3869</v>
      </c>
      <c r="D18" t="s">
        <v>354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117</v>
      </c>
    </row>
    <row r="19" spans="1:33">
      <c r="A19" t="s">
        <v>364</v>
      </c>
      <c r="B19" t="s">
        <v>3868</v>
      </c>
      <c r="C19" t="s">
        <v>3867</v>
      </c>
      <c r="D19" t="s">
        <v>354</v>
      </c>
      <c r="F19">
        <v>7.3686829999999999</v>
      </c>
      <c r="G19">
        <v>8.6311839999999993</v>
      </c>
      <c r="H19">
        <v>9.2783700000000007</v>
      </c>
      <c r="I19">
        <v>9.7828040000000005</v>
      </c>
      <c r="J19">
        <v>9.9487749999999995</v>
      </c>
      <c r="K19">
        <v>10.169530999999999</v>
      </c>
      <c r="L19">
        <v>10.370609999999999</v>
      </c>
      <c r="M19">
        <v>10.564700999999999</v>
      </c>
      <c r="N19">
        <v>10.491148000000001</v>
      </c>
      <c r="O19">
        <v>10.596571000000001</v>
      </c>
      <c r="P19">
        <v>10.816386</v>
      </c>
      <c r="Q19">
        <v>10.915357999999999</v>
      </c>
      <c r="R19">
        <v>10.967233999999999</v>
      </c>
      <c r="S19">
        <v>11.049773999999999</v>
      </c>
      <c r="T19">
        <v>11.174068</v>
      </c>
      <c r="U19">
        <v>11.258075</v>
      </c>
      <c r="V19">
        <v>11.271088000000001</v>
      </c>
      <c r="W19">
        <v>11.31813</v>
      </c>
      <c r="X19">
        <v>11.385142</v>
      </c>
      <c r="Y19">
        <v>11.480566</v>
      </c>
      <c r="Z19">
        <v>11.578276000000001</v>
      </c>
      <c r="AA19">
        <v>11.679525999999999</v>
      </c>
      <c r="AB19">
        <v>11.77678</v>
      </c>
      <c r="AC19">
        <v>11.882239</v>
      </c>
      <c r="AD19">
        <v>11.962790999999999</v>
      </c>
      <c r="AE19">
        <v>12.049465</v>
      </c>
      <c r="AF19">
        <v>12.172753999999999</v>
      </c>
      <c r="AG19" s="31">
        <v>1.9E-2</v>
      </c>
    </row>
    <row r="20" spans="1:33">
      <c r="A20" t="s">
        <v>365</v>
      </c>
      <c r="B20" t="s">
        <v>3866</v>
      </c>
      <c r="C20" t="s">
        <v>3865</v>
      </c>
      <c r="D20" t="s">
        <v>354</v>
      </c>
      <c r="F20">
        <v>0.34176600000000001</v>
      </c>
      <c r="G20">
        <v>0.30879899999999999</v>
      </c>
      <c r="H20">
        <v>0.27805299999999999</v>
      </c>
      <c r="I20">
        <v>0.24757699999999999</v>
      </c>
      <c r="J20">
        <v>0.222273</v>
      </c>
      <c r="K20">
        <v>0.18717400000000001</v>
      </c>
      <c r="L20">
        <v>0.16489899999999999</v>
      </c>
      <c r="M20">
        <v>0.14396400000000001</v>
      </c>
      <c r="N20">
        <v>0.12559500000000001</v>
      </c>
      <c r="O20">
        <v>0.11036</v>
      </c>
      <c r="P20">
        <v>9.4849000000000003E-2</v>
      </c>
      <c r="Q20">
        <v>8.4580000000000002E-2</v>
      </c>
      <c r="R20">
        <v>7.2945999999999997E-2</v>
      </c>
      <c r="S20">
        <v>6.5820000000000004E-2</v>
      </c>
      <c r="T20">
        <v>6.1445E-2</v>
      </c>
      <c r="U20">
        <v>5.6483999999999999E-2</v>
      </c>
      <c r="V20">
        <v>5.3046999999999997E-2</v>
      </c>
      <c r="W20">
        <v>4.9819000000000002E-2</v>
      </c>
      <c r="X20">
        <v>4.6787000000000002E-2</v>
      </c>
      <c r="Y20">
        <v>4.394E-2</v>
      </c>
      <c r="Z20">
        <v>4.1265999999999997E-2</v>
      </c>
      <c r="AA20">
        <v>3.8754999999999998E-2</v>
      </c>
      <c r="AB20">
        <v>3.6396999999999999E-2</v>
      </c>
      <c r="AC20">
        <v>3.4181999999999997E-2</v>
      </c>
      <c r="AD20">
        <v>3.2101999999999999E-2</v>
      </c>
      <c r="AE20">
        <v>3.0148000000000001E-2</v>
      </c>
      <c r="AF20">
        <v>2.8313999999999999E-2</v>
      </c>
      <c r="AG20" s="31">
        <v>-9.0999999999999998E-2</v>
      </c>
    </row>
    <row r="21" spans="1:33">
      <c r="A21" t="s">
        <v>366</v>
      </c>
      <c r="B21" t="s">
        <v>3864</v>
      </c>
      <c r="C21" t="s">
        <v>3863</v>
      </c>
      <c r="D21" t="s">
        <v>354</v>
      </c>
      <c r="F21">
        <v>9.2300000000000004E-3</v>
      </c>
      <c r="G21">
        <v>8.6680000000000004E-3</v>
      </c>
      <c r="H21">
        <v>8.1410000000000007E-3</v>
      </c>
      <c r="I21">
        <v>7.646E-3</v>
      </c>
      <c r="J21">
        <v>7.1799999999999998E-3</v>
      </c>
      <c r="K21">
        <v>6.7429999999999999E-3</v>
      </c>
      <c r="L21">
        <v>6.3330000000000001E-3</v>
      </c>
      <c r="M21">
        <v>5.9480000000000002E-3</v>
      </c>
      <c r="N21">
        <v>5.5859999999999998E-3</v>
      </c>
      <c r="O21">
        <v>5.2459999999999998E-3</v>
      </c>
      <c r="P21">
        <v>4.927E-3</v>
      </c>
      <c r="Q21">
        <v>4.627E-3</v>
      </c>
      <c r="R21">
        <v>4.3449999999999999E-3</v>
      </c>
      <c r="S21">
        <v>4.0810000000000004E-3</v>
      </c>
      <c r="T21">
        <v>3.8319999999999999E-3</v>
      </c>
      <c r="U21">
        <v>3.5990000000000002E-3</v>
      </c>
      <c r="V21">
        <v>3.3800000000000002E-3</v>
      </c>
      <c r="W21">
        <v>3.1749999999999999E-3</v>
      </c>
      <c r="X21">
        <v>2.9810000000000001E-3</v>
      </c>
      <c r="Y21">
        <v>2.8E-3</v>
      </c>
      <c r="Z21">
        <v>2.63E-3</v>
      </c>
      <c r="AA21">
        <v>2.47E-3</v>
      </c>
      <c r="AB21">
        <v>2.3189999999999999E-3</v>
      </c>
      <c r="AC21">
        <v>2.1779999999999998E-3</v>
      </c>
      <c r="AD21">
        <v>2.0460000000000001E-3</v>
      </c>
      <c r="AE21">
        <v>1.921E-3</v>
      </c>
      <c r="AF21">
        <v>1.804E-3</v>
      </c>
      <c r="AG21" s="31">
        <v>-6.0999999999999999E-2</v>
      </c>
    </row>
    <row r="22" spans="1:33">
      <c r="A22" t="s">
        <v>367</v>
      </c>
      <c r="B22" t="s">
        <v>3862</v>
      </c>
      <c r="C22" t="s">
        <v>3861</v>
      </c>
      <c r="D22" t="s">
        <v>354</v>
      </c>
      <c r="F22">
        <v>5.8666999999999997E-2</v>
      </c>
      <c r="G22">
        <v>5.0825000000000002E-2</v>
      </c>
      <c r="H22">
        <v>4.5783999999999998E-2</v>
      </c>
      <c r="I22">
        <v>4.2430000000000002E-2</v>
      </c>
      <c r="J22">
        <v>3.9848000000000001E-2</v>
      </c>
      <c r="K22">
        <v>3.7423999999999999E-2</v>
      </c>
      <c r="L22">
        <v>3.5145999999999997E-2</v>
      </c>
      <c r="M22">
        <v>3.3007000000000002E-2</v>
      </c>
      <c r="N22">
        <v>3.0998999999999999E-2</v>
      </c>
      <c r="O22">
        <v>2.9111999999999999E-2</v>
      </c>
      <c r="P22">
        <v>2.7341000000000001E-2</v>
      </c>
      <c r="Q22">
        <v>2.5676999999999998E-2</v>
      </c>
      <c r="R22">
        <v>2.4115000000000001E-2</v>
      </c>
      <c r="S22">
        <v>2.2647E-2</v>
      </c>
      <c r="T22">
        <v>2.1269E-2</v>
      </c>
      <c r="U22">
        <v>1.9975E-2</v>
      </c>
      <c r="V22">
        <v>1.8759000000000001E-2</v>
      </c>
      <c r="W22">
        <v>1.7618000000000002E-2</v>
      </c>
      <c r="X22">
        <v>1.6546000000000002E-2</v>
      </c>
      <c r="Y22">
        <v>1.5539000000000001E-2</v>
      </c>
      <c r="Z22">
        <v>1.4593E-2</v>
      </c>
      <c r="AA22">
        <v>1.3705E-2</v>
      </c>
      <c r="AB22">
        <v>1.2871E-2</v>
      </c>
      <c r="AC22">
        <v>1.2088E-2</v>
      </c>
      <c r="AD22">
        <v>1.1351999999999999E-2</v>
      </c>
      <c r="AE22">
        <v>1.0661E-2</v>
      </c>
      <c r="AF22">
        <v>1.0012999999999999E-2</v>
      </c>
      <c r="AG22" s="31">
        <v>-6.6000000000000003E-2</v>
      </c>
    </row>
    <row r="23" spans="1:33">
      <c r="A23" t="s">
        <v>368</v>
      </c>
      <c r="B23" t="s">
        <v>3860</v>
      </c>
      <c r="C23" t="s">
        <v>3859</v>
      </c>
      <c r="D23" t="s">
        <v>354</v>
      </c>
      <c r="F23">
        <v>0.11464299999999999</v>
      </c>
      <c r="G23">
        <v>9.8693000000000003E-2</v>
      </c>
      <c r="H23">
        <v>8.7612999999999996E-2</v>
      </c>
      <c r="I23">
        <v>8.0329999999999999E-2</v>
      </c>
      <c r="J23">
        <v>7.4992000000000003E-2</v>
      </c>
      <c r="K23">
        <v>7.0429000000000005E-2</v>
      </c>
      <c r="L23">
        <v>6.6142999999999993E-2</v>
      </c>
      <c r="M23">
        <v>6.2118E-2</v>
      </c>
      <c r="N23">
        <v>5.8338000000000001E-2</v>
      </c>
      <c r="O23">
        <v>5.4788000000000003E-2</v>
      </c>
      <c r="P23">
        <v>5.1454E-2</v>
      </c>
      <c r="Q23">
        <v>4.8322999999999998E-2</v>
      </c>
      <c r="R23">
        <v>4.5381999999999999E-2</v>
      </c>
      <c r="S23">
        <v>4.2619999999999998E-2</v>
      </c>
      <c r="T23">
        <v>4.0027E-2</v>
      </c>
      <c r="U23">
        <v>3.7590999999999999E-2</v>
      </c>
      <c r="V23">
        <v>3.5304000000000002E-2</v>
      </c>
      <c r="W23">
        <v>3.3154999999999997E-2</v>
      </c>
      <c r="X23">
        <v>3.1137999999999999E-2</v>
      </c>
      <c r="Y23">
        <v>2.9243000000000002E-2</v>
      </c>
      <c r="Z23">
        <v>2.7463000000000001E-2</v>
      </c>
      <c r="AA23">
        <v>2.5791999999999999E-2</v>
      </c>
      <c r="AB23">
        <v>2.4223000000000001E-2</v>
      </c>
      <c r="AC23">
        <v>2.2748999999999998E-2</v>
      </c>
      <c r="AD23">
        <v>2.1364000000000001E-2</v>
      </c>
      <c r="AE23">
        <v>2.0063999999999999E-2</v>
      </c>
      <c r="AF23">
        <v>1.8842999999999999E-2</v>
      </c>
      <c r="AG23" s="31">
        <v>-6.7000000000000004E-2</v>
      </c>
    </row>
    <row r="24" spans="1:33">
      <c r="A24" t="s">
        <v>369</v>
      </c>
      <c r="B24" t="s">
        <v>3858</v>
      </c>
      <c r="C24" t="s">
        <v>3857</v>
      </c>
      <c r="D24" t="s">
        <v>354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117</v>
      </c>
    </row>
    <row r="25" spans="1:33">
      <c r="A25" t="s">
        <v>370</v>
      </c>
      <c r="B25" t="s">
        <v>3856</v>
      </c>
      <c r="C25" t="s">
        <v>3855</v>
      </c>
      <c r="D25" t="s">
        <v>354</v>
      </c>
      <c r="F25">
        <v>1.1802E-2</v>
      </c>
      <c r="G25">
        <v>1.1472E-2</v>
      </c>
      <c r="H25">
        <v>1.1322E-2</v>
      </c>
      <c r="I25">
        <v>1.1357000000000001E-2</v>
      </c>
      <c r="J25">
        <v>1.1424999999999999E-2</v>
      </c>
      <c r="K25">
        <v>1.0567E-2</v>
      </c>
      <c r="L25">
        <v>9.9389999999999999E-3</v>
      </c>
      <c r="M25">
        <v>9.2329999999999999E-3</v>
      </c>
      <c r="N25">
        <v>8.4880000000000008E-3</v>
      </c>
      <c r="O25">
        <v>7.639E-3</v>
      </c>
      <c r="P25">
        <v>6.8560000000000001E-3</v>
      </c>
      <c r="Q25">
        <v>6.1989999999999996E-3</v>
      </c>
      <c r="R25">
        <v>5.5779999999999996E-3</v>
      </c>
      <c r="S25">
        <v>5.0299999999999997E-3</v>
      </c>
      <c r="T25">
        <v>4.5599999999999998E-3</v>
      </c>
      <c r="U25">
        <v>4.1679999999999998E-3</v>
      </c>
      <c r="V25">
        <v>3.8509999999999998E-3</v>
      </c>
      <c r="W25">
        <v>3.6050000000000001E-3</v>
      </c>
      <c r="X25">
        <v>3.4150000000000001E-3</v>
      </c>
      <c r="Y25">
        <v>3.2759999999999998E-3</v>
      </c>
      <c r="Z25">
        <v>3.1670000000000001E-3</v>
      </c>
      <c r="AA25">
        <v>3.0690000000000001E-3</v>
      </c>
      <c r="AB25">
        <v>3.0100000000000001E-3</v>
      </c>
      <c r="AC25">
        <v>2.97E-3</v>
      </c>
      <c r="AD25">
        <v>2.931E-3</v>
      </c>
      <c r="AE25">
        <v>2.911E-3</v>
      </c>
      <c r="AF25">
        <v>2.9269999999999999E-3</v>
      </c>
      <c r="AG25" s="31">
        <v>-5.1999999999999998E-2</v>
      </c>
    </row>
    <row r="26" spans="1:33">
      <c r="A26" t="s">
        <v>371</v>
      </c>
      <c r="B26" t="s">
        <v>3854</v>
      </c>
      <c r="C26" t="s">
        <v>3853</v>
      </c>
      <c r="D26" t="s">
        <v>354</v>
      </c>
      <c r="F26">
        <v>20.977808</v>
      </c>
      <c r="G26">
        <v>22.009062</v>
      </c>
      <c r="H26">
        <v>23.484853999999999</v>
      </c>
      <c r="I26">
        <v>25.062750000000001</v>
      </c>
      <c r="J26">
        <v>25.912410999999999</v>
      </c>
      <c r="K26">
        <v>26.381432</v>
      </c>
      <c r="L26">
        <v>26.929646000000002</v>
      </c>
      <c r="M26">
        <v>27.455701999999999</v>
      </c>
      <c r="N26">
        <v>28.023979000000001</v>
      </c>
      <c r="O26">
        <v>28.287882</v>
      </c>
      <c r="P26">
        <v>29.022407999999999</v>
      </c>
      <c r="Q26">
        <v>29.778122</v>
      </c>
      <c r="R26">
        <v>30.35981</v>
      </c>
      <c r="S26">
        <v>30.880998999999999</v>
      </c>
      <c r="T26">
        <v>31.424883000000001</v>
      </c>
      <c r="U26">
        <v>32.081707000000002</v>
      </c>
      <c r="V26">
        <v>32.649971000000001</v>
      </c>
      <c r="W26">
        <v>33.134208999999998</v>
      </c>
      <c r="X26">
        <v>33.584353999999998</v>
      </c>
      <c r="Y26">
        <v>33.975093999999999</v>
      </c>
      <c r="Z26">
        <v>34.332568999999999</v>
      </c>
      <c r="AA26">
        <v>34.636898000000002</v>
      </c>
      <c r="AB26">
        <v>34.869343000000001</v>
      </c>
      <c r="AC26">
        <v>35.512172999999997</v>
      </c>
      <c r="AD26">
        <v>35.629325999999999</v>
      </c>
      <c r="AE26">
        <v>35.735664</v>
      </c>
      <c r="AF26">
        <v>35.957649000000004</v>
      </c>
      <c r="AG26" s="31">
        <v>2.1000000000000001E-2</v>
      </c>
    </row>
    <row r="27" spans="1:33">
      <c r="A27" t="s">
        <v>372</v>
      </c>
      <c r="B27" t="s">
        <v>3852</v>
      </c>
      <c r="C27" t="s">
        <v>3851</v>
      </c>
      <c r="D27" t="s">
        <v>354</v>
      </c>
      <c r="F27">
        <v>261.61730999999997</v>
      </c>
      <c r="G27">
        <v>250.17607100000001</v>
      </c>
      <c r="H27">
        <v>240.1035</v>
      </c>
      <c r="I27">
        <v>227.134399</v>
      </c>
      <c r="J27">
        <v>215.046356</v>
      </c>
      <c r="K27">
        <v>204.94671600000001</v>
      </c>
      <c r="L27">
        <v>196.73388700000001</v>
      </c>
      <c r="M27">
        <v>187.54428100000001</v>
      </c>
      <c r="N27">
        <v>179.03244000000001</v>
      </c>
      <c r="O27">
        <v>171.83377100000001</v>
      </c>
      <c r="P27">
        <v>170.01769999999999</v>
      </c>
      <c r="Q27">
        <v>165.16151400000001</v>
      </c>
      <c r="R27">
        <v>158.52325400000001</v>
      </c>
      <c r="S27">
        <v>153.595764</v>
      </c>
      <c r="T27">
        <v>150.18130500000001</v>
      </c>
      <c r="U27">
        <v>146.477463</v>
      </c>
      <c r="V27">
        <v>142.72366299999999</v>
      </c>
      <c r="W27">
        <v>140.00756799999999</v>
      </c>
      <c r="X27">
        <v>137.107224</v>
      </c>
      <c r="Y27">
        <v>135.927277</v>
      </c>
      <c r="Z27">
        <v>133.23614499999999</v>
      </c>
      <c r="AA27">
        <v>131.73699999999999</v>
      </c>
      <c r="AB27">
        <v>129.83436599999999</v>
      </c>
      <c r="AC27">
        <v>128.59428399999999</v>
      </c>
      <c r="AD27">
        <v>125.74720000000001</v>
      </c>
      <c r="AE27">
        <v>123.462975</v>
      </c>
      <c r="AF27">
        <v>122.07107499999999</v>
      </c>
      <c r="AG27" s="31">
        <v>-2.9000000000000001E-2</v>
      </c>
    </row>
    <row r="28" spans="1:33">
      <c r="A28" t="s">
        <v>335</v>
      </c>
    </row>
    <row r="29" spans="1:33">
      <c r="A29" t="s">
        <v>373</v>
      </c>
    </row>
    <row r="30" spans="1:33">
      <c r="A30" t="s">
        <v>358</v>
      </c>
      <c r="B30" t="s">
        <v>3850</v>
      </c>
      <c r="C30" t="s">
        <v>3849</v>
      </c>
      <c r="D30" t="s">
        <v>354</v>
      </c>
      <c r="F30">
        <v>636.80224599999997</v>
      </c>
      <c r="G30">
        <v>631.97259499999996</v>
      </c>
      <c r="H30">
        <v>632.70623799999998</v>
      </c>
      <c r="I30">
        <v>628.23547399999995</v>
      </c>
      <c r="J30">
        <v>620.10583499999996</v>
      </c>
      <c r="K30">
        <v>610.68530299999998</v>
      </c>
      <c r="L30">
        <v>598.62829599999998</v>
      </c>
      <c r="M30">
        <v>585.77185099999997</v>
      </c>
      <c r="N30">
        <v>573.16229199999998</v>
      </c>
      <c r="O30">
        <v>566.41284199999996</v>
      </c>
      <c r="P30">
        <v>557.76159700000005</v>
      </c>
      <c r="Q30">
        <v>550.66699200000005</v>
      </c>
      <c r="R30">
        <v>541.52099599999997</v>
      </c>
      <c r="S30">
        <v>530.76733400000001</v>
      </c>
      <c r="T30">
        <v>521.17980999999997</v>
      </c>
      <c r="U30">
        <v>512.46844499999997</v>
      </c>
      <c r="V30">
        <v>505.24707000000001</v>
      </c>
      <c r="W30">
        <v>498.25518799999998</v>
      </c>
      <c r="X30">
        <v>490.39141799999999</v>
      </c>
      <c r="Y30">
        <v>486.02639799999997</v>
      </c>
      <c r="Z30">
        <v>478.73254400000002</v>
      </c>
      <c r="AA30">
        <v>474.375</v>
      </c>
      <c r="AB30">
        <v>468.47241200000002</v>
      </c>
      <c r="AC30">
        <v>462.63647500000002</v>
      </c>
      <c r="AD30">
        <v>455.28799400000003</v>
      </c>
      <c r="AE30">
        <v>449.12670900000001</v>
      </c>
      <c r="AF30">
        <v>443.33578499999999</v>
      </c>
      <c r="AG30" s="31">
        <v>-1.4E-2</v>
      </c>
    </row>
    <row r="31" spans="1:33">
      <c r="A31" t="s">
        <v>359</v>
      </c>
      <c r="B31" t="s">
        <v>3848</v>
      </c>
      <c r="C31" t="s">
        <v>3847</v>
      </c>
      <c r="D31" t="s">
        <v>354</v>
      </c>
      <c r="F31">
        <v>7.2968799999999998</v>
      </c>
      <c r="G31">
        <v>9.4224460000000008</v>
      </c>
      <c r="H31">
        <v>11.170311</v>
      </c>
      <c r="I31">
        <v>12.514099</v>
      </c>
      <c r="J31">
        <v>13.675231</v>
      </c>
      <c r="K31">
        <v>14.769042000000001</v>
      </c>
      <c r="L31">
        <v>15.105392</v>
      </c>
      <c r="M31">
        <v>15.404579</v>
      </c>
      <c r="N31">
        <v>15.526752</v>
      </c>
      <c r="O31">
        <v>15.785183999999999</v>
      </c>
      <c r="P31">
        <v>15.933875</v>
      </c>
      <c r="Q31">
        <v>16.014786000000001</v>
      </c>
      <c r="R31">
        <v>16.079688999999998</v>
      </c>
      <c r="S31">
        <v>16.085836</v>
      </c>
      <c r="T31">
        <v>16.077959</v>
      </c>
      <c r="U31">
        <v>16.067716999999998</v>
      </c>
      <c r="V31">
        <v>16.051195</v>
      </c>
      <c r="W31">
        <v>16.009388000000001</v>
      </c>
      <c r="X31">
        <v>15.93755</v>
      </c>
      <c r="Y31">
        <v>15.83501</v>
      </c>
      <c r="Z31">
        <v>15.724392999999999</v>
      </c>
      <c r="AA31">
        <v>15.607494000000001</v>
      </c>
      <c r="AB31">
        <v>15.48264</v>
      </c>
      <c r="AC31">
        <v>15.359353</v>
      </c>
      <c r="AD31">
        <v>15.229575000000001</v>
      </c>
      <c r="AE31">
        <v>15.098903999999999</v>
      </c>
      <c r="AF31">
        <v>14.968176</v>
      </c>
      <c r="AG31" s="31">
        <v>2.8000000000000001E-2</v>
      </c>
    </row>
    <row r="32" spans="1:33">
      <c r="A32" t="s">
        <v>374</v>
      </c>
      <c r="B32" t="s">
        <v>3846</v>
      </c>
      <c r="C32" t="s">
        <v>3845</v>
      </c>
      <c r="D32" t="s">
        <v>354</v>
      </c>
      <c r="F32">
        <v>644.09912099999997</v>
      </c>
      <c r="G32">
        <v>641.39502000000005</v>
      </c>
      <c r="H32">
        <v>643.87652600000001</v>
      </c>
      <c r="I32">
        <v>640.74957300000005</v>
      </c>
      <c r="J32">
        <v>633.78106700000001</v>
      </c>
      <c r="K32">
        <v>625.45434599999999</v>
      </c>
      <c r="L32">
        <v>613.73370399999999</v>
      </c>
      <c r="M32">
        <v>601.17645300000004</v>
      </c>
      <c r="N32">
        <v>588.68902600000001</v>
      </c>
      <c r="O32">
        <v>582.19799799999998</v>
      </c>
      <c r="P32">
        <v>573.69549600000005</v>
      </c>
      <c r="Q32">
        <v>566.68176300000005</v>
      </c>
      <c r="R32">
        <v>557.60070800000005</v>
      </c>
      <c r="S32">
        <v>546.85314900000003</v>
      </c>
      <c r="T32">
        <v>537.25775099999998</v>
      </c>
      <c r="U32">
        <v>528.53613299999995</v>
      </c>
      <c r="V32">
        <v>521.29827899999998</v>
      </c>
      <c r="W32">
        <v>514.26458700000001</v>
      </c>
      <c r="X32">
        <v>506.328979</v>
      </c>
      <c r="Y32">
        <v>501.86142000000001</v>
      </c>
      <c r="Z32">
        <v>494.45693999999997</v>
      </c>
      <c r="AA32">
        <v>489.982483</v>
      </c>
      <c r="AB32">
        <v>483.95504799999998</v>
      </c>
      <c r="AC32">
        <v>477.99581899999998</v>
      </c>
      <c r="AD32">
        <v>470.51757800000001</v>
      </c>
      <c r="AE32">
        <v>464.225616</v>
      </c>
      <c r="AF32">
        <v>458.30395499999997</v>
      </c>
      <c r="AG32" s="31">
        <v>-1.2999999999999999E-2</v>
      </c>
    </row>
    <row r="33" spans="1:33">
      <c r="A33" t="s">
        <v>375</v>
      </c>
    </row>
    <row r="34" spans="1:33">
      <c r="A34" t="s">
        <v>362</v>
      </c>
      <c r="B34" t="s">
        <v>3844</v>
      </c>
      <c r="C34" t="s">
        <v>3843</v>
      </c>
      <c r="D34" t="s">
        <v>354</v>
      </c>
      <c r="F34">
        <v>87.151275999999996</v>
      </c>
      <c r="G34">
        <v>77.031433000000007</v>
      </c>
      <c r="H34">
        <v>70.997566000000006</v>
      </c>
      <c r="I34">
        <v>65.636345000000006</v>
      </c>
      <c r="J34">
        <v>60.826714000000003</v>
      </c>
      <c r="K34">
        <v>56.430218000000004</v>
      </c>
      <c r="L34">
        <v>51.423538000000001</v>
      </c>
      <c r="M34">
        <v>46.804817</v>
      </c>
      <c r="N34">
        <v>42.797699000000001</v>
      </c>
      <c r="O34">
        <v>38.866371000000001</v>
      </c>
      <c r="P34">
        <v>36.452755000000003</v>
      </c>
      <c r="Q34">
        <v>34.035412000000001</v>
      </c>
      <c r="R34">
        <v>31.794418</v>
      </c>
      <c r="S34">
        <v>29.985146</v>
      </c>
      <c r="T34">
        <v>28.13917</v>
      </c>
      <c r="U34">
        <v>26.613892</v>
      </c>
      <c r="V34">
        <v>25.564844000000001</v>
      </c>
      <c r="W34">
        <v>24.631409000000001</v>
      </c>
      <c r="X34">
        <v>23.669578999999999</v>
      </c>
      <c r="Y34">
        <v>22.830219</v>
      </c>
      <c r="Z34">
        <v>22.404928000000002</v>
      </c>
      <c r="AA34">
        <v>21.437866</v>
      </c>
      <c r="AB34">
        <v>20.868893</v>
      </c>
      <c r="AC34">
        <v>20.351611999999999</v>
      </c>
      <c r="AD34">
        <v>19.859856000000001</v>
      </c>
      <c r="AE34">
        <v>19.413338</v>
      </c>
      <c r="AF34">
        <v>18.979696000000001</v>
      </c>
      <c r="AG34" s="31">
        <v>-5.7000000000000002E-2</v>
      </c>
    </row>
    <row r="35" spans="1:33">
      <c r="A35" t="s">
        <v>1402</v>
      </c>
      <c r="B35" t="s">
        <v>3842</v>
      </c>
      <c r="C35" t="s">
        <v>3841</v>
      </c>
      <c r="D35" t="s">
        <v>354</v>
      </c>
      <c r="F35">
        <v>4.2230000000000002E-3</v>
      </c>
      <c r="G35">
        <v>3.8830000000000002E-3</v>
      </c>
      <c r="H35">
        <v>4.032E-3</v>
      </c>
      <c r="I35">
        <v>3.6099999999999999E-3</v>
      </c>
      <c r="J35">
        <v>3.228E-3</v>
      </c>
      <c r="K35">
        <v>2.882E-3</v>
      </c>
      <c r="L35">
        <v>2.5739999999999999E-3</v>
      </c>
      <c r="M35">
        <v>2.3E-3</v>
      </c>
      <c r="N35">
        <v>2.0600000000000002E-3</v>
      </c>
      <c r="O35">
        <v>1.8500000000000001E-3</v>
      </c>
      <c r="P35">
        <v>1.6659999999999999E-3</v>
      </c>
      <c r="Q35">
        <v>1.508E-3</v>
      </c>
      <c r="R35">
        <v>1.3730000000000001E-3</v>
      </c>
      <c r="S35">
        <v>1.2539999999999999E-3</v>
      </c>
      <c r="T35">
        <v>1.1460000000000001E-3</v>
      </c>
      <c r="U35">
        <v>1.0480000000000001E-3</v>
      </c>
      <c r="V35">
        <v>9.5799999999999998E-4</v>
      </c>
      <c r="W35">
        <v>8.7699999999999996E-4</v>
      </c>
      <c r="X35">
        <v>8.03E-4</v>
      </c>
      <c r="Y35">
        <v>7.3499999999999998E-4</v>
      </c>
      <c r="Z35">
        <v>6.7400000000000001E-4</v>
      </c>
      <c r="AA35">
        <v>6.1799999999999995E-4</v>
      </c>
      <c r="AB35">
        <v>5.6700000000000001E-4</v>
      </c>
      <c r="AC35">
        <v>5.1999999999999995E-4</v>
      </c>
      <c r="AD35">
        <v>4.7699999999999999E-4</v>
      </c>
      <c r="AE35">
        <v>4.3800000000000002E-4</v>
      </c>
      <c r="AF35">
        <v>4.0299999999999998E-4</v>
      </c>
      <c r="AG35" s="31">
        <v>-8.5999999999999993E-2</v>
      </c>
    </row>
    <row r="36" spans="1:33">
      <c r="A36" t="s">
        <v>1400</v>
      </c>
      <c r="B36" t="s">
        <v>3840</v>
      </c>
      <c r="C36" t="s">
        <v>3839</v>
      </c>
      <c r="D36" t="s">
        <v>354</v>
      </c>
      <c r="F36">
        <v>0.45895999999999998</v>
      </c>
      <c r="G36">
        <v>0.78013500000000002</v>
      </c>
      <c r="H36">
        <v>1.2221029999999999</v>
      </c>
      <c r="I36">
        <v>1.829715</v>
      </c>
      <c r="J36">
        <v>2.4277150000000001</v>
      </c>
      <c r="K36">
        <v>2.8826809999999998</v>
      </c>
      <c r="L36">
        <v>2.9490789999999998</v>
      </c>
      <c r="M36">
        <v>3.063215</v>
      </c>
      <c r="N36">
        <v>3.2234210000000001</v>
      </c>
      <c r="O36">
        <v>3.2446519999999999</v>
      </c>
      <c r="P36">
        <v>3.3005710000000001</v>
      </c>
      <c r="Q36">
        <v>3.394177</v>
      </c>
      <c r="R36">
        <v>3.5212159999999999</v>
      </c>
      <c r="S36">
        <v>3.6745489999999998</v>
      </c>
      <c r="T36">
        <v>3.8570139999999999</v>
      </c>
      <c r="U36">
        <v>4.0698100000000004</v>
      </c>
      <c r="V36">
        <v>4.2991339999999996</v>
      </c>
      <c r="W36">
        <v>4.5348899999999999</v>
      </c>
      <c r="X36">
        <v>4.7704170000000001</v>
      </c>
      <c r="Y36">
        <v>5.0087039999999998</v>
      </c>
      <c r="Z36">
        <v>5.2429730000000001</v>
      </c>
      <c r="AA36">
        <v>5.4780699999999998</v>
      </c>
      <c r="AB36">
        <v>5.7064750000000002</v>
      </c>
      <c r="AC36">
        <v>5.926132</v>
      </c>
      <c r="AD36">
        <v>6.1379530000000004</v>
      </c>
      <c r="AE36">
        <v>6.3441989999999997</v>
      </c>
      <c r="AF36">
        <v>6.5594849999999996</v>
      </c>
      <c r="AG36" s="31">
        <v>0.108</v>
      </c>
    </row>
    <row r="37" spans="1:33">
      <c r="A37" t="s">
        <v>1398</v>
      </c>
      <c r="B37" t="s">
        <v>3838</v>
      </c>
      <c r="C37" t="s">
        <v>3837</v>
      </c>
      <c r="D37" t="s">
        <v>354</v>
      </c>
      <c r="F37">
        <v>0.83318400000000004</v>
      </c>
      <c r="G37">
        <v>1.630444</v>
      </c>
      <c r="H37">
        <v>2.8042989999999999</v>
      </c>
      <c r="I37">
        <v>4.337256</v>
      </c>
      <c r="J37">
        <v>5.9412890000000003</v>
      </c>
      <c r="K37">
        <v>7.3082099999999999</v>
      </c>
      <c r="L37">
        <v>8.1658150000000003</v>
      </c>
      <c r="M37">
        <v>9.0439939999999996</v>
      </c>
      <c r="N37">
        <v>9.9759759999999993</v>
      </c>
      <c r="O37">
        <v>10.444807000000001</v>
      </c>
      <c r="P37">
        <v>10.970632</v>
      </c>
      <c r="Q37">
        <v>11.571362000000001</v>
      </c>
      <c r="R37">
        <v>12.223371999999999</v>
      </c>
      <c r="S37">
        <v>12.896008</v>
      </c>
      <c r="T37">
        <v>13.593107</v>
      </c>
      <c r="U37">
        <v>14.315716</v>
      </c>
      <c r="V37">
        <v>15.034219</v>
      </c>
      <c r="W37">
        <v>15.727569000000001</v>
      </c>
      <c r="X37">
        <v>16.382359000000001</v>
      </c>
      <c r="Y37">
        <v>17.00112</v>
      </c>
      <c r="Z37">
        <v>17.577950000000001</v>
      </c>
      <c r="AA37">
        <v>18.121769</v>
      </c>
      <c r="AB37">
        <v>18.619700999999999</v>
      </c>
      <c r="AC37">
        <v>19.072604999999999</v>
      </c>
      <c r="AD37">
        <v>19.479589000000001</v>
      </c>
      <c r="AE37">
        <v>19.852132999999998</v>
      </c>
      <c r="AF37">
        <v>20.223310000000001</v>
      </c>
      <c r="AG37" s="31">
        <v>0.13100000000000001</v>
      </c>
    </row>
    <row r="38" spans="1:33">
      <c r="A38" t="s">
        <v>1396</v>
      </c>
      <c r="B38" t="s">
        <v>3836</v>
      </c>
      <c r="C38" t="s">
        <v>3835</v>
      </c>
      <c r="D38" t="s">
        <v>354</v>
      </c>
      <c r="F38">
        <v>4.1924640000000002</v>
      </c>
      <c r="G38">
        <v>5.8914809999999997</v>
      </c>
      <c r="H38">
        <v>7.6703409999999996</v>
      </c>
      <c r="I38">
        <v>9.5434889999999992</v>
      </c>
      <c r="J38">
        <v>11.124254000000001</v>
      </c>
      <c r="K38">
        <v>11.991493999999999</v>
      </c>
      <c r="L38">
        <v>13.084279</v>
      </c>
      <c r="M38">
        <v>14.082079</v>
      </c>
      <c r="N38">
        <v>15.049269000000001</v>
      </c>
      <c r="O38">
        <v>15.452567</v>
      </c>
      <c r="P38">
        <v>15.984983</v>
      </c>
      <c r="Q38">
        <v>16.687376</v>
      </c>
      <c r="R38">
        <v>17.285817999999999</v>
      </c>
      <c r="S38">
        <v>17.858335</v>
      </c>
      <c r="T38">
        <v>18.421806</v>
      </c>
      <c r="U38">
        <v>18.996234999999999</v>
      </c>
      <c r="V38">
        <v>19.531008</v>
      </c>
      <c r="W38">
        <v>20.004892000000002</v>
      </c>
      <c r="X38">
        <v>20.42041</v>
      </c>
      <c r="Y38">
        <v>20.788675000000001</v>
      </c>
      <c r="Z38">
        <v>21.110195000000001</v>
      </c>
      <c r="AA38">
        <v>21.394814</v>
      </c>
      <c r="AB38">
        <v>21.633738000000001</v>
      </c>
      <c r="AC38">
        <v>21.838570000000001</v>
      </c>
      <c r="AD38">
        <v>21.998823000000002</v>
      </c>
      <c r="AE38">
        <v>22.126593</v>
      </c>
      <c r="AF38">
        <v>22.237839000000001</v>
      </c>
      <c r="AG38" s="31">
        <v>6.6000000000000003E-2</v>
      </c>
    </row>
    <row r="39" spans="1:33">
      <c r="A39" t="s">
        <v>1393</v>
      </c>
      <c r="B39" t="s">
        <v>3834</v>
      </c>
      <c r="C39" t="s">
        <v>3833</v>
      </c>
      <c r="D39" t="s">
        <v>354</v>
      </c>
      <c r="F39">
        <v>0.32230900000000001</v>
      </c>
      <c r="G39">
        <v>1.851834</v>
      </c>
      <c r="H39">
        <v>2.6969889999999999</v>
      </c>
      <c r="I39">
        <v>4.3587879999999997</v>
      </c>
      <c r="J39">
        <v>5.7041029999999999</v>
      </c>
      <c r="K39">
        <v>6.4359929999999999</v>
      </c>
      <c r="L39">
        <v>8.4075070000000007</v>
      </c>
      <c r="M39">
        <v>10.101279</v>
      </c>
      <c r="N39">
        <v>11.645075</v>
      </c>
      <c r="O39">
        <v>12.566533</v>
      </c>
      <c r="P39">
        <v>13.5581</v>
      </c>
      <c r="Q39">
        <v>14.671455</v>
      </c>
      <c r="R39">
        <v>16.208925000000001</v>
      </c>
      <c r="S39">
        <v>17.564458999999999</v>
      </c>
      <c r="T39">
        <v>18.792206</v>
      </c>
      <c r="U39">
        <v>19.928404</v>
      </c>
      <c r="V39">
        <v>20.986340999999999</v>
      </c>
      <c r="W39">
        <v>21.950378000000001</v>
      </c>
      <c r="X39">
        <v>22.819808999999999</v>
      </c>
      <c r="Y39">
        <v>23.601445999999999</v>
      </c>
      <c r="Z39">
        <v>24.294333999999999</v>
      </c>
      <c r="AA39">
        <v>24.915222</v>
      </c>
      <c r="AB39">
        <v>25.457241</v>
      </c>
      <c r="AC39">
        <v>25.933025000000001</v>
      </c>
      <c r="AD39">
        <v>26.338175</v>
      </c>
      <c r="AE39">
        <v>26.691368000000001</v>
      </c>
      <c r="AF39">
        <v>27.016743000000002</v>
      </c>
      <c r="AG39" s="31">
        <v>0.186</v>
      </c>
    </row>
    <row r="40" spans="1:33">
      <c r="A40" t="s">
        <v>363</v>
      </c>
      <c r="B40" t="s">
        <v>3832</v>
      </c>
      <c r="C40" t="s">
        <v>3831</v>
      </c>
      <c r="D40" t="s">
        <v>354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117</v>
      </c>
    </row>
    <row r="41" spans="1:33">
      <c r="A41" t="s">
        <v>364</v>
      </c>
      <c r="B41" t="s">
        <v>3830</v>
      </c>
      <c r="C41" t="s">
        <v>3829</v>
      </c>
      <c r="D41" t="s">
        <v>354</v>
      </c>
      <c r="F41">
        <v>15.407301</v>
      </c>
      <c r="G41">
        <v>20.114885000000001</v>
      </c>
      <c r="H41">
        <v>24.122402000000001</v>
      </c>
      <c r="I41">
        <v>27.365428999999999</v>
      </c>
      <c r="J41">
        <v>30.040512</v>
      </c>
      <c r="K41">
        <v>32.459057000000001</v>
      </c>
      <c r="L41">
        <v>35.517628000000002</v>
      </c>
      <c r="M41">
        <v>38.00544</v>
      </c>
      <c r="N41">
        <v>40.117142000000001</v>
      </c>
      <c r="O41">
        <v>42.640469000000003</v>
      </c>
      <c r="P41">
        <v>44.712710999999999</v>
      </c>
      <c r="Q41">
        <v>46.627659000000001</v>
      </c>
      <c r="R41">
        <v>48.381141999999997</v>
      </c>
      <c r="S41">
        <v>49.976920999999997</v>
      </c>
      <c r="T41">
        <v>51.446953000000001</v>
      </c>
      <c r="U41">
        <v>52.814025999999998</v>
      </c>
      <c r="V41">
        <v>54.124352000000002</v>
      </c>
      <c r="W41">
        <v>55.344963</v>
      </c>
      <c r="X41">
        <v>56.482185000000001</v>
      </c>
      <c r="Y41">
        <v>57.488585999999998</v>
      </c>
      <c r="Z41">
        <v>58.495201000000002</v>
      </c>
      <c r="AA41">
        <v>59.497978000000003</v>
      </c>
      <c r="AB41">
        <v>60.476295</v>
      </c>
      <c r="AC41">
        <v>61.485249000000003</v>
      </c>
      <c r="AD41">
        <v>62.405929999999998</v>
      </c>
      <c r="AE41">
        <v>63.283347999999997</v>
      </c>
      <c r="AF41">
        <v>64.040115</v>
      </c>
      <c r="AG41" s="31">
        <v>5.6000000000000001E-2</v>
      </c>
    </row>
    <row r="42" spans="1:33">
      <c r="A42" t="s">
        <v>365</v>
      </c>
      <c r="B42" t="s">
        <v>3828</v>
      </c>
      <c r="C42" t="s">
        <v>3827</v>
      </c>
      <c r="D42" t="s">
        <v>354</v>
      </c>
      <c r="F42">
        <v>0.21793299999999999</v>
      </c>
      <c r="G42">
        <v>0.201991</v>
      </c>
      <c r="H42">
        <v>0.18246699999999999</v>
      </c>
      <c r="I42">
        <v>0.16403599999999999</v>
      </c>
      <c r="J42">
        <v>0.155032</v>
      </c>
      <c r="K42">
        <v>0.168796</v>
      </c>
      <c r="L42">
        <v>0.15778300000000001</v>
      </c>
      <c r="M42">
        <v>0.14726900000000001</v>
      </c>
      <c r="N42">
        <v>0.13727900000000001</v>
      </c>
      <c r="O42">
        <v>0.127882</v>
      </c>
      <c r="P42">
        <v>0.1191</v>
      </c>
      <c r="Q42">
        <v>6.5440999999999999E-2</v>
      </c>
      <c r="R42">
        <v>6.0597999999999999E-2</v>
      </c>
      <c r="S42">
        <v>5.6689999999999997E-2</v>
      </c>
      <c r="T42">
        <v>4.9868000000000003E-2</v>
      </c>
      <c r="U42">
        <v>4.6794000000000002E-2</v>
      </c>
      <c r="V42">
        <v>4.3910999999999999E-2</v>
      </c>
      <c r="W42">
        <v>4.1206E-2</v>
      </c>
      <c r="X42">
        <v>3.8669000000000002E-2</v>
      </c>
      <c r="Y42">
        <v>3.6288000000000001E-2</v>
      </c>
      <c r="Z42">
        <v>3.4054000000000001E-2</v>
      </c>
      <c r="AA42">
        <v>3.1958E-2</v>
      </c>
      <c r="AB42">
        <v>2.9992000000000001E-2</v>
      </c>
      <c r="AC42">
        <v>2.8146999999999998E-2</v>
      </c>
      <c r="AD42">
        <v>2.6415999999999999E-2</v>
      </c>
      <c r="AE42">
        <v>2.4792000000000002E-2</v>
      </c>
      <c r="AF42">
        <v>2.3268E-2</v>
      </c>
      <c r="AG42" s="31">
        <v>-8.2000000000000003E-2</v>
      </c>
    </row>
    <row r="43" spans="1:33">
      <c r="A43" t="s">
        <v>366</v>
      </c>
      <c r="B43" t="s">
        <v>3826</v>
      </c>
      <c r="C43" t="s">
        <v>3825</v>
      </c>
      <c r="D43" t="s">
        <v>354</v>
      </c>
      <c r="F43">
        <v>0.136991</v>
      </c>
      <c r="G43">
        <v>0.12851199999999999</v>
      </c>
      <c r="H43">
        <v>0.120559</v>
      </c>
      <c r="I43">
        <v>0.11310000000000001</v>
      </c>
      <c r="J43">
        <v>0.106105</v>
      </c>
      <c r="K43">
        <v>9.9543000000000006E-2</v>
      </c>
      <c r="L43">
        <v>9.3389E-2</v>
      </c>
      <c r="M43">
        <v>8.7617E-2</v>
      </c>
      <c r="N43">
        <v>8.2202999999999998E-2</v>
      </c>
      <c r="O43">
        <v>7.7123999999999998E-2</v>
      </c>
      <c r="P43">
        <v>7.2360999999999995E-2</v>
      </c>
      <c r="Q43">
        <v>6.7892999999999995E-2</v>
      </c>
      <c r="R43">
        <v>6.3700999999999994E-2</v>
      </c>
      <c r="S43">
        <v>5.9769999999999997E-2</v>
      </c>
      <c r="T43">
        <v>5.6082E-2</v>
      </c>
      <c r="U43">
        <v>5.2622000000000002E-2</v>
      </c>
      <c r="V43">
        <v>4.9376000000000003E-2</v>
      </c>
      <c r="W43">
        <v>4.6331999999999998E-2</v>
      </c>
      <c r="X43">
        <v>4.3476000000000001E-2</v>
      </c>
      <c r="Y43">
        <v>4.0795999999999999E-2</v>
      </c>
      <c r="Z43">
        <v>3.8282999999999998E-2</v>
      </c>
      <c r="AA43">
        <v>3.5923999999999998E-2</v>
      </c>
      <c r="AB43">
        <v>3.3711999999999999E-2</v>
      </c>
      <c r="AC43">
        <v>3.1635999999999997E-2</v>
      </c>
      <c r="AD43">
        <v>2.9689E-2</v>
      </c>
      <c r="AE43">
        <v>2.7861E-2</v>
      </c>
      <c r="AF43">
        <v>2.6147E-2</v>
      </c>
      <c r="AG43" s="31">
        <v>-6.2E-2</v>
      </c>
    </row>
    <row r="44" spans="1:33">
      <c r="A44" t="s">
        <v>367</v>
      </c>
      <c r="B44" t="s">
        <v>3824</v>
      </c>
      <c r="C44" t="s">
        <v>3823</v>
      </c>
      <c r="D44" t="s">
        <v>354</v>
      </c>
      <c r="F44">
        <v>0.34328799999999998</v>
      </c>
      <c r="G44">
        <v>0.31584600000000002</v>
      </c>
      <c r="H44">
        <v>0.29075400000000001</v>
      </c>
      <c r="I44">
        <v>0.26763300000000001</v>
      </c>
      <c r="J44">
        <v>0.25107499999999999</v>
      </c>
      <c r="K44">
        <v>0.235544</v>
      </c>
      <c r="L44">
        <v>0.22097800000000001</v>
      </c>
      <c r="M44">
        <v>0.207316</v>
      </c>
      <c r="N44">
        <v>0.19450200000000001</v>
      </c>
      <c r="O44">
        <v>0.18248200000000001</v>
      </c>
      <c r="P44">
        <v>0.171208</v>
      </c>
      <c r="Q44">
        <v>0.160633</v>
      </c>
      <c r="R44">
        <v>0.15071399999999999</v>
      </c>
      <c r="S44">
        <v>0.14141000000000001</v>
      </c>
      <c r="T44">
        <v>0.13268099999999999</v>
      </c>
      <c r="U44">
        <v>0.12449399999999999</v>
      </c>
      <c r="V44">
        <v>0.116814</v>
      </c>
      <c r="W44">
        <v>0.109609</v>
      </c>
      <c r="X44">
        <v>0.10285</v>
      </c>
      <c r="Y44">
        <v>9.6509999999999999E-2</v>
      </c>
      <c r="Z44">
        <v>9.0561000000000003E-2</v>
      </c>
      <c r="AA44">
        <v>8.4981000000000001E-2</v>
      </c>
      <c r="AB44">
        <v>7.9745999999999997E-2</v>
      </c>
      <c r="AC44">
        <v>7.4833999999999998E-2</v>
      </c>
      <c r="AD44">
        <v>7.0226999999999998E-2</v>
      </c>
      <c r="AE44">
        <v>6.5903000000000003E-2</v>
      </c>
      <c r="AF44">
        <v>6.1846999999999999E-2</v>
      </c>
      <c r="AG44" s="31">
        <v>-6.4000000000000001E-2</v>
      </c>
    </row>
    <row r="45" spans="1:33">
      <c r="A45" t="s">
        <v>368</v>
      </c>
      <c r="B45" t="s">
        <v>3822</v>
      </c>
      <c r="C45" t="s">
        <v>3821</v>
      </c>
      <c r="D45" t="s">
        <v>354</v>
      </c>
      <c r="F45">
        <v>0.32132500000000003</v>
      </c>
      <c r="G45">
        <v>0.30143500000000001</v>
      </c>
      <c r="H45">
        <v>0.28278199999999998</v>
      </c>
      <c r="I45">
        <v>0.26528600000000002</v>
      </c>
      <c r="J45">
        <v>0.24887699999999999</v>
      </c>
      <c r="K45">
        <v>0.233487</v>
      </c>
      <c r="L45">
        <v>0.219052</v>
      </c>
      <c r="M45">
        <v>0.205513</v>
      </c>
      <c r="N45">
        <v>0.19281300000000001</v>
      </c>
      <c r="O45">
        <v>0.18090100000000001</v>
      </c>
      <c r="P45">
        <v>0.16972799999999999</v>
      </c>
      <c r="Q45">
        <v>0.159247</v>
      </c>
      <c r="R45">
        <v>0.14941599999999999</v>
      </c>
      <c r="S45">
        <v>0.14019400000000001</v>
      </c>
      <c r="T45">
        <v>0.13154299999999999</v>
      </c>
      <c r="U45">
        <v>0.123428</v>
      </c>
      <c r="V45">
        <v>0.115816</v>
      </c>
      <c r="W45">
        <v>0.10867400000000001</v>
      </c>
      <c r="X45">
        <v>0.101975</v>
      </c>
      <c r="Y45">
        <v>9.5689999999999997E-2</v>
      </c>
      <c r="Z45">
        <v>8.9793999999999999E-2</v>
      </c>
      <c r="AA45">
        <v>8.4262000000000004E-2</v>
      </c>
      <c r="AB45">
        <v>7.9073000000000004E-2</v>
      </c>
      <c r="AC45">
        <v>7.4204000000000006E-2</v>
      </c>
      <c r="AD45">
        <v>6.9636000000000003E-2</v>
      </c>
      <c r="AE45">
        <v>6.5351000000000006E-2</v>
      </c>
      <c r="AF45">
        <v>6.1330000000000003E-2</v>
      </c>
      <c r="AG45" s="31">
        <v>-6.2E-2</v>
      </c>
    </row>
    <row r="46" spans="1:33">
      <c r="A46" t="s">
        <v>369</v>
      </c>
      <c r="B46" t="s">
        <v>3820</v>
      </c>
      <c r="C46" t="s">
        <v>3819</v>
      </c>
      <c r="D46" t="s">
        <v>354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117</v>
      </c>
    </row>
    <row r="47" spans="1:33">
      <c r="A47" t="s">
        <v>370</v>
      </c>
      <c r="B47" t="s">
        <v>3818</v>
      </c>
      <c r="C47" t="s">
        <v>3817</v>
      </c>
      <c r="D47" t="s">
        <v>354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117</v>
      </c>
    </row>
    <row r="48" spans="1:33">
      <c r="A48" t="s">
        <v>376</v>
      </c>
      <c r="B48" t="s">
        <v>3816</v>
      </c>
      <c r="C48" t="s">
        <v>3815</v>
      </c>
      <c r="D48" t="s">
        <v>354</v>
      </c>
      <c r="F48">
        <v>109.389259</v>
      </c>
      <c r="G48">
        <v>108.251884</v>
      </c>
      <c r="H48">
        <v>110.39428700000001</v>
      </c>
      <c r="I48">
        <v>113.884682</v>
      </c>
      <c r="J48">
        <v>116.828896</v>
      </c>
      <c r="K48">
        <v>118.24791</v>
      </c>
      <c r="L48">
        <v>120.24163799999999</v>
      </c>
      <c r="M48">
        <v>121.750832</v>
      </c>
      <c r="N48">
        <v>123.417427</v>
      </c>
      <c r="O48">
        <v>123.785645</v>
      </c>
      <c r="P48">
        <v>125.513824</v>
      </c>
      <c r="Q48">
        <v>127.44216900000001</v>
      </c>
      <c r="R48">
        <v>129.84068300000001</v>
      </c>
      <c r="S48">
        <v>132.354736</v>
      </c>
      <c r="T48">
        <v>134.621567</v>
      </c>
      <c r="U48">
        <v>137.08647199999999</v>
      </c>
      <c r="V48">
        <v>139.86677599999999</v>
      </c>
      <c r="W48">
        <v>142.50079299999999</v>
      </c>
      <c r="X48">
        <v>144.83251999999999</v>
      </c>
      <c r="Y48">
        <v>146.98876999999999</v>
      </c>
      <c r="Z48">
        <v>149.37896699999999</v>
      </c>
      <c r="AA48">
        <v>151.08345</v>
      </c>
      <c r="AB48">
        <v>152.985443</v>
      </c>
      <c r="AC48">
        <v>154.81652800000001</v>
      </c>
      <c r="AD48">
        <v>156.416763</v>
      </c>
      <c r="AE48">
        <v>157.89532500000001</v>
      </c>
      <c r="AF48">
        <v>159.23019400000001</v>
      </c>
      <c r="AG48" s="31">
        <v>1.4999999999999999E-2</v>
      </c>
    </row>
    <row r="49" spans="1:33">
      <c r="A49" t="s">
        <v>377</v>
      </c>
      <c r="B49" t="s">
        <v>3814</v>
      </c>
      <c r="C49" t="s">
        <v>3813</v>
      </c>
      <c r="D49" t="s">
        <v>354</v>
      </c>
      <c r="F49">
        <v>753.48840299999995</v>
      </c>
      <c r="G49">
        <v>749.64691200000004</v>
      </c>
      <c r="H49">
        <v>754.27081299999998</v>
      </c>
      <c r="I49">
        <v>754.634277</v>
      </c>
      <c r="J49">
        <v>750.60998500000005</v>
      </c>
      <c r="K49">
        <v>743.702271</v>
      </c>
      <c r="L49">
        <v>733.97534199999996</v>
      </c>
      <c r="M49">
        <v>722.92730700000004</v>
      </c>
      <c r="N49">
        <v>712.10644500000001</v>
      </c>
      <c r="O49">
        <v>705.98364300000003</v>
      </c>
      <c r="P49">
        <v>699.20935099999997</v>
      </c>
      <c r="Q49">
        <v>694.12390100000005</v>
      </c>
      <c r="R49">
        <v>687.44140600000003</v>
      </c>
      <c r="S49">
        <v>679.20788600000003</v>
      </c>
      <c r="T49">
        <v>671.87933299999997</v>
      </c>
      <c r="U49">
        <v>665.62261999999998</v>
      </c>
      <c r="V49">
        <v>661.16503899999998</v>
      </c>
      <c r="W49">
        <v>656.76538100000005</v>
      </c>
      <c r="X49">
        <v>651.16149900000005</v>
      </c>
      <c r="Y49">
        <v>648.85022000000004</v>
      </c>
      <c r="Z49">
        <v>643.83593800000006</v>
      </c>
      <c r="AA49">
        <v>641.06591800000001</v>
      </c>
      <c r="AB49">
        <v>636.94049099999995</v>
      </c>
      <c r="AC49">
        <v>632.81237799999997</v>
      </c>
      <c r="AD49">
        <v>626.93432600000006</v>
      </c>
      <c r="AE49">
        <v>622.12097200000005</v>
      </c>
      <c r="AF49">
        <v>617.53417999999999</v>
      </c>
      <c r="AG49" s="31">
        <v>-8.0000000000000002E-3</v>
      </c>
    </row>
    <row r="50" spans="1:33">
      <c r="A50" t="s">
        <v>300</v>
      </c>
      <c r="B50" t="s">
        <v>3812</v>
      </c>
      <c r="C50" t="s">
        <v>3811</v>
      </c>
      <c r="D50" t="s">
        <v>354</v>
      </c>
      <c r="F50">
        <v>1015.105713</v>
      </c>
      <c r="G50">
        <v>999.82299799999998</v>
      </c>
      <c r="H50">
        <v>994.37432899999999</v>
      </c>
      <c r="I50">
        <v>981.76867700000003</v>
      </c>
      <c r="J50">
        <v>965.65637200000003</v>
      </c>
      <c r="K50">
        <v>948.64898700000003</v>
      </c>
      <c r="L50">
        <v>930.70922900000005</v>
      </c>
      <c r="M50">
        <v>910.47155799999996</v>
      </c>
      <c r="N50">
        <v>891.13891599999999</v>
      </c>
      <c r="O50">
        <v>877.81738299999995</v>
      </c>
      <c r="P50">
        <v>869.22705099999996</v>
      </c>
      <c r="Q50">
        <v>859.28539999999998</v>
      </c>
      <c r="R50">
        <v>845.96466099999998</v>
      </c>
      <c r="S50">
        <v>832.80364999999995</v>
      </c>
      <c r="T50">
        <v>822.06066899999996</v>
      </c>
      <c r="U50">
        <v>812.100098</v>
      </c>
      <c r="V50">
        <v>803.88867200000004</v>
      </c>
      <c r="W50">
        <v>796.77294900000004</v>
      </c>
      <c r="X50">
        <v>788.26873799999998</v>
      </c>
      <c r="Y50">
        <v>784.777466</v>
      </c>
      <c r="Z50">
        <v>777.07208300000002</v>
      </c>
      <c r="AA50">
        <v>772.80291699999998</v>
      </c>
      <c r="AB50">
        <v>766.77484100000004</v>
      </c>
      <c r="AC50">
        <v>761.40667699999995</v>
      </c>
      <c r="AD50">
        <v>752.68151899999998</v>
      </c>
      <c r="AE50">
        <v>745.58392300000003</v>
      </c>
      <c r="AF50">
        <v>739.60522500000002</v>
      </c>
      <c r="AG50" s="31">
        <v>-1.2E-2</v>
      </c>
    </row>
    <row r="51" spans="1:33" s="29" customFormat="1">
      <c r="A51" s="29" t="s">
        <v>313</v>
      </c>
      <c r="B51" s="29" t="s">
        <v>3810</v>
      </c>
      <c r="C51" s="29" t="s">
        <v>3809</v>
      </c>
      <c r="D51" s="29" t="s">
        <v>354</v>
      </c>
      <c r="F51" s="29">
        <v>479.030304</v>
      </c>
      <c r="G51" s="29">
        <v>472.32620200000002</v>
      </c>
      <c r="H51" s="29">
        <v>468.83221400000002</v>
      </c>
      <c r="I51" s="29">
        <v>467.09814499999999</v>
      </c>
      <c r="J51" s="29">
        <v>464.49154700000003</v>
      </c>
      <c r="K51" s="29">
        <v>461.24588</v>
      </c>
      <c r="L51" s="29">
        <v>457.02804600000002</v>
      </c>
      <c r="M51" s="29">
        <v>451.236694</v>
      </c>
      <c r="N51" s="29">
        <v>444.11825599999997</v>
      </c>
      <c r="O51" s="29">
        <v>435.81512500000002</v>
      </c>
      <c r="P51" s="29">
        <v>426.69754</v>
      </c>
      <c r="Q51" s="29">
        <v>416.422302</v>
      </c>
      <c r="R51" s="29">
        <v>405.35522500000002</v>
      </c>
      <c r="S51" s="29">
        <v>393.38021900000001</v>
      </c>
      <c r="T51" s="29">
        <v>380.61193800000001</v>
      </c>
      <c r="U51" s="29">
        <v>367.42047100000002</v>
      </c>
      <c r="V51" s="29">
        <v>354.091949</v>
      </c>
      <c r="W51" s="29">
        <v>340.10186800000002</v>
      </c>
      <c r="X51" s="29">
        <v>326.02890000000002</v>
      </c>
      <c r="Y51" s="29">
        <v>311.65896600000002</v>
      </c>
      <c r="Z51" s="29">
        <v>297.58203099999997</v>
      </c>
      <c r="AA51" s="29">
        <v>283.65835600000003</v>
      </c>
      <c r="AB51" s="29">
        <v>269.96582000000001</v>
      </c>
      <c r="AC51" s="29">
        <v>256.572632</v>
      </c>
      <c r="AD51" s="29">
        <v>243.59402499999999</v>
      </c>
      <c r="AE51" s="29">
        <v>230.96719400000001</v>
      </c>
      <c r="AF51" s="29">
        <v>218.42773399999999</v>
      </c>
      <c r="AG51" s="193">
        <v>-0.03</v>
      </c>
    </row>
    <row r="52" spans="1:33">
      <c r="A52" t="s">
        <v>327</v>
      </c>
      <c r="B52" t="s">
        <v>3808</v>
      </c>
      <c r="C52" t="s">
        <v>3807</v>
      </c>
      <c r="D52" t="s">
        <v>354</v>
      </c>
      <c r="F52">
        <v>259.73092700000001</v>
      </c>
      <c r="G52">
        <v>246.74624600000001</v>
      </c>
      <c r="H52">
        <v>233.65933200000001</v>
      </c>
      <c r="I52">
        <v>222.63949600000001</v>
      </c>
      <c r="J52">
        <v>210.52593999999999</v>
      </c>
      <c r="K52">
        <v>198.44125399999999</v>
      </c>
      <c r="L52">
        <v>187.82809399999999</v>
      </c>
      <c r="M52">
        <v>176.83654799999999</v>
      </c>
      <c r="N52">
        <v>165.99546799999999</v>
      </c>
      <c r="O52">
        <v>155.70768699999999</v>
      </c>
      <c r="P52">
        <v>145.472443</v>
      </c>
      <c r="Q52">
        <v>135.4897</v>
      </c>
      <c r="R52">
        <v>125.976929</v>
      </c>
      <c r="S52">
        <v>117.193405</v>
      </c>
      <c r="T52">
        <v>109.041763</v>
      </c>
      <c r="U52">
        <v>101.510696</v>
      </c>
      <c r="V52">
        <v>94.802498</v>
      </c>
      <c r="W52">
        <v>87.939010999999994</v>
      </c>
      <c r="X52">
        <v>81.827171000000007</v>
      </c>
      <c r="Y52">
        <v>76.176413999999994</v>
      </c>
      <c r="Z52">
        <v>70.805817000000005</v>
      </c>
      <c r="AA52">
        <v>65.785895999999994</v>
      </c>
      <c r="AB52">
        <v>61.069122</v>
      </c>
      <c r="AC52">
        <v>56.668509999999998</v>
      </c>
      <c r="AD52">
        <v>52.409759999999999</v>
      </c>
      <c r="AE52">
        <v>48.369208999999998</v>
      </c>
      <c r="AF52">
        <v>44.395896999999998</v>
      </c>
      <c r="AG52" s="31">
        <v>-6.6000000000000003E-2</v>
      </c>
    </row>
    <row r="53" spans="1:33">
      <c r="A53" t="s">
        <v>308</v>
      </c>
      <c r="B53" t="s">
        <v>3806</v>
      </c>
      <c r="C53" t="s">
        <v>3805</v>
      </c>
      <c r="D53" t="s">
        <v>354</v>
      </c>
      <c r="F53">
        <v>1.0250000000000001E-3</v>
      </c>
      <c r="G53">
        <v>1.3290000000000001E-3</v>
      </c>
      <c r="H53">
        <v>1.686E-3</v>
      </c>
      <c r="I53">
        <v>2.0939999999999999E-3</v>
      </c>
      <c r="J53">
        <v>2.506E-3</v>
      </c>
      <c r="K53">
        <v>2.9390000000000002E-3</v>
      </c>
      <c r="L53">
        <v>3.359E-3</v>
      </c>
      <c r="M53">
        <v>3.686E-3</v>
      </c>
      <c r="N53">
        <v>4.0039999999999997E-3</v>
      </c>
      <c r="O53">
        <v>4.2830000000000003E-3</v>
      </c>
      <c r="P53">
        <v>4.5339999999999998E-3</v>
      </c>
      <c r="Q53">
        <v>4.7619999999999997E-3</v>
      </c>
      <c r="R53">
        <v>4.9760000000000004E-3</v>
      </c>
      <c r="S53">
        <v>5.1679999999999999E-3</v>
      </c>
      <c r="T53">
        <v>5.3449999999999999E-3</v>
      </c>
      <c r="U53">
        <v>5.5059999999999996E-3</v>
      </c>
      <c r="V53">
        <v>5.6420000000000003E-3</v>
      </c>
      <c r="W53">
        <v>5.7540000000000004E-3</v>
      </c>
      <c r="X53">
        <v>5.8479999999999999E-3</v>
      </c>
      <c r="Y53">
        <v>5.9199999999999999E-3</v>
      </c>
      <c r="Z53">
        <v>5.9769999999999997E-3</v>
      </c>
      <c r="AA53">
        <v>6.019E-3</v>
      </c>
      <c r="AB53">
        <v>6.0489999999999997E-3</v>
      </c>
      <c r="AC53">
        <v>6.0699999999999999E-3</v>
      </c>
      <c r="AD53">
        <v>6.0790000000000002E-3</v>
      </c>
      <c r="AE53">
        <v>6.0800000000000003E-3</v>
      </c>
      <c r="AF53">
        <v>6.0730000000000003E-3</v>
      </c>
      <c r="AG53" s="31">
        <v>7.0999999999999994E-2</v>
      </c>
    </row>
    <row r="54" spans="1:33">
      <c r="A54" t="s">
        <v>307</v>
      </c>
      <c r="B54" t="s">
        <v>3804</v>
      </c>
      <c r="C54" t="s">
        <v>3803</v>
      </c>
      <c r="D54" t="s">
        <v>354</v>
      </c>
      <c r="F54">
        <v>1.3639239999999999</v>
      </c>
      <c r="G54">
        <v>1.696769</v>
      </c>
      <c r="H54">
        <v>2.1010930000000001</v>
      </c>
      <c r="I54">
        <v>2.5268739999999998</v>
      </c>
      <c r="J54">
        <v>2.9791300000000001</v>
      </c>
      <c r="K54">
        <v>3.5089809999999999</v>
      </c>
      <c r="L54">
        <v>4.0691170000000003</v>
      </c>
      <c r="M54">
        <v>4.5565810000000004</v>
      </c>
      <c r="N54">
        <v>5.0722300000000002</v>
      </c>
      <c r="O54">
        <v>5.5800280000000004</v>
      </c>
      <c r="P54">
        <v>6.1040279999999996</v>
      </c>
      <c r="Q54">
        <v>6.6120320000000001</v>
      </c>
      <c r="R54">
        <v>7.1249989999999999</v>
      </c>
      <c r="S54">
        <v>7.6691880000000001</v>
      </c>
      <c r="T54">
        <v>8.2990159999999999</v>
      </c>
      <c r="U54">
        <v>9.0218500000000006</v>
      </c>
      <c r="V54">
        <v>9.8359710000000007</v>
      </c>
      <c r="W54">
        <v>10.729392000000001</v>
      </c>
      <c r="X54">
        <v>11.65292</v>
      </c>
      <c r="Y54">
        <v>12.597633999999999</v>
      </c>
      <c r="Z54">
        <v>13.58042</v>
      </c>
      <c r="AA54">
        <v>14.560661</v>
      </c>
      <c r="AB54">
        <v>15.533315999999999</v>
      </c>
      <c r="AC54">
        <v>16.514009000000001</v>
      </c>
      <c r="AD54">
        <v>17.471374999999998</v>
      </c>
      <c r="AE54">
        <v>18.412834</v>
      </c>
      <c r="AF54">
        <v>19.309812999999998</v>
      </c>
      <c r="AG54" s="31">
        <v>0.107</v>
      </c>
    </row>
    <row r="55" spans="1:33" s="29" customFormat="1">
      <c r="A55" s="29" t="s">
        <v>378</v>
      </c>
      <c r="B55" s="29" t="s">
        <v>3802</v>
      </c>
      <c r="C55" s="29" t="s">
        <v>3801</v>
      </c>
      <c r="D55" s="29" t="s">
        <v>354</v>
      </c>
      <c r="F55" s="29">
        <v>133.17918399999999</v>
      </c>
      <c r="G55" s="29">
        <v>133.04710399999999</v>
      </c>
      <c r="H55" s="29">
        <v>132.12832599999999</v>
      </c>
      <c r="I55" s="29">
        <v>132.41296399999999</v>
      </c>
      <c r="J55" s="29">
        <v>131.85095200000001</v>
      </c>
      <c r="K55" s="29">
        <v>131.784561</v>
      </c>
      <c r="L55" s="29">
        <v>130.83137500000001</v>
      </c>
      <c r="M55" s="29">
        <v>129.55261200000001</v>
      </c>
      <c r="N55" s="29">
        <v>127.840248</v>
      </c>
      <c r="O55" s="29">
        <v>126.098198</v>
      </c>
      <c r="P55" s="29">
        <v>124.182785</v>
      </c>
      <c r="Q55" s="29">
        <v>122.397232</v>
      </c>
      <c r="R55" s="29">
        <v>120.739609</v>
      </c>
      <c r="S55" s="29">
        <v>119.288612</v>
      </c>
      <c r="T55" s="29">
        <v>117.994598</v>
      </c>
      <c r="U55" s="29">
        <v>116.77196499999999</v>
      </c>
      <c r="V55" s="29">
        <v>115.67568199999999</v>
      </c>
      <c r="W55" s="29">
        <v>114.443459</v>
      </c>
      <c r="X55" s="29">
        <v>113.33994300000001</v>
      </c>
      <c r="Y55" s="29">
        <v>112.02016399999999</v>
      </c>
      <c r="Z55" s="29">
        <v>110.767242</v>
      </c>
      <c r="AA55" s="29">
        <v>109.35449199999999</v>
      </c>
      <c r="AB55" s="29">
        <v>107.97384599999999</v>
      </c>
      <c r="AC55" s="29">
        <v>106.46241000000001</v>
      </c>
      <c r="AD55" s="29">
        <v>105.003998</v>
      </c>
      <c r="AE55" s="29">
        <v>103.445953</v>
      </c>
      <c r="AF55" s="29">
        <v>101.910904</v>
      </c>
      <c r="AG55" s="193">
        <v>-0.01</v>
      </c>
    </row>
    <row r="56" spans="1:33">
      <c r="A56" t="s">
        <v>379</v>
      </c>
      <c r="B56" t="s">
        <v>3800</v>
      </c>
      <c r="C56" t="s">
        <v>3799</v>
      </c>
      <c r="D56" t="s">
        <v>354</v>
      </c>
      <c r="F56">
        <v>1.0697620000000001</v>
      </c>
      <c r="G56">
        <v>1.5460320000000001</v>
      </c>
      <c r="H56">
        <v>2.0528270000000002</v>
      </c>
      <c r="I56">
        <v>2.5784720000000001</v>
      </c>
      <c r="J56">
        <v>3.0858819999999998</v>
      </c>
      <c r="K56">
        <v>3.5337329999999998</v>
      </c>
      <c r="L56">
        <v>3.9535309999999999</v>
      </c>
      <c r="M56">
        <v>4.3923189999999996</v>
      </c>
      <c r="N56">
        <v>4.8786550000000002</v>
      </c>
      <c r="O56">
        <v>5.3824829999999997</v>
      </c>
      <c r="P56">
        <v>5.9551249999999998</v>
      </c>
      <c r="Q56">
        <v>6.6463650000000003</v>
      </c>
      <c r="R56">
        <v>7.4508869999999998</v>
      </c>
      <c r="S56">
        <v>8.365183</v>
      </c>
      <c r="T56">
        <v>9.3746519999999993</v>
      </c>
      <c r="U56">
        <v>10.466586</v>
      </c>
      <c r="V56">
        <v>11.611726000000001</v>
      </c>
      <c r="W56">
        <v>12.827472</v>
      </c>
      <c r="X56">
        <v>14.085024000000001</v>
      </c>
      <c r="Y56">
        <v>15.387928</v>
      </c>
      <c r="Z56">
        <v>16.711383999999999</v>
      </c>
      <c r="AA56">
        <v>18.014879000000001</v>
      </c>
      <c r="AB56">
        <v>19.292100999999999</v>
      </c>
      <c r="AC56">
        <v>20.535920999999998</v>
      </c>
      <c r="AD56">
        <v>21.704832</v>
      </c>
      <c r="AE56">
        <v>22.812386</v>
      </c>
      <c r="AF56">
        <v>23.858601</v>
      </c>
      <c r="AG56" s="31">
        <v>0.127</v>
      </c>
    </row>
    <row r="57" spans="1:33">
      <c r="A57" t="s">
        <v>380</v>
      </c>
      <c r="B57" t="s">
        <v>3798</v>
      </c>
      <c r="C57" t="s">
        <v>3797</v>
      </c>
      <c r="D57" t="s">
        <v>354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117</v>
      </c>
    </row>
    <row r="58" spans="1:33">
      <c r="A58" t="s">
        <v>381</v>
      </c>
      <c r="B58" t="s">
        <v>3796</v>
      </c>
      <c r="C58" t="s">
        <v>3795</v>
      </c>
      <c r="D58" t="s">
        <v>354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117</v>
      </c>
    </row>
    <row r="59" spans="1:33">
      <c r="A59" t="s">
        <v>382</v>
      </c>
      <c r="B59" t="s">
        <v>3794</v>
      </c>
      <c r="C59" t="s">
        <v>3793</v>
      </c>
      <c r="D59" t="s">
        <v>354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117</v>
      </c>
    </row>
    <row r="60" spans="1:33">
      <c r="A60" t="s">
        <v>3288</v>
      </c>
      <c r="B60" t="s">
        <v>3792</v>
      </c>
      <c r="C60" t="s">
        <v>3791</v>
      </c>
      <c r="D60" t="s">
        <v>354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117</v>
      </c>
    </row>
    <row r="61" spans="1:33">
      <c r="A61" t="s">
        <v>3285</v>
      </c>
      <c r="B61" t="s">
        <v>3790</v>
      </c>
      <c r="C61" t="s">
        <v>3789</v>
      </c>
      <c r="D61" t="s">
        <v>354</v>
      </c>
      <c r="F61">
        <v>0</v>
      </c>
      <c r="G61">
        <v>0.37575599999999998</v>
      </c>
      <c r="H61">
        <v>0.96518599999999999</v>
      </c>
      <c r="I61">
        <v>1.804783</v>
      </c>
      <c r="J61">
        <v>4.102258</v>
      </c>
      <c r="K61">
        <v>8.0057039999999997</v>
      </c>
      <c r="L61">
        <v>13.33935</v>
      </c>
      <c r="M61">
        <v>20.09</v>
      </c>
      <c r="N61">
        <v>28.109690000000001</v>
      </c>
      <c r="O61">
        <v>37.159942999999998</v>
      </c>
      <c r="P61">
        <v>46.736179</v>
      </c>
      <c r="Q61">
        <v>56.660876999999999</v>
      </c>
      <c r="R61">
        <v>66.501075999999998</v>
      </c>
      <c r="S61">
        <v>76.089493000000004</v>
      </c>
      <c r="T61">
        <v>85.531631000000004</v>
      </c>
      <c r="U61">
        <v>94.734177000000003</v>
      </c>
      <c r="V61">
        <v>103.6996</v>
      </c>
      <c r="W61">
        <v>112.60732299999999</v>
      </c>
      <c r="X61">
        <v>121.18105300000001</v>
      </c>
      <c r="Y61">
        <v>129.41490200000001</v>
      </c>
      <c r="Z61">
        <v>137.420288</v>
      </c>
      <c r="AA61">
        <v>145.15162699999999</v>
      </c>
      <c r="AB61">
        <v>152.58442700000001</v>
      </c>
      <c r="AC61">
        <v>159.73625200000001</v>
      </c>
      <c r="AD61">
        <v>166.34191899999999</v>
      </c>
      <c r="AE61">
        <v>172.59277299999999</v>
      </c>
      <c r="AF61">
        <v>178.77375799999999</v>
      </c>
      <c r="AG61" t="s">
        <v>117</v>
      </c>
    </row>
    <row r="62" spans="1:33">
      <c r="A62" t="s">
        <v>3282</v>
      </c>
      <c r="B62" t="s">
        <v>3788</v>
      </c>
      <c r="C62" t="s">
        <v>3787</v>
      </c>
      <c r="D62" t="s">
        <v>354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117</v>
      </c>
    </row>
    <row r="63" spans="1:33">
      <c r="A63" t="s">
        <v>383</v>
      </c>
      <c r="B63" t="s">
        <v>3786</v>
      </c>
      <c r="C63" t="s">
        <v>3785</v>
      </c>
      <c r="D63" t="s">
        <v>354</v>
      </c>
      <c r="F63">
        <v>874.37518299999999</v>
      </c>
      <c r="G63">
        <v>855.73944100000006</v>
      </c>
      <c r="H63">
        <v>839.740723</v>
      </c>
      <c r="I63">
        <v>829.06286599999999</v>
      </c>
      <c r="J63">
        <v>817.03814699999998</v>
      </c>
      <c r="K63">
        <v>806.52301</v>
      </c>
      <c r="L63">
        <v>797.05285600000002</v>
      </c>
      <c r="M63">
        <v>786.66845699999999</v>
      </c>
      <c r="N63">
        <v>776.01855499999999</v>
      </c>
      <c r="O63">
        <v>765.74780299999998</v>
      </c>
      <c r="P63">
        <v>755.152649</v>
      </c>
      <c r="Q63">
        <v>744.23327600000005</v>
      </c>
      <c r="R63">
        <v>733.15374799999995</v>
      </c>
      <c r="S63">
        <v>721.99121100000002</v>
      </c>
      <c r="T63">
        <v>710.85888699999998</v>
      </c>
      <c r="U63">
        <v>699.93127400000003</v>
      </c>
      <c r="V63">
        <v>689.72308299999997</v>
      </c>
      <c r="W63">
        <v>678.65429700000004</v>
      </c>
      <c r="X63">
        <v>668.12085000000002</v>
      </c>
      <c r="Y63">
        <v>657.26196300000004</v>
      </c>
      <c r="Z63">
        <v>646.87316899999996</v>
      </c>
      <c r="AA63">
        <v>636.53192100000001</v>
      </c>
      <c r="AB63">
        <v>626.42468299999996</v>
      </c>
      <c r="AC63">
        <v>616.49578899999995</v>
      </c>
      <c r="AD63">
        <v>606.53198199999997</v>
      </c>
      <c r="AE63">
        <v>596.60644500000001</v>
      </c>
      <c r="AF63">
        <v>586.68280000000004</v>
      </c>
      <c r="AG63" s="3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9ABDC-5FF9-45E9-AE52-CF130B0A4A14}">
  <dimension ref="A1:AF119"/>
  <sheetViews>
    <sheetView topLeftCell="A31" workbookViewId="0"/>
  </sheetViews>
  <sheetFormatPr defaultRowHeight="15"/>
  <cols>
    <col min="1" max="1" width="27.140625" customWidth="1"/>
    <col min="2" max="2" width="63.42578125" customWidth="1"/>
  </cols>
  <sheetData>
    <row r="1" spans="1:32">
      <c r="A1" t="s">
        <v>2805</v>
      </c>
    </row>
    <row r="2" spans="1:32">
      <c r="A2" t="s">
        <v>5095</v>
      </c>
    </row>
    <row r="3" spans="1:32">
      <c r="A3" t="s">
        <v>5094</v>
      </c>
    </row>
    <row r="4" spans="1:32">
      <c r="A4" t="s">
        <v>302</v>
      </c>
    </row>
    <row r="5" spans="1:32">
      <c r="B5" t="s">
        <v>303</v>
      </c>
      <c r="C5" t="s">
        <v>351</v>
      </c>
      <c r="D5" t="s">
        <v>352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4196</v>
      </c>
    </row>
    <row r="6" spans="1:32">
      <c r="A6" t="s">
        <v>101</v>
      </c>
    </row>
    <row r="7" spans="1:32">
      <c r="A7" t="s">
        <v>100</v>
      </c>
    </row>
    <row r="8" spans="1:32">
      <c r="A8" t="s">
        <v>2809</v>
      </c>
    </row>
    <row r="9" spans="1:32">
      <c r="A9" t="s">
        <v>2810</v>
      </c>
      <c r="B9" t="s">
        <v>5093</v>
      </c>
      <c r="C9" t="s">
        <v>5092</v>
      </c>
      <c r="D9" t="s">
        <v>5091</v>
      </c>
      <c r="E9" t="s">
        <v>2813</v>
      </c>
      <c r="F9">
        <v>2843.032471</v>
      </c>
      <c r="G9">
        <v>2863.5686040000001</v>
      </c>
      <c r="H9">
        <v>2888.1982419999999</v>
      </c>
      <c r="I9">
        <v>2904.0778810000002</v>
      </c>
      <c r="J9">
        <v>2918.8098140000002</v>
      </c>
      <c r="K9">
        <v>2931.4370119999999</v>
      </c>
      <c r="L9">
        <v>2942.6047359999998</v>
      </c>
      <c r="M9">
        <v>2954.2514649999998</v>
      </c>
      <c r="N9">
        <v>2961.9025879999999</v>
      </c>
      <c r="O9">
        <v>2971.2753910000001</v>
      </c>
      <c r="P9">
        <v>2978.2133789999998</v>
      </c>
      <c r="Q9">
        <v>2987.1594239999999</v>
      </c>
      <c r="R9">
        <v>2997.3566890000002</v>
      </c>
      <c r="S9">
        <v>3007.7211910000001</v>
      </c>
      <c r="T9">
        <v>3016.3496089999999</v>
      </c>
      <c r="U9">
        <v>3025.5615229999999</v>
      </c>
      <c r="V9">
        <v>3032.3415530000002</v>
      </c>
      <c r="W9">
        <v>3038.7626949999999</v>
      </c>
      <c r="X9">
        <v>3044.1992190000001</v>
      </c>
      <c r="Y9">
        <v>3050.2915039999998</v>
      </c>
      <c r="Z9">
        <v>3055.7390140000002</v>
      </c>
      <c r="AA9">
        <v>3060.4001459999999</v>
      </c>
      <c r="AB9">
        <v>3062.7534179999998</v>
      </c>
      <c r="AC9">
        <v>3065.4650879999999</v>
      </c>
      <c r="AD9">
        <v>3067.4841310000002</v>
      </c>
      <c r="AE9">
        <v>3070.6538089999999</v>
      </c>
      <c r="AF9" s="31">
        <v>3.0000000000000001E-3</v>
      </c>
    </row>
    <row r="10" spans="1:32" s="194" customFormat="1">
      <c r="A10" s="194" t="s">
        <v>311</v>
      </c>
      <c r="B10" s="194" t="s">
        <v>5090</v>
      </c>
      <c r="C10" s="194" t="s">
        <v>5089</v>
      </c>
      <c r="D10" s="194" t="s">
        <v>2813</v>
      </c>
      <c r="E10" s="194">
        <v>91.398139999999998</v>
      </c>
      <c r="F10" s="194">
        <v>91.778992000000002</v>
      </c>
      <c r="G10" s="194">
        <v>93.221344000000002</v>
      </c>
      <c r="H10" s="194">
        <v>94.140220999999997</v>
      </c>
      <c r="I10" s="194">
        <v>95.009810999999999</v>
      </c>
      <c r="J10" s="194">
        <v>96.166199000000006</v>
      </c>
      <c r="K10" s="194">
        <v>97.196952999999993</v>
      </c>
      <c r="L10" s="194">
        <v>98.315582000000006</v>
      </c>
      <c r="M10" s="194">
        <v>99.238602</v>
      </c>
      <c r="N10" s="194">
        <v>100.24353000000001</v>
      </c>
      <c r="O10" s="194">
        <v>101.30188800000001</v>
      </c>
      <c r="P10" s="194">
        <v>102.37855500000001</v>
      </c>
      <c r="Q10" s="194">
        <v>103.553574</v>
      </c>
      <c r="R10" s="194">
        <v>104.841095</v>
      </c>
      <c r="S10" s="194">
        <v>106.097359</v>
      </c>
      <c r="T10" s="194">
        <v>107.28613300000001</v>
      </c>
      <c r="U10" s="194">
        <v>108.359756</v>
      </c>
      <c r="V10" s="194">
        <v>109.372353</v>
      </c>
      <c r="W10" s="194">
        <v>110.00733200000001</v>
      </c>
      <c r="X10" s="194">
        <v>110.59620700000001</v>
      </c>
      <c r="Y10" s="194">
        <v>111.266228</v>
      </c>
      <c r="Z10" s="194">
        <v>111.90553300000001</v>
      </c>
      <c r="AA10" s="194">
        <v>112.50387600000001</v>
      </c>
      <c r="AB10" s="194">
        <v>112.94838</v>
      </c>
      <c r="AC10" s="194">
        <v>113.493134</v>
      </c>
      <c r="AD10" s="194">
        <v>114.03658299999999</v>
      </c>
      <c r="AE10" s="206">
        <v>8.9999999999999993E-3</v>
      </c>
    </row>
    <row r="11" spans="1:32">
      <c r="A11" t="s">
        <v>2816</v>
      </c>
      <c r="B11" t="s">
        <v>5088</v>
      </c>
      <c r="C11" t="s">
        <v>5087</v>
      </c>
      <c r="D11" t="s">
        <v>5086</v>
      </c>
      <c r="E11" t="s">
        <v>2813</v>
      </c>
      <c r="F11">
        <v>341.04394500000001</v>
      </c>
      <c r="G11">
        <v>342.36895800000002</v>
      </c>
      <c r="H11">
        <v>344.61602800000003</v>
      </c>
      <c r="I11">
        <v>347.245544</v>
      </c>
      <c r="J11">
        <v>349.67584199999999</v>
      </c>
      <c r="K11">
        <v>353.39605699999998</v>
      </c>
      <c r="L11">
        <v>356.18081699999999</v>
      </c>
      <c r="M11">
        <v>359.422821</v>
      </c>
      <c r="N11">
        <v>362.12158199999999</v>
      </c>
      <c r="O11">
        <v>365.49890099999999</v>
      </c>
      <c r="P11">
        <v>368.98001099999999</v>
      </c>
      <c r="Q11">
        <v>372.371216</v>
      </c>
      <c r="R11">
        <v>375.85314899999997</v>
      </c>
      <c r="S11">
        <v>379.34448200000003</v>
      </c>
      <c r="T11">
        <v>382.85479700000002</v>
      </c>
      <c r="U11">
        <v>386.62579299999999</v>
      </c>
      <c r="V11">
        <v>390.24111900000003</v>
      </c>
      <c r="W11">
        <v>393.69708300000002</v>
      </c>
      <c r="X11">
        <v>396.73339800000002</v>
      </c>
      <c r="Y11">
        <v>399.79424999999998</v>
      </c>
      <c r="Z11">
        <v>403.50802599999997</v>
      </c>
      <c r="AA11">
        <v>407.42590300000001</v>
      </c>
      <c r="AB11">
        <v>411.555725</v>
      </c>
      <c r="AC11">
        <v>415.12536599999999</v>
      </c>
      <c r="AD11">
        <v>418.81106599999998</v>
      </c>
      <c r="AE11">
        <v>422.20336900000001</v>
      </c>
      <c r="AF11" s="31">
        <v>8.9999999999999993E-3</v>
      </c>
    </row>
    <row r="12" spans="1:32">
      <c r="A12" t="s">
        <v>2819</v>
      </c>
    </row>
    <row r="13" spans="1:32">
      <c r="A13" t="s">
        <v>279</v>
      </c>
      <c r="B13" t="s">
        <v>5085</v>
      </c>
      <c r="C13" t="s">
        <v>5084</v>
      </c>
      <c r="D13" t="s">
        <v>2822</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s="31">
        <v>5.0000000000000001E-3</v>
      </c>
    </row>
    <row r="14" spans="1:32">
      <c r="A14" t="s">
        <v>2823</v>
      </c>
      <c r="B14" t="s">
        <v>5083</v>
      </c>
      <c r="C14" t="s">
        <v>5082</v>
      </c>
      <c r="D14" t="s">
        <v>2822</v>
      </c>
      <c r="E14">
        <v>32.872635000000002</v>
      </c>
      <c r="F14">
        <v>35.005195999999998</v>
      </c>
      <c r="G14">
        <v>36.603188000000003</v>
      </c>
      <c r="H14">
        <v>37.824776</v>
      </c>
      <c r="I14">
        <v>38.890262999999997</v>
      </c>
      <c r="J14">
        <v>39.805247999999999</v>
      </c>
      <c r="K14">
        <v>40.582107999999998</v>
      </c>
      <c r="L14">
        <v>41.288424999999997</v>
      </c>
      <c r="M14">
        <v>42.025204000000002</v>
      </c>
      <c r="N14">
        <v>42.596252</v>
      </c>
      <c r="O14">
        <v>43.167667000000002</v>
      </c>
      <c r="P14">
        <v>43.616798000000003</v>
      </c>
      <c r="Q14">
        <v>44.095942999999998</v>
      </c>
      <c r="R14">
        <v>44.532913000000001</v>
      </c>
      <c r="S14">
        <v>44.880611000000002</v>
      </c>
      <c r="T14">
        <v>45.240985999999999</v>
      </c>
      <c r="U14">
        <v>45.551727</v>
      </c>
      <c r="V14">
        <v>45.864058999999997</v>
      </c>
      <c r="W14">
        <v>46.124859000000001</v>
      </c>
      <c r="X14">
        <v>46.413586000000002</v>
      </c>
      <c r="Y14">
        <v>46.725051999999998</v>
      </c>
      <c r="Z14">
        <v>46.982159000000003</v>
      </c>
      <c r="AA14">
        <v>47.264282000000001</v>
      </c>
      <c r="AB14">
        <v>47.468819000000003</v>
      </c>
      <c r="AC14">
        <v>47.659672</v>
      </c>
      <c r="AD14">
        <v>47.840454000000001</v>
      </c>
      <c r="AE14" s="31">
        <v>1.4999999999999999E-2</v>
      </c>
    </row>
    <row r="15" spans="1:32">
      <c r="A15" t="s">
        <v>2826</v>
      </c>
    </row>
    <row r="16" spans="1:32">
      <c r="A16" t="s">
        <v>185</v>
      </c>
      <c r="B16" t="s">
        <v>5081</v>
      </c>
      <c r="C16" t="s">
        <v>5080</v>
      </c>
      <c r="D16" t="s">
        <v>2829</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s="31">
        <v>1.7000000000000001E-2</v>
      </c>
    </row>
    <row r="17" spans="1:31">
      <c r="A17" t="s">
        <v>2830</v>
      </c>
    </row>
    <row r="18" spans="1:31">
      <c r="A18" t="s">
        <v>180</v>
      </c>
      <c r="B18" t="s">
        <v>5079</v>
      </c>
      <c r="C18" t="s">
        <v>5078</v>
      </c>
      <c r="D18" t="s">
        <v>2833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s="31">
        <v>0</v>
      </c>
    </row>
    <row r="19" spans="1:31">
      <c r="A19" t="s">
        <v>213</v>
      </c>
      <c r="B19" t="s">
        <v>5077</v>
      </c>
      <c r="C19" t="s">
        <v>5076</v>
      </c>
      <c r="D19" t="s">
        <v>2833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s="31">
        <v>-2E-3</v>
      </c>
    </row>
    <row r="20" spans="1:31">
      <c r="A20" t="s">
        <v>86</v>
      </c>
    </row>
    <row r="21" spans="1:31">
      <c r="A21" t="s">
        <v>2836</v>
      </c>
    </row>
    <row r="22" spans="1:31">
      <c r="A22" t="s">
        <v>2837</v>
      </c>
      <c r="B22" t="s">
        <v>5075</v>
      </c>
      <c r="C22" t="s">
        <v>5074</v>
      </c>
      <c r="D22" t="s">
        <v>415</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s="31">
        <v>4.0000000000000001E-3</v>
      </c>
    </row>
    <row r="23" spans="1:31">
      <c r="A23" t="s">
        <v>2840</v>
      </c>
      <c r="B23" t="s">
        <v>5073</v>
      </c>
      <c r="C23" t="s">
        <v>5072</v>
      </c>
      <c r="D23" t="s">
        <v>415</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s="31">
        <v>4.0000000000000001E-3</v>
      </c>
    </row>
    <row r="24" spans="1:31">
      <c r="A24" t="s">
        <v>2843</v>
      </c>
      <c r="B24" t="s">
        <v>5071</v>
      </c>
      <c r="C24" t="s">
        <v>5070</v>
      </c>
      <c r="D24" t="s">
        <v>415</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s="31">
        <v>4.0000000000000001E-3</v>
      </c>
    </row>
    <row r="25" spans="1:31">
      <c r="A25" t="s">
        <v>2846</v>
      </c>
      <c r="B25" t="s">
        <v>5069</v>
      </c>
      <c r="C25" t="s">
        <v>5068</v>
      </c>
      <c r="D25" t="s">
        <v>415</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s="31">
        <v>8.9999999999999993E-3</v>
      </c>
    </row>
    <row r="26" spans="1:31">
      <c r="A26" t="s">
        <v>2840</v>
      </c>
      <c r="B26" t="s">
        <v>5067</v>
      </c>
      <c r="C26" t="s">
        <v>5066</v>
      </c>
      <c r="D26" t="s">
        <v>415</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s="31">
        <v>1.0999999999999999E-2</v>
      </c>
    </row>
    <row r="27" spans="1:31">
      <c r="A27" t="s">
        <v>2843</v>
      </c>
      <c r="B27" t="s">
        <v>5065</v>
      </c>
      <c r="C27" t="s">
        <v>5064</v>
      </c>
      <c r="D27" t="s">
        <v>415</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s="31">
        <v>0.01</v>
      </c>
    </row>
    <row r="28" spans="1:31">
      <c r="A28" t="s">
        <v>2853</v>
      </c>
      <c r="B28" t="s">
        <v>5063</v>
      </c>
      <c r="C28" t="s">
        <v>5062</v>
      </c>
      <c r="D28" t="s">
        <v>415</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s="31">
        <v>0.01</v>
      </c>
    </row>
    <row r="29" spans="1:31">
      <c r="A29" t="s">
        <v>2840</v>
      </c>
      <c r="B29" t="s">
        <v>5061</v>
      </c>
      <c r="C29" t="s">
        <v>5060</v>
      </c>
      <c r="D29" t="s">
        <v>415</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s="31">
        <v>1.2E-2</v>
      </c>
    </row>
    <row r="30" spans="1:31">
      <c r="A30" t="s">
        <v>2843</v>
      </c>
      <c r="B30" t="s">
        <v>5059</v>
      </c>
      <c r="C30" t="s">
        <v>5058</v>
      </c>
      <c r="D30" t="s">
        <v>415</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s="31">
        <v>0.01</v>
      </c>
    </row>
    <row r="31" spans="1:31">
      <c r="A31" t="s">
        <v>2860</v>
      </c>
      <c r="B31" t="s">
        <v>5057</v>
      </c>
      <c r="C31" t="s">
        <v>5056</v>
      </c>
      <c r="D31" t="s">
        <v>415</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s="31">
        <v>0.01</v>
      </c>
    </row>
    <row r="32" spans="1:31">
      <c r="A32" t="s">
        <v>2840</v>
      </c>
      <c r="B32" t="s">
        <v>5055</v>
      </c>
      <c r="C32" t="s">
        <v>5054</v>
      </c>
      <c r="D32" t="s">
        <v>415</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s="31">
        <v>1.2E-2</v>
      </c>
    </row>
    <row r="33" spans="1:31">
      <c r="A33" t="s">
        <v>2843</v>
      </c>
      <c r="B33" t="s">
        <v>5053</v>
      </c>
      <c r="C33" t="s">
        <v>5052</v>
      </c>
      <c r="D33" t="s">
        <v>415</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s="31">
        <v>0.01</v>
      </c>
    </row>
    <row r="34" spans="1:31">
      <c r="A34" t="s">
        <v>2867</v>
      </c>
      <c r="B34" t="s">
        <v>5051</v>
      </c>
      <c r="C34" t="s">
        <v>5050</v>
      </c>
      <c r="D34" t="s">
        <v>415</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s="31">
        <v>1.2999999999999999E-2</v>
      </c>
    </row>
    <row r="35" spans="1:31">
      <c r="A35" t="s">
        <v>2870</v>
      </c>
      <c r="B35" t="s">
        <v>5049</v>
      </c>
      <c r="C35" t="s">
        <v>5048</v>
      </c>
      <c r="D35" t="s">
        <v>415</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s="31">
        <v>6.0000000000000001E-3</v>
      </c>
    </row>
    <row r="36" spans="1:31">
      <c r="A36" t="s">
        <v>2873</v>
      </c>
      <c r="B36" t="s">
        <v>5047</v>
      </c>
      <c r="C36" t="s">
        <v>5046</v>
      </c>
      <c r="D36" t="s">
        <v>415</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s="31">
        <v>7.0000000000000001E-3</v>
      </c>
    </row>
    <row r="37" spans="1:31">
      <c r="A37" t="s">
        <v>2876</v>
      </c>
      <c r="B37" t="s">
        <v>5045</v>
      </c>
      <c r="C37" t="s">
        <v>5044</v>
      </c>
      <c r="D37" t="s">
        <v>415</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s="31">
        <v>8.0000000000000002E-3</v>
      </c>
    </row>
    <row r="38" spans="1:31">
      <c r="A38" t="s">
        <v>2879</v>
      </c>
    </row>
    <row r="39" spans="1:31">
      <c r="A39" t="s">
        <v>2880</v>
      </c>
      <c r="B39" t="s">
        <v>5043</v>
      </c>
      <c r="C39" t="s">
        <v>5042</v>
      </c>
      <c r="D39" t="s">
        <v>454</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s="31">
        <v>8.0000000000000002E-3</v>
      </c>
    </row>
    <row r="40" spans="1:31">
      <c r="A40" t="s">
        <v>2883</v>
      </c>
    </row>
    <row r="41" spans="1:31">
      <c r="A41" t="s">
        <v>180</v>
      </c>
      <c r="B41" t="s">
        <v>5041</v>
      </c>
      <c r="C41" t="s">
        <v>5040</v>
      </c>
      <c r="D41" t="s">
        <v>2886</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s="31">
        <v>1E-3</v>
      </c>
    </row>
    <row r="42" spans="1:31">
      <c r="A42" t="s">
        <v>213</v>
      </c>
      <c r="B42" t="s">
        <v>5039</v>
      </c>
      <c r="C42" t="s">
        <v>5038</v>
      </c>
      <c r="D42" t="s">
        <v>2886</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s="31">
        <v>4.0000000000000001E-3</v>
      </c>
    </row>
    <row r="43" spans="1:31">
      <c r="A43" t="s">
        <v>44</v>
      </c>
    </row>
    <row r="44" spans="1:31">
      <c r="A44" t="s">
        <v>2889</v>
      </c>
    </row>
    <row r="45" spans="1:31">
      <c r="A45" t="s">
        <v>333</v>
      </c>
      <c r="B45" t="s">
        <v>5022</v>
      </c>
      <c r="C45" t="s">
        <v>5037</v>
      </c>
      <c r="D45" t="s">
        <v>2892</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s="31">
        <v>-1.0999999999999999E-2</v>
      </c>
    </row>
    <row r="46" spans="1:31">
      <c r="A46" t="s">
        <v>311</v>
      </c>
      <c r="B46" t="s">
        <v>5020</v>
      </c>
      <c r="C46" t="s">
        <v>5036</v>
      </c>
      <c r="D46" t="s">
        <v>2892</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s="31">
        <v>1E-3</v>
      </c>
    </row>
    <row r="47" spans="1:31">
      <c r="A47" t="s">
        <v>279</v>
      </c>
      <c r="B47" t="s">
        <v>5018</v>
      </c>
      <c r="C47" t="s">
        <v>5035</v>
      </c>
      <c r="D47" t="s">
        <v>2892</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s="31">
        <v>-5.0000000000000001E-3</v>
      </c>
    </row>
    <row r="48" spans="1:31">
      <c r="A48" t="s">
        <v>312</v>
      </c>
      <c r="B48" t="s">
        <v>5016</v>
      </c>
      <c r="C48" t="s">
        <v>5034</v>
      </c>
      <c r="D48" t="s">
        <v>2892</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s="31">
        <v>1E-3</v>
      </c>
    </row>
    <row r="49" spans="1:32">
      <c r="A49" t="s">
        <v>180</v>
      </c>
      <c r="B49" t="s">
        <v>5014</v>
      </c>
      <c r="C49" t="s">
        <v>5013</v>
      </c>
      <c r="D49" t="s">
        <v>5033</v>
      </c>
      <c r="E49" t="s">
        <v>2892</v>
      </c>
      <c r="F49">
        <v>4.7798E-2</v>
      </c>
      <c r="G49">
        <v>4.8923000000000001E-2</v>
      </c>
      <c r="H49">
        <v>4.9568000000000001E-2</v>
      </c>
      <c r="I49">
        <v>5.0014999999999997E-2</v>
      </c>
      <c r="J49">
        <v>5.0306999999999998E-2</v>
      </c>
      <c r="K49">
        <v>5.0547000000000002E-2</v>
      </c>
      <c r="L49">
        <v>5.0750000000000003E-2</v>
      </c>
      <c r="M49">
        <v>5.1031E-2</v>
      </c>
      <c r="N49">
        <v>5.1404999999999999E-2</v>
      </c>
      <c r="O49">
        <v>5.1749999999999997E-2</v>
      </c>
      <c r="P49">
        <v>5.2311999999999997E-2</v>
      </c>
      <c r="Q49">
        <v>5.2873999999999997E-2</v>
      </c>
      <c r="R49">
        <v>5.3476999999999997E-2</v>
      </c>
      <c r="S49">
        <v>5.4024000000000003E-2</v>
      </c>
      <c r="T49">
        <v>5.4461000000000002E-2</v>
      </c>
      <c r="U49">
        <v>5.4906999999999997E-2</v>
      </c>
      <c r="V49">
        <v>5.5302999999999998E-2</v>
      </c>
      <c r="W49">
        <v>5.5704999999999998E-2</v>
      </c>
      <c r="X49">
        <v>5.6041000000000001E-2</v>
      </c>
      <c r="Y49">
        <v>5.6409000000000001E-2</v>
      </c>
      <c r="Z49">
        <v>5.6804E-2</v>
      </c>
      <c r="AA49">
        <v>5.7137E-2</v>
      </c>
      <c r="AB49">
        <v>5.7507999999999997E-2</v>
      </c>
      <c r="AC49">
        <v>5.7785999999999997E-2</v>
      </c>
      <c r="AD49">
        <v>5.8048000000000002E-2</v>
      </c>
      <c r="AE49">
        <v>5.8289000000000001E-2</v>
      </c>
      <c r="AF49" s="31">
        <v>8.0000000000000002E-3</v>
      </c>
    </row>
    <row r="50" spans="1:32">
      <c r="A50" t="s">
        <v>180</v>
      </c>
      <c r="B50" t="s">
        <v>5011</v>
      </c>
      <c r="C50" t="s">
        <v>5010</v>
      </c>
      <c r="D50" t="s">
        <v>5032</v>
      </c>
      <c r="E50" t="s">
        <v>2892</v>
      </c>
      <c r="F50">
        <v>0.46892600000000001</v>
      </c>
      <c r="G50">
        <v>0.45827099999999998</v>
      </c>
      <c r="H50">
        <v>0.47304000000000002</v>
      </c>
      <c r="I50">
        <v>0.46332800000000002</v>
      </c>
      <c r="J50">
        <v>0.45965699999999998</v>
      </c>
      <c r="K50">
        <v>0.46270099999999997</v>
      </c>
      <c r="L50">
        <v>0.45084099999999999</v>
      </c>
      <c r="M50">
        <v>0.45273799999999997</v>
      </c>
      <c r="N50">
        <v>0.45470500000000003</v>
      </c>
      <c r="O50">
        <v>0.45341700000000001</v>
      </c>
      <c r="P50">
        <v>0.454899</v>
      </c>
      <c r="Q50">
        <v>0.45597599999999999</v>
      </c>
      <c r="R50">
        <v>0.4577</v>
      </c>
      <c r="S50">
        <v>0.45788200000000001</v>
      </c>
      <c r="T50">
        <v>0.45879999999999999</v>
      </c>
      <c r="U50">
        <v>0.45924900000000002</v>
      </c>
      <c r="V50">
        <v>0.45883000000000002</v>
      </c>
      <c r="W50">
        <v>0.45740900000000001</v>
      </c>
      <c r="X50">
        <v>0.456287</v>
      </c>
      <c r="Y50">
        <v>0.45632899999999998</v>
      </c>
      <c r="Z50">
        <v>0.45608900000000002</v>
      </c>
      <c r="AA50">
        <v>0.45703700000000003</v>
      </c>
      <c r="AB50">
        <v>0.45972200000000002</v>
      </c>
      <c r="AC50">
        <v>0.46117000000000002</v>
      </c>
      <c r="AD50">
        <v>0.45984799999999998</v>
      </c>
      <c r="AE50">
        <v>0.45883800000000002</v>
      </c>
      <c r="AF50" s="31">
        <v>-1E-3</v>
      </c>
    </row>
    <row r="51" spans="1:32">
      <c r="A51" t="s">
        <v>2903</v>
      </c>
      <c r="B51" t="s">
        <v>5008</v>
      </c>
      <c r="C51" t="s">
        <v>5007</v>
      </c>
      <c r="D51" t="s">
        <v>5031</v>
      </c>
      <c r="E51" t="s">
        <v>2892</v>
      </c>
      <c r="F51">
        <v>9.8804000000000003E-2</v>
      </c>
      <c r="G51">
        <v>9.9316000000000002E-2</v>
      </c>
      <c r="H51">
        <v>9.8359000000000002E-2</v>
      </c>
      <c r="I51">
        <v>9.7613000000000005E-2</v>
      </c>
      <c r="J51">
        <v>9.6658999999999995E-2</v>
      </c>
      <c r="K51">
        <v>9.6369999999999997E-2</v>
      </c>
      <c r="L51">
        <v>9.5603999999999995E-2</v>
      </c>
      <c r="M51">
        <v>9.5186000000000007E-2</v>
      </c>
      <c r="N51">
        <v>9.4528000000000001E-2</v>
      </c>
      <c r="O51">
        <v>9.4112000000000001E-2</v>
      </c>
      <c r="P51">
        <v>9.3649999999999997E-2</v>
      </c>
      <c r="Q51">
        <v>9.3039999999999998E-2</v>
      </c>
      <c r="R51">
        <v>9.2383999999999994E-2</v>
      </c>
      <c r="S51">
        <v>9.1701000000000005E-2</v>
      </c>
      <c r="T51">
        <v>9.1184000000000001E-2</v>
      </c>
      <c r="U51">
        <v>9.0718999999999994E-2</v>
      </c>
      <c r="V51">
        <v>9.0371999999999994E-2</v>
      </c>
      <c r="W51">
        <v>8.9853000000000002E-2</v>
      </c>
      <c r="X51">
        <v>8.924E-2</v>
      </c>
      <c r="Y51">
        <v>8.8577000000000003E-2</v>
      </c>
      <c r="Z51">
        <v>8.7941000000000005E-2</v>
      </c>
      <c r="AA51">
        <v>8.7447999999999998E-2</v>
      </c>
      <c r="AB51">
        <v>8.7030999999999997E-2</v>
      </c>
      <c r="AC51">
        <v>8.6402000000000007E-2</v>
      </c>
      <c r="AD51">
        <v>8.5715E-2</v>
      </c>
      <c r="AE51">
        <v>8.5028999999999993E-2</v>
      </c>
      <c r="AF51" s="31">
        <v>-6.0000000000000001E-3</v>
      </c>
    </row>
    <row r="52" spans="1:32">
      <c r="A52" t="s">
        <v>2903</v>
      </c>
      <c r="B52" t="s">
        <v>5005</v>
      </c>
      <c r="C52" t="s">
        <v>5004</v>
      </c>
      <c r="D52" t="s">
        <v>5030</v>
      </c>
      <c r="E52" t="s">
        <v>2892</v>
      </c>
      <c r="F52">
        <v>0.78167900000000001</v>
      </c>
      <c r="G52">
        <v>0.77178999999999998</v>
      </c>
      <c r="H52">
        <v>0.78704799999999997</v>
      </c>
      <c r="I52">
        <v>0.80376599999999998</v>
      </c>
      <c r="J52">
        <v>0.81765500000000002</v>
      </c>
      <c r="K52">
        <v>0.83159300000000003</v>
      </c>
      <c r="L52">
        <v>0.84471200000000002</v>
      </c>
      <c r="M52">
        <v>0.85918099999999997</v>
      </c>
      <c r="N52">
        <v>0.874058</v>
      </c>
      <c r="O52">
        <v>0.88922800000000002</v>
      </c>
      <c r="P52">
        <v>0.90522400000000003</v>
      </c>
      <c r="Q52">
        <v>0.91783000000000003</v>
      </c>
      <c r="R52">
        <v>0.92754400000000004</v>
      </c>
      <c r="S52">
        <v>0.93721500000000002</v>
      </c>
      <c r="T52">
        <v>0.94565100000000002</v>
      </c>
      <c r="U52">
        <v>0.95404699999999998</v>
      </c>
      <c r="V52">
        <v>0.961951</v>
      </c>
      <c r="W52">
        <v>0.97087800000000002</v>
      </c>
      <c r="X52">
        <v>0.97948800000000003</v>
      </c>
      <c r="Y52">
        <v>0.98797000000000001</v>
      </c>
      <c r="Z52">
        <v>0.99751199999999995</v>
      </c>
      <c r="AA52">
        <v>1.006985</v>
      </c>
      <c r="AB52">
        <v>1.0164839999999999</v>
      </c>
      <c r="AC52">
        <v>1.025493</v>
      </c>
      <c r="AD52">
        <v>1.0342480000000001</v>
      </c>
      <c r="AE52">
        <v>1.044146</v>
      </c>
      <c r="AF52" s="31">
        <v>1.2E-2</v>
      </c>
    </row>
    <row r="53" spans="1:32">
      <c r="A53" t="s">
        <v>281</v>
      </c>
      <c r="B53" t="s">
        <v>5002</v>
      </c>
      <c r="C53" t="s">
        <v>5029</v>
      </c>
      <c r="D53" t="s">
        <v>2892</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s="31">
        <v>-4.0000000000000001E-3</v>
      </c>
    </row>
    <row r="54" spans="1:32">
      <c r="A54" t="s">
        <v>185</v>
      </c>
      <c r="B54" t="s">
        <v>5000</v>
      </c>
      <c r="C54" t="s">
        <v>5028</v>
      </c>
      <c r="D54" t="s">
        <v>2892</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s="31">
        <v>8.9999999999999993E-3</v>
      </c>
    </row>
    <row r="55" spans="1:32">
      <c r="A55" t="s">
        <v>278</v>
      </c>
      <c r="B55" t="s">
        <v>4998</v>
      </c>
      <c r="C55" t="s">
        <v>5027</v>
      </c>
      <c r="D55" t="s">
        <v>2892</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s="31">
        <v>1E-3</v>
      </c>
    </row>
    <row r="56" spans="1:32">
      <c r="A56" t="s">
        <v>282</v>
      </c>
      <c r="B56" t="s">
        <v>4996</v>
      </c>
      <c r="C56" t="s">
        <v>5026</v>
      </c>
      <c r="D56" t="s">
        <v>2892</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s="31">
        <v>2E-3</v>
      </c>
    </row>
    <row r="57" spans="1:32">
      <c r="A57" t="s">
        <v>2916</v>
      </c>
      <c r="B57" t="s">
        <v>4994</v>
      </c>
      <c r="C57" t="s">
        <v>5025</v>
      </c>
      <c r="D57" t="s">
        <v>2892</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s="31">
        <v>1.2E-2</v>
      </c>
    </row>
    <row r="58" spans="1:32">
      <c r="A58" t="s">
        <v>1143</v>
      </c>
      <c r="B58" t="s">
        <v>4992</v>
      </c>
      <c r="C58" t="s">
        <v>5024</v>
      </c>
      <c r="D58" t="s">
        <v>2892</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s="31">
        <v>3.7999999999999999E-2</v>
      </c>
    </row>
    <row r="59" spans="1:32">
      <c r="A59" t="s">
        <v>193</v>
      </c>
      <c r="B59" t="s">
        <v>4990</v>
      </c>
      <c r="C59" t="s">
        <v>5023</v>
      </c>
      <c r="D59" t="s">
        <v>2892</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s="31">
        <v>-2E-3</v>
      </c>
    </row>
    <row r="60" spans="1:32">
      <c r="A60" t="s">
        <v>2923</v>
      </c>
    </row>
    <row r="61" spans="1:32">
      <c r="A61" t="s">
        <v>333</v>
      </c>
      <c r="B61" t="s">
        <v>5022</v>
      </c>
      <c r="C61" t="s">
        <v>5021</v>
      </c>
      <c r="D61" t="s">
        <v>2925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s="31">
        <v>-1.0999999999999999E-2</v>
      </c>
    </row>
    <row r="62" spans="1:32">
      <c r="A62" t="s">
        <v>311</v>
      </c>
      <c r="B62" t="s">
        <v>5020</v>
      </c>
      <c r="C62" t="s">
        <v>5019</v>
      </c>
      <c r="D62" t="s">
        <v>2925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s="31">
        <v>2E-3</v>
      </c>
    </row>
    <row r="63" spans="1:32">
      <c r="A63" t="s">
        <v>279</v>
      </c>
      <c r="B63" t="s">
        <v>5018</v>
      </c>
      <c r="C63" t="s">
        <v>5017</v>
      </c>
      <c r="D63" t="s">
        <v>2925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s="31">
        <v>-5.0000000000000001E-3</v>
      </c>
    </row>
    <row r="64" spans="1:32">
      <c r="A64" t="s">
        <v>312</v>
      </c>
      <c r="B64" t="s">
        <v>5016</v>
      </c>
      <c r="C64" t="s">
        <v>5015</v>
      </c>
      <c r="D64" t="s">
        <v>2925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s="31">
        <v>1E-3</v>
      </c>
    </row>
    <row r="65" spans="1:32">
      <c r="A65" t="s">
        <v>180</v>
      </c>
      <c r="B65" t="s">
        <v>5014</v>
      </c>
      <c r="C65" t="s">
        <v>5013</v>
      </c>
      <c r="D65" t="s">
        <v>5012</v>
      </c>
      <c r="E65" t="s">
        <v>2925</v>
      </c>
      <c r="F65">
        <v>2.2626E-2</v>
      </c>
      <c r="G65">
        <v>2.3154999999999999E-2</v>
      </c>
      <c r="H65">
        <v>2.3460000000000002E-2</v>
      </c>
      <c r="I65">
        <v>2.3671000000000001E-2</v>
      </c>
      <c r="J65">
        <v>2.3807999999999999E-2</v>
      </c>
      <c r="K65">
        <v>2.3921999999999999E-2</v>
      </c>
      <c r="L65">
        <v>2.4018000000000001E-2</v>
      </c>
      <c r="M65">
        <v>2.4150999999999999E-2</v>
      </c>
      <c r="N65">
        <v>2.4327999999999999E-2</v>
      </c>
      <c r="O65">
        <v>2.4490999999999999E-2</v>
      </c>
      <c r="P65">
        <v>2.4757000000000001E-2</v>
      </c>
      <c r="Q65">
        <v>2.5023E-2</v>
      </c>
      <c r="R65">
        <v>2.5308000000000001E-2</v>
      </c>
      <c r="S65">
        <v>2.5566999999999999E-2</v>
      </c>
      <c r="T65">
        <v>2.5773999999999998E-2</v>
      </c>
      <c r="U65">
        <v>2.5985000000000001E-2</v>
      </c>
      <c r="V65">
        <v>2.6172000000000001E-2</v>
      </c>
      <c r="W65">
        <v>2.6362E-2</v>
      </c>
      <c r="X65">
        <v>2.6520999999999999E-2</v>
      </c>
      <c r="Y65">
        <v>2.6695E-2</v>
      </c>
      <c r="Z65">
        <v>2.6882E-2</v>
      </c>
      <c r="AA65">
        <v>2.7040000000000002E-2</v>
      </c>
      <c r="AB65">
        <v>2.7215E-2</v>
      </c>
      <c r="AC65">
        <v>2.7347E-2</v>
      </c>
      <c r="AD65">
        <v>2.7470999999999999E-2</v>
      </c>
      <c r="AE65">
        <v>2.7584999999999998E-2</v>
      </c>
      <c r="AF65" s="31">
        <v>8.0000000000000002E-3</v>
      </c>
    </row>
    <row r="66" spans="1:32">
      <c r="A66" t="s">
        <v>180</v>
      </c>
      <c r="B66" t="s">
        <v>5011</v>
      </c>
      <c r="C66" t="s">
        <v>5010</v>
      </c>
      <c r="D66" t="s">
        <v>5009</v>
      </c>
      <c r="E66" t="s">
        <v>2925</v>
      </c>
      <c r="F66">
        <v>0.222465</v>
      </c>
      <c r="G66">
        <v>0.217363</v>
      </c>
      <c r="H66">
        <v>0.22434899999999999</v>
      </c>
      <c r="I66">
        <v>0.219749</v>
      </c>
      <c r="J66">
        <v>0.21800800000000001</v>
      </c>
      <c r="K66">
        <v>0.21946099999999999</v>
      </c>
      <c r="L66">
        <v>0.21382999999999999</v>
      </c>
      <c r="M66">
        <v>0.214728</v>
      </c>
      <c r="N66">
        <v>0.21566099999999999</v>
      </c>
      <c r="O66">
        <v>0.215055</v>
      </c>
      <c r="P66">
        <v>0.215756</v>
      </c>
      <c r="Q66">
        <v>0.21626999999999999</v>
      </c>
      <c r="R66">
        <v>0.217088</v>
      </c>
      <c r="S66">
        <v>0.21717600000000001</v>
      </c>
      <c r="T66">
        <v>0.217612</v>
      </c>
      <c r="U66">
        <v>0.21782699999999999</v>
      </c>
      <c r="V66">
        <v>0.21762699999999999</v>
      </c>
      <c r="W66">
        <v>0.21695300000000001</v>
      </c>
      <c r="X66">
        <v>0.21642</v>
      </c>
      <c r="Y66">
        <v>0.216442</v>
      </c>
      <c r="Z66">
        <v>0.21632399999999999</v>
      </c>
      <c r="AA66">
        <v>0.21677399999999999</v>
      </c>
      <c r="AB66">
        <v>0.21804699999999999</v>
      </c>
      <c r="AC66">
        <v>0.21873400000000001</v>
      </c>
      <c r="AD66">
        <v>0.218109</v>
      </c>
      <c r="AE66">
        <v>0.21763099999999999</v>
      </c>
      <c r="AF66" s="31">
        <v>-1E-3</v>
      </c>
    </row>
    <row r="67" spans="1:32">
      <c r="A67" t="s">
        <v>2903</v>
      </c>
      <c r="B67" t="s">
        <v>5008</v>
      </c>
      <c r="C67" t="s">
        <v>5007</v>
      </c>
      <c r="D67" t="s">
        <v>5006</v>
      </c>
      <c r="E67" t="s">
        <v>2925</v>
      </c>
      <c r="F67">
        <v>4.6816000000000003E-2</v>
      </c>
      <c r="G67">
        <v>4.7051999999999997E-2</v>
      </c>
      <c r="H67">
        <v>4.6597E-2</v>
      </c>
      <c r="I67">
        <v>4.6247000000000003E-2</v>
      </c>
      <c r="J67">
        <v>4.5797999999999998E-2</v>
      </c>
      <c r="K67">
        <v>4.5664999999999997E-2</v>
      </c>
      <c r="L67">
        <v>4.5303000000000003E-2</v>
      </c>
      <c r="M67">
        <v>4.5107000000000001E-2</v>
      </c>
      <c r="N67">
        <v>4.4797999999999998E-2</v>
      </c>
      <c r="O67">
        <v>4.4604999999999999E-2</v>
      </c>
      <c r="P67">
        <v>4.4387000000000003E-2</v>
      </c>
      <c r="Q67">
        <v>4.4101000000000001E-2</v>
      </c>
      <c r="R67">
        <v>4.3791999999999998E-2</v>
      </c>
      <c r="S67">
        <v>4.3471000000000003E-2</v>
      </c>
      <c r="T67">
        <v>4.3228999999999997E-2</v>
      </c>
      <c r="U67">
        <v>4.3011000000000001E-2</v>
      </c>
      <c r="V67">
        <v>4.2846000000000002E-2</v>
      </c>
      <c r="W67">
        <v>4.2599999999999999E-2</v>
      </c>
      <c r="X67">
        <v>4.2308999999999999E-2</v>
      </c>
      <c r="Y67">
        <v>4.1994999999999998E-2</v>
      </c>
      <c r="Z67">
        <v>4.1692E-2</v>
      </c>
      <c r="AA67">
        <v>4.1458000000000002E-2</v>
      </c>
      <c r="AB67">
        <v>4.1259999999999998E-2</v>
      </c>
      <c r="AC67">
        <v>4.0961999999999998E-2</v>
      </c>
      <c r="AD67">
        <v>4.0635999999999999E-2</v>
      </c>
      <c r="AE67">
        <v>4.0311E-2</v>
      </c>
      <c r="AF67" s="31">
        <v>-6.0000000000000001E-3</v>
      </c>
    </row>
    <row r="68" spans="1:32">
      <c r="A68" t="s">
        <v>2903</v>
      </c>
      <c r="B68" t="s">
        <v>5005</v>
      </c>
      <c r="C68" t="s">
        <v>5004</v>
      </c>
      <c r="D68" t="s">
        <v>5003</v>
      </c>
      <c r="E68" t="s">
        <v>2925</v>
      </c>
      <c r="F68">
        <v>0.34950599999999998</v>
      </c>
      <c r="G68">
        <v>0.34549299999999999</v>
      </c>
      <c r="H68">
        <v>0.352163</v>
      </c>
      <c r="I68">
        <v>0.35926400000000003</v>
      </c>
      <c r="J68">
        <v>0.36564799999999997</v>
      </c>
      <c r="K68">
        <v>0.37203000000000003</v>
      </c>
      <c r="L68">
        <v>0.37815500000000002</v>
      </c>
      <c r="M68">
        <v>0.38472200000000001</v>
      </c>
      <c r="N68">
        <v>0.39141900000000002</v>
      </c>
      <c r="O68">
        <v>0.39824900000000002</v>
      </c>
      <c r="P68">
        <v>0.40551900000000002</v>
      </c>
      <c r="Q68">
        <v>0.411194</v>
      </c>
      <c r="R68">
        <v>0.41557500000000003</v>
      </c>
      <c r="S68">
        <v>0.41993399999999997</v>
      </c>
      <c r="T68">
        <v>0.42373499999999997</v>
      </c>
      <c r="U68">
        <v>0.42755500000000002</v>
      </c>
      <c r="V68">
        <v>0.43115399999999998</v>
      </c>
      <c r="W68">
        <v>0.43512000000000001</v>
      </c>
      <c r="X68">
        <v>0.43892500000000001</v>
      </c>
      <c r="Y68">
        <v>0.44268999999999997</v>
      </c>
      <c r="Z68">
        <v>0.44692999999999999</v>
      </c>
      <c r="AA68">
        <v>0.45116200000000001</v>
      </c>
      <c r="AB68">
        <v>0.45542500000000002</v>
      </c>
      <c r="AC68">
        <v>0.45946500000000001</v>
      </c>
      <c r="AD68">
        <v>0.46336899999999998</v>
      </c>
      <c r="AE68">
        <v>0.46779599999999999</v>
      </c>
      <c r="AF68" s="31">
        <v>1.2E-2</v>
      </c>
    </row>
    <row r="69" spans="1:32">
      <c r="A69" t="s">
        <v>281</v>
      </c>
      <c r="B69" t="s">
        <v>5002</v>
      </c>
      <c r="C69" t="s">
        <v>5001</v>
      </c>
      <c r="D69" t="s">
        <v>2925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s="31">
        <v>-3.0000000000000001E-3</v>
      </c>
    </row>
    <row r="70" spans="1:32">
      <c r="A70" t="s">
        <v>185</v>
      </c>
      <c r="B70" t="s">
        <v>5000</v>
      </c>
      <c r="C70" t="s">
        <v>4999</v>
      </c>
      <c r="D70" t="s">
        <v>2925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s="31">
        <v>8.9999999999999993E-3</v>
      </c>
    </row>
    <row r="71" spans="1:32">
      <c r="A71" t="s">
        <v>278</v>
      </c>
      <c r="B71" t="s">
        <v>4998</v>
      </c>
      <c r="C71" t="s">
        <v>4997</v>
      </c>
      <c r="D71" t="s">
        <v>2925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s="31">
        <v>1E-3</v>
      </c>
    </row>
    <row r="72" spans="1:32">
      <c r="A72" t="s">
        <v>282</v>
      </c>
      <c r="B72" t="s">
        <v>4996</v>
      </c>
      <c r="C72" t="s">
        <v>4995</v>
      </c>
      <c r="D72" t="s">
        <v>2925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s="31">
        <v>2E-3</v>
      </c>
    </row>
    <row r="73" spans="1:32">
      <c r="A73" t="s">
        <v>2916</v>
      </c>
      <c r="B73" t="s">
        <v>4994</v>
      </c>
      <c r="C73" t="s">
        <v>4993</v>
      </c>
      <c r="D73" t="s">
        <v>2925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s="31">
        <v>1.2E-2</v>
      </c>
    </row>
    <row r="74" spans="1:32">
      <c r="A74" t="s">
        <v>1143</v>
      </c>
      <c r="B74" t="s">
        <v>4992</v>
      </c>
      <c r="C74" t="s">
        <v>4991</v>
      </c>
      <c r="D74" t="s">
        <v>2925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s="31">
        <v>3.7999999999999999E-2</v>
      </c>
    </row>
    <row r="75" spans="1:32">
      <c r="A75" t="s">
        <v>193</v>
      </c>
      <c r="B75" t="s">
        <v>4990</v>
      </c>
      <c r="C75" t="s">
        <v>4989</v>
      </c>
      <c r="D75" t="s">
        <v>2925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s="31">
        <v>-2E-3</v>
      </c>
    </row>
    <row r="76" spans="1:32">
      <c r="A76" t="s">
        <v>4988</v>
      </c>
    </row>
    <row r="77" spans="1:32">
      <c r="A77" t="s">
        <v>333</v>
      </c>
    </row>
    <row r="78" spans="1:32">
      <c r="A78" t="s">
        <v>2941</v>
      </c>
      <c r="B78" t="s">
        <v>4987</v>
      </c>
      <c r="C78" t="s">
        <v>4984</v>
      </c>
      <c r="D78" t="s">
        <v>4983</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s="31">
        <v>-1.4E-2</v>
      </c>
    </row>
    <row r="79" spans="1:32">
      <c r="A79" t="s">
        <v>2945</v>
      </c>
      <c r="B79" t="s">
        <v>4986</v>
      </c>
      <c r="C79" t="s">
        <v>4984</v>
      </c>
      <c r="D79" t="s">
        <v>4983</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s="31">
        <v>-1.7000000000000001E-2</v>
      </c>
    </row>
    <row r="80" spans="1:32">
      <c r="A80" t="s">
        <v>2947</v>
      </c>
      <c r="B80" t="s">
        <v>4985</v>
      </c>
      <c r="C80" t="s">
        <v>4984</v>
      </c>
      <c r="D80" t="s">
        <v>4983</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s="31">
        <v>-1.7000000000000001E-2</v>
      </c>
    </row>
    <row r="81" spans="1:31">
      <c r="A81" t="s">
        <v>312</v>
      </c>
    </row>
    <row r="82" spans="1:31">
      <c r="A82" t="s">
        <v>2949</v>
      </c>
      <c r="B82" t="s">
        <v>4982</v>
      </c>
      <c r="C82" t="s">
        <v>4977</v>
      </c>
      <c r="D82" t="s">
        <v>4976</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s="31">
        <v>-0.02</v>
      </c>
    </row>
    <row r="83" spans="1:31">
      <c r="A83" t="s">
        <v>2953</v>
      </c>
      <c r="B83" t="s">
        <v>4981</v>
      </c>
      <c r="C83" t="s">
        <v>4977</v>
      </c>
      <c r="D83" t="s">
        <v>4976</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s="31">
        <v>-0.02</v>
      </c>
    </row>
    <row r="84" spans="1:31">
      <c r="A84" t="s">
        <v>2955</v>
      </c>
      <c r="B84" t="s">
        <v>4980</v>
      </c>
      <c r="C84" t="s">
        <v>4977</v>
      </c>
      <c r="D84" t="s">
        <v>4976</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s="31">
        <v>-1.9E-2</v>
      </c>
    </row>
    <row r="85" spans="1:31">
      <c r="A85" t="s">
        <v>2957</v>
      </c>
      <c r="B85" t="s">
        <v>4979</v>
      </c>
      <c r="C85" t="s">
        <v>4977</v>
      </c>
      <c r="D85" t="s">
        <v>4976</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s="31">
        <v>-1.4E-2</v>
      </c>
    </row>
    <row r="86" spans="1:31">
      <c r="A86" t="s">
        <v>2947</v>
      </c>
      <c r="B86" t="s">
        <v>4978</v>
      </c>
      <c r="C86" t="s">
        <v>4977</v>
      </c>
      <c r="D86" t="s">
        <v>4976</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s="31">
        <v>-2.1000000000000001E-2</v>
      </c>
    </row>
    <row r="87" spans="1:31">
      <c r="A87" t="s">
        <v>4975</v>
      </c>
    </row>
    <row r="88" spans="1:31">
      <c r="A88" t="s">
        <v>2961</v>
      </c>
      <c r="B88" t="s">
        <v>4974</v>
      </c>
      <c r="C88" t="s">
        <v>4973</v>
      </c>
      <c r="D88" t="s">
        <v>4955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s="31">
        <v>1E-3</v>
      </c>
    </row>
    <row r="89" spans="1:31">
      <c r="A89" t="s">
        <v>333</v>
      </c>
      <c r="B89" t="s">
        <v>4972</v>
      </c>
      <c r="C89" t="s">
        <v>4968</v>
      </c>
      <c r="D89" t="s">
        <v>4955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s="31">
        <v>1E-3</v>
      </c>
    </row>
    <row r="90" spans="1:31">
      <c r="A90" t="s">
        <v>2967</v>
      </c>
      <c r="B90" t="s">
        <v>4971</v>
      </c>
      <c r="C90" t="s">
        <v>4968</v>
      </c>
      <c r="D90" t="s">
        <v>4955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s="31">
        <v>0</v>
      </c>
    </row>
    <row r="91" spans="1:31">
      <c r="A91" t="s">
        <v>2969</v>
      </c>
      <c r="B91" t="s">
        <v>4970</v>
      </c>
      <c r="C91" t="s">
        <v>4968</v>
      </c>
      <c r="D91" t="s">
        <v>4955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s="31">
        <v>-2E-3</v>
      </c>
    </row>
    <row r="92" spans="1:31">
      <c r="A92" t="s">
        <v>2971</v>
      </c>
      <c r="B92" t="s">
        <v>4969</v>
      </c>
      <c r="C92" t="s">
        <v>4968</v>
      </c>
      <c r="D92" t="s">
        <v>4955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s="31">
        <v>-2E-3</v>
      </c>
    </row>
    <row r="93" spans="1:31">
      <c r="A93" t="s">
        <v>2973</v>
      </c>
      <c r="B93" t="s">
        <v>4967</v>
      </c>
      <c r="C93" t="s">
        <v>4963</v>
      </c>
      <c r="D93" t="s">
        <v>4955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s="31">
        <v>-2E-3</v>
      </c>
    </row>
    <row r="94" spans="1:31">
      <c r="A94" t="s">
        <v>340</v>
      </c>
      <c r="B94" t="s">
        <v>4966</v>
      </c>
      <c r="C94" t="s">
        <v>4963</v>
      </c>
      <c r="D94" t="s">
        <v>4955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s="31">
        <v>-1E-3</v>
      </c>
    </row>
    <row r="95" spans="1:31">
      <c r="A95" t="s">
        <v>338</v>
      </c>
      <c r="B95" t="s">
        <v>4965</v>
      </c>
      <c r="C95" t="s">
        <v>4963</v>
      </c>
      <c r="D95" t="s">
        <v>4955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s="31">
        <v>-2E-3</v>
      </c>
    </row>
    <row r="96" spans="1:31">
      <c r="A96" t="s">
        <v>339</v>
      </c>
      <c r="B96" t="s">
        <v>4964</v>
      </c>
      <c r="C96" t="s">
        <v>4963</v>
      </c>
      <c r="D96" t="s">
        <v>4955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s="31">
        <v>-1E-3</v>
      </c>
    </row>
    <row r="97" spans="1:31">
      <c r="A97" t="s">
        <v>2979</v>
      </c>
      <c r="B97" t="s">
        <v>4962</v>
      </c>
      <c r="C97" t="s">
        <v>4959</v>
      </c>
      <c r="D97" t="s">
        <v>4955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s="31">
        <v>-1.4999999999999999E-2</v>
      </c>
    </row>
    <row r="98" spans="1:31">
      <c r="A98" t="s">
        <v>2982</v>
      </c>
      <c r="B98" t="s">
        <v>4961</v>
      </c>
      <c r="C98" t="s">
        <v>4959</v>
      </c>
      <c r="D98" t="s">
        <v>4955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s="31">
        <v>-1E-3</v>
      </c>
    </row>
    <row r="99" spans="1:31">
      <c r="A99" t="s">
        <v>2984</v>
      </c>
      <c r="B99" t="s">
        <v>4960</v>
      </c>
      <c r="C99" t="s">
        <v>4959</v>
      </c>
      <c r="D99" t="s">
        <v>4955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s="31">
        <v>1E-3</v>
      </c>
    </row>
    <row r="100" spans="1:31">
      <c r="A100" t="s">
        <v>2986</v>
      </c>
    </row>
    <row r="101" spans="1:31">
      <c r="A101" t="s">
        <v>2982</v>
      </c>
      <c r="B101" t="s">
        <v>4958</v>
      </c>
      <c r="C101" t="s">
        <v>4956</v>
      </c>
      <c r="D101" t="s">
        <v>4955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s="31">
        <v>-1E-3</v>
      </c>
    </row>
    <row r="102" spans="1:31">
      <c r="A102" t="s">
        <v>2984</v>
      </c>
      <c r="B102" t="s">
        <v>4957</v>
      </c>
      <c r="C102" t="s">
        <v>4956</v>
      </c>
      <c r="D102" t="s">
        <v>4955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s="31">
        <v>1E-3</v>
      </c>
    </row>
    <row r="103" spans="1:31">
      <c r="A103" t="s">
        <v>4954</v>
      </c>
      <c r="B103" t="s">
        <v>4953</v>
      </c>
      <c r="C103" t="s">
        <v>4952</v>
      </c>
      <c r="D103" t="s">
        <v>4951</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s="31">
        <v>1E-3</v>
      </c>
    </row>
    <row r="104" spans="1:31">
      <c r="A104" t="s">
        <v>4950</v>
      </c>
    </row>
    <row r="105" spans="1:31">
      <c r="A105" t="s">
        <v>316</v>
      </c>
    </row>
    <row r="106" spans="1:31">
      <c r="A106" t="s">
        <v>312</v>
      </c>
      <c r="B106" t="s">
        <v>4949</v>
      </c>
      <c r="C106" t="s">
        <v>4948</v>
      </c>
      <c r="D106" t="s">
        <v>4923</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s="31">
        <v>2E-3</v>
      </c>
    </row>
    <row r="107" spans="1:31">
      <c r="A107" t="s">
        <v>2984</v>
      </c>
      <c r="B107" t="s">
        <v>4947</v>
      </c>
      <c r="C107" t="s">
        <v>4946</v>
      </c>
      <c r="D107" t="s">
        <v>4923</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s="31">
        <v>0</v>
      </c>
    </row>
    <row r="108" spans="1:31">
      <c r="A108" t="s">
        <v>2982</v>
      </c>
      <c r="B108" t="s">
        <v>4945</v>
      </c>
      <c r="C108" t="s">
        <v>4944</v>
      </c>
      <c r="D108" t="s">
        <v>4923</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s="31">
        <v>1E-3</v>
      </c>
    </row>
    <row r="109" spans="1:31">
      <c r="A109" t="s">
        <v>3002</v>
      </c>
      <c r="B109" t="s">
        <v>4943</v>
      </c>
      <c r="C109" t="s">
        <v>4942</v>
      </c>
      <c r="D109" t="s">
        <v>4923</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117</v>
      </c>
    </row>
    <row r="110" spans="1:31">
      <c r="A110" t="s">
        <v>422</v>
      </c>
      <c r="B110" t="s">
        <v>4941</v>
      </c>
      <c r="C110" t="s">
        <v>4940</v>
      </c>
      <c r="D110" t="s">
        <v>4923</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s="31">
        <v>1E-3</v>
      </c>
    </row>
    <row r="111" spans="1:31">
      <c r="A111" t="s">
        <v>423</v>
      </c>
      <c r="B111" t="s">
        <v>4939</v>
      </c>
      <c r="C111" t="s">
        <v>4938</v>
      </c>
      <c r="D111" t="s">
        <v>4923</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s="31">
        <v>1E-3</v>
      </c>
    </row>
    <row r="112" spans="1:31">
      <c r="A112" t="s">
        <v>317</v>
      </c>
    </row>
    <row r="113" spans="1:31">
      <c r="A113" t="s">
        <v>312</v>
      </c>
      <c r="B113" t="s">
        <v>4937</v>
      </c>
      <c r="C113" t="s">
        <v>4936</v>
      </c>
      <c r="D113" t="s">
        <v>4923</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s="31">
        <v>-1E-3</v>
      </c>
    </row>
    <row r="114" spans="1:31">
      <c r="A114" t="s">
        <v>2984</v>
      </c>
      <c r="B114" t="s">
        <v>4935</v>
      </c>
      <c r="C114" t="s">
        <v>4934</v>
      </c>
      <c r="D114" t="s">
        <v>4923</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s="31">
        <v>-1E-3</v>
      </c>
    </row>
    <row r="115" spans="1:31">
      <c r="A115" t="s">
        <v>2982</v>
      </c>
      <c r="B115" t="s">
        <v>4933</v>
      </c>
      <c r="C115" t="s">
        <v>4932</v>
      </c>
      <c r="D115" t="s">
        <v>4923</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s="31">
        <v>-1E-3</v>
      </c>
    </row>
    <row r="116" spans="1:31">
      <c r="A116" t="s">
        <v>314</v>
      </c>
      <c r="B116" t="s">
        <v>4931</v>
      </c>
      <c r="C116" t="s">
        <v>4930</v>
      </c>
      <c r="D116" t="s">
        <v>4923</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s="31">
        <v>4.0000000000000001E-3</v>
      </c>
    </row>
    <row r="117" spans="1:31">
      <c r="A117" t="s">
        <v>3002</v>
      </c>
      <c r="B117" t="s">
        <v>4929</v>
      </c>
      <c r="C117" t="s">
        <v>4928</v>
      </c>
      <c r="D117" t="s">
        <v>4923</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s="31">
        <v>5.0000000000000001E-3</v>
      </c>
    </row>
    <row r="118" spans="1:31">
      <c r="A118" t="s">
        <v>422</v>
      </c>
      <c r="B118" t="s">
        <v>4927</v>
      </c>
      <c r="C118" t="s">
        <v>4926</v>
      </c>
      <c r="D118" t="s">
        <v>4923</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s="31">
        <v>2E-3</v>
      </c>
    </row>
    <row r="119" spans="1:31">
      <c r="A119" t="s">
        <v>423</v>
      </c>
      <c r="B119" t="s">
        <v>4925</v>
      </c>
      <c r="C119" t="s">
        <v>4924</v>
      </c>
      <c r="D119" t="s">
        <v>4923</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s="31">
        <v>6.0000000000000001E-3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43195-9575-4C37-B66D-24851B744393}">
  <dimension ref="A1:AE61"/>
  <sheetViews>
    <sheetView topLeftCell="A11" workbookViewId="0">
      <selection activeCell="C21" sqref="C21"/>
    </sheetView>
  </sheetViews>
  <sheetFormatPr defaultRowHeight="15"/>
  <cols>
    <col min="1" max="1" width="19" customWidth="1"/>
    <col min="2" max="2" width="112.28515625" bestFit="1" customWidth="1"/>
  </cols>
  <sheetData>
    <row r="1" spans="1:31">
      <c r="A1" t="s">
        <v>331</v>
      </c>
    </row>
    <row r="2" spans="1:31">
      <c r="A2" t="s">
        <v>4198</v>
      </c>
    </row>
    <row r="3" spans="1:31">
      <c r="A3" t="s">
        <v>4197</v>
      </c>
    </row>
    <row r="4" spans="1:31">
      <c r="A4" t="s">
        <v>302</v>
      </c>
    </row>
    <row r="5" spans="1:31">
      <c r="B5" t="s">
        <v>303</v>
      </c>
      <c r="C5" t="s">
        <v>351</v>
      </c>
      <c r="D5" t="s">
        <v>352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4196</v>
      </c>
    </row>
    <row r="6" spans="1:31">
      <c r="A6" t="s">
        <v>44</v>
      </c>
    </row>
    <row r="7" spans="1:31">
      <c r="A7" t="s">
        <v>332</v>
      </c>
    </row>
    <row r="8" spans="1:31">
      <c r="A8" t="s">
        <v>333</v>
      </c>
      <c r="B8" t="s">
        <v>4195</v>
      </c>
      <c r="C8" t="s">
        <v>4194</v>
      </c>
      <c r="D8" t="s">
        <v>354</v>
      </c>
      <c r="E8">
        <v>14782.652344</v>
      </c>
      <c r="F8">
        <v>14672.786133</v>
      </c>
      <c r="G8">
        <v>14552.569336</v>
      </c>
      <c r="H8">
        <v>14378.153319999999</v>
      </c>
      <c r="I8">
        <v>14166.833984000001</v>
      </c>
      <c r="J8">
        <v>13936.756836</v>
      </c>
      <c r="K8">
        <v>13713.142578000001</v>
      </c>
      <c r="L8">
        <v>13521.099609000001</v>
      </c>
      <c r="M8">
        <v>13320.391602</v>
      </c>
      <c r="N8">
        <v>13191.330078000001</v>
      </c>
      <c r="O8">
        <v>13049.682617</v>
      </c>
      <c r="P8">
        <v>12877.704102</v>
      </c>
      <c r="Q8">
        <v>12704.928711</v>
      </c>
      <c r="R8">
        <v>12556.594727</v>
      </c>
      <c r="S8">
        <v>12411.375</v>
      </c>
      <c r="T8">
        <v>12293.764648</v>
      </c>
      <c r="U8">
        <v>12185.321289</v>
      </c>
      <c r="V8">
        <v>12056.222656</v>
      </c>
      <c r="W8">
        <v>11972.278319999999</v>
      </c>
      <c r="X8">
        <v>11877.881836</v>
      </c>
      <c r="Y8">
        <v>11796.012694999999</v>
      </c>
      <c r="Z8">
        <v>11703.430664</v>
      </c>
      <c r="AA8">
        <v>11626.831055000001</v>
      </c>
      <c r="AB8">
        <v>11521.399414</v>
      </c>
      <c r="AC8">
        <v>11413.982421999999</v>
      </c>
      <c r="AD8">
        <v>11339.188477</v>
      </c>
      <c r="AE8" s="31">
        <v>-1.0999999999999999E-2</v>
      </c>
    </row>
    <row r="9" spans="1:31">
      <c r="A9" t="s">
        <v>334</v>
      </c>
      <c r="B9" t="s">
        <v>4193</v>
      </c>
      <c r="C9" t="s">
        <v>4192</v>
      </c>
      <c r="D9" t="s">
        <v>354</v>
      </c>
      <c r="E9">
        <v>5320.3652339999999</v>
      </c>
      <c r="F9">
        <v>5117.4160160000001</v>
      </c>
      <c r="G9">
        <v>4906.689453</v>
      </c>
      <c r="H9">
        <v>4690.3427730000003</v>
      </c>
      <c r="I9">
        <v>4469.2255859999996</v>
      </c>
      <c r="J9">
        <v>4257.3305659999996</v>
      </c>
      <c r="K9">
        <v>4040.4101559999999</v>
      </c>
      <c r="L9">
        <v>3852.2192380000001</v>
      </c>
      <c r="M9">
        <v>3664.8732909999999</v>
      </c>
      <c r="N9">
        <v>3531.5385740000002</v>
      </c>
      <c r="O9">
        <v>3383.813721</v>
      </c>
      <c r="P9">
        <v>3233.6533199999999</v>
      </c>
      <c r="Q9">
        <v>3111.0688479999999</v>
      </c>
      <c r="R9">
        <v>3011.0363769999999</v>
      </c>
      <c r="S9">
        <v>2914.9665530000002</v>
      </c>
      <c r="T9">
        <v>2830.5466310000002</v>
      </c>
      <c r="U9">
        <v>2761.8447270000001</v>
      </c>
      <c r="V9">
        <v>2694.5966800000001</v>
      </c>
      <c r="W9">
        <v>2638.8081050000001</v>
      </c>
      <c r="X9">
        <v>2583.6826169999999</v>
      </c>
      <c r="Y9">
        <v>2538.9562989999999</v>
      </c>
      <c r="Z9">
        <v>2493.3979490000002</v>
      </c>
      <c r="AA9">
        <v>2461.2407229999999</v>
      </c>
      <c r="AB9">
        <v>2406.766846</v>
      </c>
      <c r="AC9">
        <v>2359.8395999999998</v>
      </c>
      <c r="AD9">
        <v>2323.788818</v>
      </c>
      <c r="AE9" s="31">
        <v>-3.3000000000000002E-2</v>
      </c>
    </row>
    <row r="10" spans="1:31">
      <c r="A10" t="s">
        <v>335</v>
      </c>
      <c r="B10" t="s">
        <v>4191</v>
      </c>
      <c r="C10" t="s">
        <v>4190</v>
      </c>
      <c r="D10" t="s">
        <v>354</v>
      </c>
      <c r="E10">
        <v>9405.5078119999998</v>
      </c>
      <c r="F10">
        <v>9498.1933590000008</v>
      </c>
      <c r="G10">
        <v>9588.1816409999992</v>
      </c>
      <c r="H10">
        <v>9629.7568360000005</v>
      </c>
      <c r="I10">
        <v>9639.2099610000005</v>
      </c>
      <c r="J10">
        <v>9620.7421880000002</v>
      </c>
      <c r="K10">
        <v>9613.7539059999999</v>
      </c>
      <c r="L10">
        <v>9609.6035159999992</v>
      </c>
      <c r="M10">
        <v>9596.03125</v>
      </c>
      <c r="N10">
        <v>9600.0722659999992</v>
      </c>
      <c r="O10">
        <v>9605.9707030000009</v>
      </c>
      <c r="P10">
        <v>9583.9267579999996</v>
      </c>
      <c r="Q10">
        <v>9533.484375</v>
      </c>
      <c r="R10">
        <v>9484.9316409999992</v>
      </c>
      <c r="S10">
        <v>9435.5722659999992</v>
      </c>
      <c r="T10">
        <v>9402.1591800000006</v>
      </c>
      <c r="U10">
        <v>9362.2275389999995</v>
      </c>
      <c r="V10">
        <v>9300.2011719999991</v>
      </c>
      <c r="W10">
        <v>9271.8828119999998</v>
      </c>
      <c r="X10">
        <v>9232.4296880000002</v>
      </c>
      <c r="Y10">
        <v>9195.1132809999999</v>
      </c>
      <c r="Z10">
        <v>9147.9414059999999</v>
      </c>
      <c r="AA10">
        <v>9103.3945309999999</v>
      </c>
      <c r="AB10">
        <v>9052.3349610000005</v>
      </c>
      <c r="AC10">
        <v>8991.7529300000006</v>
      </c>
      <c r="AD10">
        <v>8952.8935550000006</v>
      </c>
      <c r="AE10" s="31">
        <v>-2E-3</v>
      </c>
    </row>
    <row r="11" spans="1:31" s="14" customFormat="1">
      <c r="A11" s="14" t="s">
        <v>336</v>
      </c>
      <c r="B11" s="14" t="s">
        <v>4189</v>
      </c>
      <c r="C11" s="14" t="s">
        <v>4188</v>
      </c>
      <c r="D11" s="14" t="s">
        <v>354</v>
      </c>
      <c r="E11" s="14">
        <v>56.779567999999998</v>
      </c>
      <c r="F11" s="14">
        <v>57.176310999999998</v>
      </c>
      <c r="G11" s="14">
        <v>57.698483000000003</v>
      </c>
      <c r="H11" s="14">
        <v>58.054152999999999</v>
      </c>
      <c r="I11" s="14">
        <v>58.398434000000002</v>
      </c>
      <c r="J11" s="14">
        <v>58.684269</v>
      </c>
      <c r="K11" s="14">
        <v>58.978935</v>
      </c>
      <c r="L11" s="14">
        <v>59.276961999999997</v>
      </c>
      <c r="M11" s="14">
        <v>59.487502999999997</v>
      </c>
      <c r="N11" s="14">
        <v>59.718758000000001</v>
      </c>
      <c r="O11" s="14">
        <v>59.898040999999999</v>
      </c>
      <c r="P11" s="14">
        <v>60.123821</v>
      </c>
      <c r="Q11" s="14">
        <v>60.375866000000002</v>
      </c>
      <c r="R11" s="14">
        <v>60.626590999999998</v>
      </c>
      <c r="S11" s="14">
        <v>60.835773000000003</v>
      </c>
      <c r="T11" s="14">
        <v>61.058501999999997</v>
      </c>
      <c r="U11" s="14">
        <v>61.249287000000002</v>
      </c>
      <c r="V11" s="14">
        <v>61.424819999999997</v>
      </c>
      <c r="W11" s="14">
        <v>61.587009000000002</v>
      </c>
      <c r="X11" s="14">
        <v>61.769066000000002</v>
      </c>
      <c r="Y11" s="14">
        <v>61.943649000000001</v>
      </c>
      <c r="Z11" s="14">
        <v>62.091267000000002</v>
      </c>
      <c r="AA11" s="14">
        <v>62.195950000000003</v>
      </c>
      <c r="AB11" s="14">
        <v>62.297584999999998</v>
      </c>
      <c r="AC11" s="14">
        <v>62.390011000000001</v>
      </c>
      <c r="AD11" s="14">
        <v>62.506027000000003</v>
      </c>
      <c r="AE11" s="161">
        <v>4.0000000000000001E-3</v>
      </c>
    </row>
    <row r="12" spans="1:31">
      <c r="A12" t="s">
        <v>311</v>
      </c>
      <c r="B12" t="s">
        <v>4187</v>
      </c>
      <c r="C12" t="s">
        <v>4186</v>
      </c>
      <c r="D12" t="s">
        <v>354</v>
      </c>
      <c r="E12">
        <v>871.73803699999996</v>
      </c>
      <c r="F12">
        <v>870.93127400000003</v>
      </c>
      <c r="G12">
        <v>878.18786599999999</v>
      </c>
      <c r="H12">
        <v>876.64031999999997</v>
      </c>
      <c r="I12">
        <v>877.49761999999998</v>
      </c>
      <c r="J12">
        <v>883.06561299999998</v>
      </c>
      <c r="K12">
        <v>889.11267099999998</v>
      </c>
      <c r="L12">
        <v>896.20495600000004</v>
      </c>
      <c r="M12">
        <v>899.51293899999996</v>
      </c>
      <c r="N12">
        <v>902.26599099999999</v>
      </c>
      <c r="O12">
        <v>904.877747</v>
      </c>
      <c r="P12">
        <v>908.14459199999999</v>
      </c>
      <c r="Q12">
        <v>911.62365699999998</v>
      </c>
      <c r="R12">
        <v>915.68566899999996</v>
      </c>
      <c r="S12">
        <v>920.17040999999995</v>
      </c>
      <c r="T12">
        <v>923.98657200000002</v>
      </c>
      <c r="U12">
        <v>924.61395300000004</v>
      </c>
      <c r="V12">
        <v>925.10064699999998</v>
      </c>
      <c r="W12">
        <v>921.74749799999995</v>
      </c>
      <c r="X12">
        <v>918.246216</v>
      </c>
      <c r="Y12">
        <v>914.85632299999997</v>
      </c>
      <c r="Z12">
        <v>911.68872099999999</v>
      </c>
      <c r="AA12">
        <v>910.07971199999997</v>
      </c>
      <c r="AB12">
        <v>907.56970200000001</v>
      </c>
      <c r="AC12">
        <v>906.50732400000004</v>
      </c>
      <c r="AD12">
        <v>904.85522500000002</v>
      </c>
      <c r="AE12" s="31">
        <v>1E-3</v>
      </c>
    </row>
    <row r="13" spans="1:31">
      <c r="A13" t="s">
        <v>337</v>
      </c>
      <c r="B13" t="s">
        <v>4185</v>
      </c>
      <c r="C13" t="s">
        <v>4184</v>
      </c>
      <c r="D13" t="s">
        <v>354</v>
      </c>
      <c r="E13">
        <v>211.25320400000001</v>
      </c>
      <c r="F13">
        <v>212.57775899999999</v>
      </c>
      <c r="G13">
        <v>213.11239599999999</v>
      </c>
      <c r="H13">
        <v>213.566406</v>
      </c>
      <c r="I13">
        <v>213.72061199999999</v>
      </c>
      <c r="J13">
        <v>213.30458100000001</v>
      </c>
      <c r="K13">
        <v>212.525925</v>
      </c>
      <c r="L13">
        <v>211.38587999999999</v>
      </c>
      <c r="M13">
        <v>210.52954099999999</v>
      </c>
      <c r="N13">
        <v>209.21881099999999</v>
      </c>
      <c r="O13">
        <v>207.977768</v>
      </c>
      <c r="P13">
        <v>206.81025700000001</v>
      </c>
      <c r="Q13">
        <v>205.795197</v>
      </c>
      <c r="R13">
        <v>204.670288</v>
      </c>
      <c r="S13">
        <v>203.497345</v>
      </c>
      <c r="T13">
        <v>202.422211</v>
      </c>
      <c r="U13">
        <v>201.16824299999999</v>
      </c>
      <c r="V13">
        <v>199.892303</v>
      </c>
      <c r="W13">
        <v>198.413895</v>
      </c>
      <c r="X13">
        <v>196.95404099999999</v>
      </c>
      <c r="Y13">
        <v>195.51977500000001</v>
      </c>
      <c r="Z13">
        <v>193.97271699999999</v>
      </c>
      <c r="AA13">
        <v>192.57804899999999</v>
      </c>
      <c r="AB13">
        <v>190.986389</v>
      </c>
      <c r="AC13">
        <v>189.41180399999999</v>
      </c>
      <c r="AD13">
        <v>187.75912500000001</v>
      </c>
      <c r="AE13" s="31">
        <v>-5.0000000000000001E-3</v>
      </c>
    </row>
    <row r="14" spans="1:31">
      <c r="A14" t="s">
        <v>338</v>
      </c>
      <c r="B14" t="s">
        <v>4183</v>
      </c>
      <c r="C14" t="s">
        <v>4182</v>
      </c>
      <c r="D14" t="s">
        <v>354</v>
      </c>
      <c r="E14">
        <v>81.386757000000003</v>
      </c>
      <c r="F14">
        <v>82.803413000000006</v>
      </c>
      <c r="G14">
        <v>83.835464000000002</v>
      </c>
      <c r="H14">
        <v>85.006743999999998</v>
      </c>
      <c r="I14">
        <v>85.925635999999997</v>
      </c>
      <c r="J14">
        <v>86.345016000000001</v>
      </c>
      <c r="K14">
        <v>86.461342000000002</v>
      </c>
      <c r="L14">
        <v>86.138701999999995</v>
      </c>
      <c r="M14">
        <v>85.985504000000006</v>
      </c>
      <c r="N14">
        <v>85.269272000000001</v>
      </c>
      <c r="O14">
        <v>84.535629</v>
      </c>
      <c r="P14">
        <v>83.826690999999997</v>
      </c>
      <c r="Q14">
        <v>83.230346999999995</v>
      </c>
      <c r="R14">
        <v>82.590384999999998</v>
      </c>
      <c r="S14">
        <v>81.807541000000001</v>
      </c>
      <c r="T14">
        <v>81.121689000000003</v>
      </c>
      <c r="U14">
        <v>80.380759999999995</v>
      </c>
      <c r="V14">
        <v>79.630898000000002</v>
      </c>
      <c r="W14">
        <v>78.707725999999994</v>
      </c>
      <c r="X14">
        <v>77.836594000000005</v>
      </c>
      <c r="Y14">
        <v>77.020477</v>
      </c>
      <c r="Z14">
        <v>76.116501</v>
      </c>
      <c r="AA14">
        <v>75.393669000000003</v>
      </c>
      <c r="AB14">
        <v>74.492310000000003</v>
      </c>
      <c r="AC14">
        <v>73.628913999999995</v>
      </c>
      <c r="AD14">
        <v>72.697647000000003</v>
      </c>
      <c r="AE14" s="31">
        <v>-5.0000000000000001E-3</v>
      </c>
    </row>
    <row r="15" spans="1:31">
      <c r="A15" t="s">
        <v>339</v>
      </c>
      <c r="B15" t="s">
        <v>4181</v>
      </c>
      <c r="C15" t="s">
        <v>4180</v>
      </c>
      <c r="D15" t="s">
        <v>354</v>
      </c>
      <c r="E15">
        <v>26.040634000000001</v>
      </c>
      <c r="F15">
        <v>27.011510999999999</v>
      </c>
      <c r="G15">
        <v>27.698944000000001</v>
      </c>
      <c r="H15">
        <v>28.168467</v>
      </c>
      <c r="I15">
        <v>28.586566999999999</v>
      </c>
      <c r="J15">
        <v>28.964494999999999</v>
      </c>
      <c r="K15">
        <v>29.274439000000001</v>
      </c>
      <c r="L15">
        <v>29.569977000000002</v>
      </c>
      <c r="M15">
        <v>29.839376000000001</v>
      </c>
      <c r="N15">
        <v>30.092175999999998</v>
      </c>
      <c r="O15">
        <v>30.336538000000001</v>
      </c>
      <c r="P15">
        <v>30.500340000000001</v>
      </c>
      <c r="Q15">
        <v>30.643298999999999</v>
      </c>
      <c r="R15">
        <v>30.772943000000001</v>
      </c>
      <c r="S15">
        <v>30.879784000000001</v>
      </c>
      <c r="T15">
        <v>30.975930999999999</v>
      </c>
      <c r="U15">
        <v>31.056975999999999</v>
      </c>
      <c r="V15">
        <v>31.137131</v>
      </c>
      <c r="W15">
        <v>31.216282</v>
      </c>
      <c r="X15">
        <v>31.290329</v>
      </c>
      <c r="Y15">
        <v>31.358764999999998</v>
      </c>
      <c r="Z15">
        <v>31.414042999999999</v>
      </c>
      <c r="AA15">
        <v>31.453645999999999</v>
      </c>
      <c r="AB15">
        <v>31.486733999999998</v>
      </c>
      <c r="AC15">
        <v>31.509875999999998</v>
      </c>
      <c r="AD15">
        <v>31.535050999999999</v>
      </c>
      <c r="AE15" s="31">
        <v>8.0000000000000002E-3</v>
      </c>
    </row>
    <row r="16" spans="1:31">
      <c r="A16" t="s">
        <v>340</v>
      </c>
      <c r="B16" t="s">
        <v>4179</v>
      </c>
      <c r="C16" t="s">
        <v>4178</v>
      </c>
      <c r="D16" t="s">
        <v>354</v>
      </c>
      <c r="E16">
        <v>103.825829</v>
      </c>
      <c r="F16">
        <v>102.76284800000001</v>
      </c>
      <c r="G16">
        <v>101.577988</v>
      </c>
      <c r="H16">
        <v>100.391212</v>
      </c>
      <c r="I16">
        <v>99.208411999999996</v>
      </c>
      <c r="J16">
        <v>97.995063999999999</v>
      </c>
      <c r="K16">
        <v>96.790137999999999</v>
      </c>
      <c r="L16">
        <v>95.677184999999994</v>
      </c>
      <c r="M16">
        <v>94.704666000000003</v>
      </c>
      <c r="N16">
        <v>93.857346000000007</v>
      </c>
      <c r="O16">
        <v>93.105605999999995</v>
      </c>
      <c r="P16">
        <v>92.483238</v>
      </c>
      <c r="Q16">
        <v>91.921538999999996</v>
      </c>
      <c r="R16">
        <v>91.306961000000001</v>
      </c>
      <c r="S16">
        <v>90.810012999999998</v>
      </c>
      <c r="T16">
        <v>90.324584999999999</v>
      </c>
      <c r="U16">
        <v>89.730491999999998</v>
      </c>
      <c r="V16">
        <v>89.124268000000001</v>
      </c>
      <c r="W16">
        <v>88.489891</v>
      </c>
      <c r="X16">
        <v>87.827110000000005</v>
      </c>
      <c r="Y16">
        <v>87.140533000000005</v>
      </c>
      <c r="Z16">
        <v>86.442177000000001</v>
      </c>
      <c r="AA16">
        <v>85.730727999999999</v>
      </c>
      <c r="AB16">
        <v>85.007346999999996</v>
      </c>
      <c r="AC16">
        <v>84.273009999999999</v>
      </c>
      <c r="AD16">
        <v>83.526427999999996</v>
      </c>
      <c r="AE16" s="31">
        <v>-8.9999999999999993E-3</v>
      </c>
    </row>
    <row r="17" spans="1:31">
      <c r="A17" t="s">
        <v>312</v>
      </c>
      <c r="B17" t="s">
        <v>4177</v>
      </c>
      <c r="C17" t="s">
        <v>4176</v>
      </c>
      <c r="D17" t="s">
        <v>354</v>
      </c>
      <c r="E17">
        <v>5766.9121089999999</v>
      </c>
      <c r="F17">
        <v>5753.7045900000003</v>
      </c>
      <c r="G17">
        <v>5746.5971680000002</v>
      </c>
      <c r="H17">
        <v>5738.7993159999996</v>
      </c>
      <c r="I17">
        <v>5723.9184569999998</v>
      </c>
      <c r="J17">
        <v>5726.1933589999999</v>
      </c>
      <c r="K17">
        <v>5711.8627930000002</v>
      </c>
      <c r="L17">
        <v>5694.1850590000004</v>
      </c>
      <c r="M17">
        <v>5667.1596680000002</v>
      </c>
      <c r="N17">
        <v>5653.5654299999997</v>
      </c>
      <c r="O17">
        <v>5645.732422</v>
      </c>
      <c r="P17">
        <v>5641.7373049999997</v>
      </c>
      <c r="Q17">
        <v>5643.1630859999996</v>
      </c>
      <c r="R17">
        <v>5647.5395509999998</v>
      </c>
      <c r="S17">
        <v>5654.9799800000001</v>
      </c>
      <c r="T17">
        <v>5667.8789059999999</v>
      </c>
      <c r="U17">
        <v>5681.2607420000004</v>
      </c>
      <c r="V17">
        <v>5694.6044920000004</v>
      </c>
      <c r="W17">
        <v>5704.2255859999996</v>
      </c>
      <c r="X17">
        <v>5715.4414059999999</v>
      </c>
      <c r="Y17">
        <v>5736.4423829999996</v>
      </c>
      <c r="Z17">
        <v>5760.5668949999999</v>
      </c>
      <c r="AA17">
        <v>5787.2734380000002</v>
      </c>
      <c r="AB17">
        <v>5805.7119140000004</v>
      </c>
      <c r="AC17">
        <v>5825.7827150000003</v>
      </c>
      <c r="AD17">
        <v>5843.3359380000002</v>
      </c>
      <c r="AE17" s="31">
        <v>1E-3</v>
      </c>
    </row>
    <row r="18" spans="1:31">
      <c r="A18" t="s">
        <v>341</v>
      </c>
      <c r="B18" t="s">
        <v>4175</v>
      </c>
      <c r="C18" t="s">
        <v>4174</v>
      </c>
      <c r="D18" t="s">
        <v>354</v>
      </c>
      <c r="E18">
        <v>878.88763400000005</v>
      </c>
      <c r="F18">
        <v>875.65039100000001</v>
      </c>
      <c r="G18">
        <v>871.08074999999997</v>
      </c>
      <c r="H18">
        <v>869.02667199999996</v>
      </c>
      <c r="I18">
        <v>869.54315199999996</v>
      </c>
      <c r="J18">
        <v>875.71343999999999</v>
      </c>
      <c r="K18">
        <v>881.18335000000002</v>
      </c>
      <c r="L18">
        <v>888.25006099999996</v>
      </c>
      <c r="M18">
        <v>894.75604199999998</v>
      </c>
      <c r="N18">
        <v>903.64483600000005</v>
      </c>
      <c r="O18">
        <v>913.00457800000004</v>
      </c>
      <c r="P18">
        <v>922.39703399999996</v>
      </c>
      <c r="Q18">
        <v>933.17083700000001</v>
      </c>
      <c r="R18">
        <v>945.58709699999997</v>
      </c>
      <c r="S18">
        <v>958.87097200000005</v>
      </c>
      <c r="T18">
        <v>973.38940400000001</v>
      </c>
      <c r="U18">
        <v>985.79107699999997</v>
      </c>
      <c r="V18">
        <v>995.680969</v>
      </c>
      <c r="W18">
        <v>1001.945801</v>
      </c>
      <c r="X18">
        <v>1005.547119</v>
      </c>
      <c r="Y18">
        <v>1008.816467</v>
      </c>
      <c r="Z18">
        <v>1012.5261839999999</v>
      </c>
      <c r="AA18">
        <v>1017.279541</v>
      </c>
      <c r="AB18">
        <v>1020.632507</v>
      </c>
      <c r="AC18">
        <v>1024.576538</v>
      </c>
      <c r="AD18">
        <v>1027.469971</v>
      </c>
      <c r="AE18" s="31">
        <v>6.0000000000000001E-3</v>
      </c>
    </row>
    <row r="19" spans="1:31">
      <c r="A19" t="s">
        <v>342</v>
      </c>
      <c r="B19" t="s">
        <v>4173</v>
      </c>
      <c r="C19" t="s">
        <v>4172</v>
      </c>
      <c r="D19" t="s">
        <v>354</v>
      </c>
      <c r="E19">
        <v>860.75140399999998</v>
      </c>
      <c r="F19">
        <v>840.025757</v>
      </c>
      <c r="G19">
        <v>822.00860599999999</v>
      </c>
      <c r="H19">
        <v>805.75439500000005</v>
      </c>
      <c r="I19">
        <v>788.99200399999995</v>
      </c>
      <c r="J19">
        <v>775.35064699999998</v>
      </c>
      <c r="K19">
        <v>760.34320100000002</v>
      </c>
      <c r="L19">
        <v>747.52923599999997</v>
      </c>
      <c r="M19">
        <v>734.25006099999996</v>
      </c>
      <c r="N19">
        <v>723.48461899999995</v>
      </c>
      <c r="O19">
        <v>714.30389400000001</v>
      </c>
      <c r="P19">
        <v>706.76306199999999</v>
      </c>
      <c r="Q19">
        <v>700.919128</v>
      </c>
      <c r="R19">
        <v>696.08160399999997</v>
      </c>
      <c r="S19">
        <v>692.39318800000001</v>
      </c>
      <c r="T19">
        <v>689.86663799999997</v>
      </c>
      <c r="U19">
        <v>687.68890399999998</v>
      </c>
      <c r="V19">
        <v>686.25061000000005</v>
      </c>
      <c r="W19">
        <v>685.214111</v>
      </c>
      <c r="X19">
        <v>684.96173099999999</v>
      </c>
      <c r="Y19">
        <v>686.162598</v>
      </c>
      <c r="Z19">
        <v>687.87030000000004</v>
      </c>
      <c r="AA19">
        <v>690.09887700000002</v>
      </c>
      <c r="AB19">
        <v>691.63452099999995</v>
      </c>
      <c r="AC19">
        <v>693.48486300000002</v>
      </c>
      <c r="AD19">
        <v>694.85797100000002</v>
      </c>
      <c r="AE19" s="31">
        <v>-8.9999999999999993E-3</v>
      </c>
    </row>
    <row r="20" spans="1:31">
      <c r="A20" t="s">
        <v>392</v>
      </c>
      <c r="B20" t="s">
        <v>4171</v>
      </c>
      <c r="C20" t="s">
        <v>4170</v>
      </c>
      <c r="D20" t="s">
        <v>354</v>
      </c>
      <c r="E20">
        <v>4027.273193</v>
      </c>
      <c r="F20">
        <v>4038.0285640000002</v>
      </c>
      <c r="G20">
        <v>4053.5085450000001</v>
      </c>
      <c r="H20">
        <v>4064.0180660000001</v>
      </c>
      <c r="I20">
        <v>4065.3833009999998</v>
      </c>
      <c r="J20">
        <v>4075.1293949999999</v>
      </c>
      <c r="K20">
        <v>4070.336182</v>
      </c>
      <c r="L20">
        <v>4058.4052729999999</v>
      </c>
      <c r="M20">
        <v>4038.1535640000002</v>
      </c>
      <c r="N20">
        <v>4026.4360350000002</v>
      </c>
      <c r="O20">
        <v>4018.4240719999998</v>
      </c>
      <c r="P20">
        <v>4012.578125</v>
      </c>
      <c r="Q20">
        <v>4009.0737300000001</v>
      </c>
      <c r="R20">
        <v>4005.8706050000001</v>
      </c>
      <c r="S20">
        <v>4003.7158199999999</v>
      </c>
      <c r="T20">
        <v>4004.6220699999999</v>
      </c>
      <c r="U20">
        <v>4007.7807619999999</v>
      </c>
      <c r="V20">
        <v>4012.6723630000001</v>
      </c>
      <c r="W20">
        <v>4017.0659179999998</v>
      </c>
      <c r="X20">
        <v>4024.931885</v>
      </c>
      <c r="Y20">
        <v>4041.463135</v>
      </c>
      <c r="Z20">
        <v>4060.169922</v>
      </c>
      <c r="AA20">
        <v>4079.8955080000001</v>
      </c>
      <c r="AB20">
        <v>4093.4448240000002</v>
      </c>
      <c r="AC20">
        <v>4107.7216799999997</v>
      </c>
      <c r="AD20">
        <v>4121.0078119999998</v>
      </c>
      <c r="AE20" s="31">
        <v>1E-3</v>
      </c>
    </row>
    <row r="21" spans="1:31">
      <c r="A21" t="s">
        <v>343</v>
      </c>
    </row>
    <row r="22" spans="1:31">
      <c r="A22" t="s">
        <v>185</v>
      </c>
      <c r="B22" t="s">
        <v>4169</v>
      </c>
      <c r="C22" t="s">
        <v>4168</v>
      </c>
      <c r="D22" t="s">
        <v>354</v>
      </c>
      <c r="E22">
        <v>3252.4882809999999</v>
      </c>
      <c r="F22">
        <v>3298.36499</v>
      </c>
      <c r="G22">
        <v>3324.9204100000002</v>
      </c>
      <c r="H22">
        <v>3326.1455080000001</v>
      </c>
      <c r="I22">
        <v>3341.0751949999999</v>
      </c>
      <c r="J22">
        <v>3366.914307</v>
      </c>
      <c r="K22">
        <v>3390.1228030000002</v>
      </c>
      <c r="L22">
        <v>3422.7402339999999</v>
      </c>
      <c r="M22">
        <v>3457.8706050000001</v>
      </c>
      <c r="N22">
        <v>3500.2690429999998</v>
      </c>
      <c r="O22">
        <v>3550.9953609999998</v>
      </c>
      <c r="P22">
        <v>3586.7416990000002</v>
      </c>
      <c r="Q22">
        <v>3625.8691410000001</v>
      </c>
      <c r="R22">
        <v>3663.3786620000001</v>
      </c>
      <c r="S22">
        <v>3699.4719239999999</v>
      </c>
      <c r="T22">
        <v>3736.006836</v>
      </c>
      <c r="U22">
        <v>3768.031982</v>
      </c>
      <c r="V22">
        <v>3803.091797</v>
      </c>
      <c r="W22">
        <v>3839.498779</v>
      </c>
      <c r="X22">
        <v>3874.8383789999998</v>
      </c>
      <c r="Y22">
        <v>3910.0573730000001</v>
      </c>
      <c r="Z22">
        <v>3941.4396969999998</v>
      </c>
      <c r="AA22">
        <v>3967.9187010000001</v>
      </c>
      <c r="AB22">
        <v>3994.1921390000002</v>
      </c>
      <c r="AC22">
        <v>4016.1320799999999</v>
      </c>
      <c r="AD22">
        <v>4039.7954100000002</v>
      </c>
      <c r="AE22" s="31">
        <v>8.9999999999999993E-3</v>
      </c>
    </row>
    <row r="23" spans="1:31">
      <c r="A23" t="s">
        <v>344</v>
      </c>
      <c r="B23" t="s">
        <v>4167</v>
      </c>
      <c r="C23" t="s">
        <v>4166</v>
      </c>
      <c r="D23" t="s">
        <v>354</v>
      </c>
      <c r="E23">
        <v>176.20799299999999</v>
      </c>
      <c r="F23">
        <v>178.38659699999999</v>
      </c>
      <c r="G23">
        <v>179.646332</v>
      </c>
      <c r="H23">
        <v>179.700424</v>
      </c>
      <c r="I23">
        <v>180.40808100000001</v>
      </c>
      <c r="J23">
        <v>181.63563500000001</v>
      </c>
      <c r="K23">
        <v>182.73869300000001</v>
      </c>
      <c r="L23">
        <v>184.28993199999999</v>
      </c>
      <c r="M23">
        <v>185.96112099999999</v>
      </c>
      <c r="N23">
        <v>187.97880599999999</v>
      </c>
      <c r="O23">
        <v>190.39344800000001</v>
      </c>
      <c r="P23">
        <v>192.09466599999999</v>
      </c>
      <c r="Q23">
        <v>193.95716899999999</v>
      </c>
      <c r="R23">
        <v>195.742661</v>
      </c>
      <c r="S23">
        <v>197.46087600000001</v>
      </c>
      <c r="T23">
        <v>199.20019500000001</v>
      </c>
      <c r="U23">
        <v>200.724976</v>
      </c>
      <c r="V23">
        <v>202.394104</v>
      </c>
      <c r="W23">
        <v>204.12750199999999</v>
      </c>
      <c r="X23">
        <v>205.81014999999999</v>
      </c>
      <c r="Y23">
        <v>207.48722799999999</v>
      </c>
      <c r="Z23">
        <v>208.98147599999999</v>
      </c>
      <c r="AA23">
        <v>210.242096</v>
      </c>
      <c r="AB23">
        <v>211.493225</v>
      </c>
      <c r="AC23">
        <v>212.53782699999999</v>
      </c>
      <c r="AD23">
        <v>213.664703</v>
      </c>
      <c r="AE23" s="31">
        <v>8.0000000000000002E-3</v>
      </c>
    </row>
    <row r="24" spans="1:31" s="14" customFormat="1">
      <c r="A24" s="14" t="s">
        <v>541</v>
      </c>
      <c r="B24" s="14" t="s">
        <v>4165</v>
      </c>
      <c r="C24" s="14" t="s">
        <v>4164</v>
      </c>
      <c r="D24" s="14" t="s">
        <v>354</v>
      </c>
      <c r="E24" s="14">
        <v>1624.5133060000001</v>
      </c>
      <c r="F24" s="14">
        <v>1656.613525</v>
      </c>
      <c r="G24" s="14">
        <v>1671.571655</v>
      </c>
      <c r="H24" s="14">
        <v>1669.4704589999999</v>
      </c>
      <c r="I24" s="14">
        <v>1675.536865</v>
      </c>
      <c r="J24" s="14">
        <v>1687.411621</v>
      </c>
      <c r="K24" s="14">
        <v>1697.76001</v>
      </c>
      <c r="L24" s="14">
        <v>1713.393188</v>
      </c>
      <c r="M24" s="14">
        <v>1731.0535890000001</v>
      </c>
      <c r="N24" s="14">
        <v>1752.3201899999999</v>
      </c>
      <c r="O24" s="14">
        <v>1777.0566409999999</v>
      </c>
      <c r="P24" s="14">
        <v>1791.954712</v>
      </c>
      <c r="Q24" s="14">
        <v>1807.276245</v>
      </c>
      <c r="R24" s="14">
        <v>1821.9957280000001</v>
      </c>
      <c r="S24" s="14">
        <v>1835.5120850000001</v>
      </c>
      <c r="T24" s="14">
        <v>1849.4420170000001</v>
      </c>
      <c r="U24" s="14">
        <v>1861.0673830000001</v>
      </c>
      <c r="V24" s="14">
        <v>1874.024658</v>
      </c>
      <c r="W24" s="14">
        <v>1888.1870120000001</v>
      </c>
      <c r="X24" s="14">
        <v>1902.1076660000001</v>
      </c>
      <c r="Y24" s="14">
        <v>1915.905884</v>
      </c>
      <c r="Z24" s="14">
        <v>1928.1072999999999</v>
      </c>
      <c r="AA24" s="14">
        <v>1937.5356449999999</v>
      </c>
      <c r="AB24" s="14">
        <v>1946.9343260000001</v>
      </c>
      <c r="AC24" s="14">
        <v>1954.6110839999999</v>
      </c>
      <c r="AD24" s="14">
        <v>1962.684448</v>
      </c>
      <c r="AE24" s="161">
        <v>8.0000000000000002E-3</v>
      </c>
    </row>
    <row r="25" spans="1:31" s="14" customFormat="1">
      <c r="A25" s="14" t="s">
        <v>542</v>
      </c>
      <c r="B25" s="14" t="s">
        <v>4163</v>
      </c>
      <c r="C25" s="14" t="s">
        <v>4162</v>
      </c>
      <c r="D25" s="14" t="s">
        <v>354</v>
      </c>
      <c r="E25" s="14">
        <v>899.942993</v>
      </c>
      <c r="F25" s="14">
        <v>910.18627900000001</v>
      </c>
      <c r="G25" s="14">
        <v>917.91662599999995</v>
      </c>
      <c r="H25" s="14">
        <v>920.09997599999997</v>
      </c>
      <c r="I25" s="14">
        <v>925.556152</v>
      </c>
      <c r="J25" s="14">
        <v>934.01568599999996</v>
      </c>
      <c r="K25" s="14">
        <v>941.74292000000003</v>
      </c>
      <c r="L25" s="14">
        <v>951.96069299999999</v>
      </c>
      <c r="M25" s="14">
        <v>962.53558299999997</v>
      </c>
      <c r="N25" s="14">
        <v>975.22216800000001</v>
      </c>
      <c r="O25" s="14">
        <v>990.63781700000004</v>
      </c>
      <c r="P25" s="14">
        <v>1002.695923</v>
      </c>
      <c r="Q25" s="14">
        <v>1016.302002</v>
      </c>
      <c r="R25" s="14">
        <v>1029.3204350000001</v>
      </c>
      <c r="S25" s="14">
        <v>1042.1243899999999</v>
      </c>
      <c r="T25" s="14">
        <v>1054.9742429999999</v>
      </c>
      <c r="U25" s="14">
        <v>1066.517212</v>
      </c>
      <c r="V25" s="14">
        <v>1079.037231</v>
      </c>
      <c r="W25" s="14">
        <v>1091.7166749999999</v>
      </c>
      <c r="X25" s="14">
        <v>1103.942139</v>
      </c>
      <c r="Y25" s="14">
        <v>1116.1640620000001</v>
      </c>
      <c r="Z25" s="14">
        <v>1127.104736</v>
      </c>
      <c r="AA25" s="14">
        <v>1136.748047</v>
      </c>
      <c r="AB25" s="14">
        <v>1146.3001710000001</v>
      </c>
      <c r="AC25" s="14">
        <v>1154.3604740000001</v>
      </c>
      <c r="AD25" s="14">
        <v>1163.1541749999999</v>
      </c>
      <c r="AE25" s="161">
        <v>0.01</v>
      </c>
    </row>
    <row r="26" spans="1:31" s="14" customFormat="1">
      <c r="A26" s="14" t="s">
        <v>543</v>
      </c>
      <c r="B26" s="14" t="s">
        <v>4161</v>
      </c>
      <c r="C26" s="14" t="s">
        <v>4160</v>
      </c>
      <c r="D26" s="14" t="s">
        <v>354</v>
      </c>
      <c r="E26" s="14">
        <v>551.82409700000005</v>
      </c>
      <c r="F26" s="14">
        <v>553.17852800000003</v>
      </c>
      <c r="G26" s="14">
        <v>555.78558299999997</v>
      </c>
      <c r="H26" s="14">
        <v>556.87463400000001</v>
      </c>
      <c r="I26" s="14">
        <v>559.57428000000004</v>
      </c>
      <c r="J26" s="14">
        <v>563.85137899999995</v>
      </c>
      <c r="K26" s="14">
        <v>567.88116500000001</v>
      </c>
      <c r="L26" s="14">
        <v>573.09655799999996</v>
      </c>
      <c r="M26" s="14">
        <v>578.32043499999997</v>
      </c>
      <c r="N26" s="14">
        <v>584.748108</v>
      </c>
      <c r="O26" s="14">
        <v>592.90741000000003</v>
      </c>
      <c r="P26" s="14">
        <v>599.99664299999995</v>
      </c>
      <c r="Q26" s="14">
        <v>608.33374000000003</v>
      </c>
      <c r="R26" s="14">
        <v>616.31976299999997</v>
      </c>
      <c r="S26" s="14">
        <v>624.37469499999997</v>
      </c>
      <c r="T26" s="14">
        <v>632.390625</v>
      </c>
      <c r="U26" s="14">
        <v>639.72241199999996</v>
      </c>
      <c r="V26" s="14">
        <v>647.63568099999998</v>
      </c>
      <c r="W26" s="14">
        <v>655.46752900000001</v>
      </c>
      <c r="X26" s="14">
        <v>662.97851600000001</v>
      </c>
      <c r="Y26" s="14">
        <v>670.50030500000003</v>
      </c>
      <c r="Z26" s="14">
        <v>677.24615500000004</v>
      </c>
      <c r="AA26" s="14">
        <v>683.39276099999995</v>
      </c>
      <c r="AB26" s="14">
        <v>689.46453899999995</v>
      </c>
      <c r="AC26" s="14">
        <v>694.62286400000005</v>
      </c>
      <c r="AD26" s="14">
        <v>700.29211399999997</v>
      </c>
      <c r="AE26" s="161">
        <v>0.01</v>
      </c>
    </row>
    <row r="27" spans="1:31">
      <c r="A27" t="s">
        <v>345</v>
      </c>
      <c r="B27" t="s">
        <v>4159</v>
      </c>
      <c r="C27" t="s">
        <v>4158</v>
      </c>
      <c r="D27" t="s">
        <v>354</v>
      </c>
      <c r="E27">
        <v>1088.643433</v>
      </c>
      <c r="F27">
        <v>1079.899414</v>
      </c>
      <c r="G27">
        <v>1093.3542480000001</v>
      </c>
      <c r="H27">
        <v>1107.2332759999999</v>
      </c>
      <c r="I27">
        <v>1118.578125</v>
      </c>
      <c r="J27">
        <v>1131.110596</v>
      </c>
      <c r="K27">
        <v>1142.2551269999999</v>
      </c>
      <c r="L27">
        <v>1155.580811</v>
      </c>
      <c r="M27">
        <v>1169.3226320000001</v>
      </c>
      <c r="N27">
        <v>1183.8562010000001</v>
      </c>
      <c r="O27">
        <v>1199.438721</v>
      </c>
      <c r="P27">
        <v>1210.858643</v>
      </c>
      <c r="Q27">
        <v>1219.343384</v>
      </c>
      <c r="R27">
        <v>1227.7210689999999</v>
      </c>
      <c r="S27">
        <v>1235.010986</v>
      </c>
      <c r="T27">
        <v>1242.330688</v>
      </c>
      <c r="U27">
        <v>1249.1145019999999</v>
      </c>
      <c r="V27">
        <v>1256.836914</v>
      </c>
      <c r="W27">
        <v>1264.2082519999999</v>
      </c>
      <c r="X27">
        <v>1271.3983149999999</v>
      </c>
      <c r="Y27">
        <v>1279.665405</v>
      </c>
      <c r="Z27">
        <v>1287.9039310000001</v>
      </c>
      <c r="AA27">
        <v>1296.10376</v>
      </c>
      <c r="AB27">
        <v>1303.567505</v>
      </c>
      <c r="AC27">
        <v>1310.6357419999999</v>
      </c>
      <c r="AD27">
        <v>1318.9021</v>
      </c>
      <c r="AE27" s="31">
        <v>8.0000000000000002E-3</v>
      </c>
    </row>
    <row r="28" spans="1:31">
      <c r="A28" t="s">
        <v>346</v>
      </c>
      <c r="B28" t="s">
        <v>4157</v>
      </c>
      <c r="C28" t="s">
        <v>4156</v>
      </c>
      <c r="D28" t="s">
        <v>354</v>
      </c>
      <c r="E28">
        <v>880.48278800000003</v>
      </c>
      <c r="F28">
        <v>871.10613999999998</v>
      </c>
      <c r="G28">
        <v>885.40618900000004</v>
      </c>
      <c r="H28">
        <v>901.37884499999996</v>
      </c>
      <c r="I28">
        <v>914.31396500000005</v>
      </c>
      <c r="J28">
        <v>927.96319600000004</v>
      </c>
      <c r="K28">
        <v>940.31597899999997</v>
      </c>
      <c r="L28">
        <v>954.36621100000002</v>
      </c>
      <c r="M28">
        <v>968.58581500000003</v>
      </c>
      <c r="N28">
        <v>983.34008800000004</v>
      </c>
      <c r="O28">
        <v>998.87329099999999</v>
      </c>
      <c r="P28">
        <v>1010.870422</v>
      </c>
      <c r="Q28">
        <v>1019.927734</v>
      </c>
      <c r="R28">
        <v>1028.915894</v>
      </c>
      <c r="S28">
        <v>1036.834595</v>
      </c>
      <c r="T28">
        <v>1044.766846</v>
      </c>
      <c r="U28">
        <v>1052.3226320000001</v>
      </c>
      <c r="V28">
        <v>1060.7307129999999</v>
      </c>
      <c r="W28">
        <v>1068.728149</v>
      </c>
      <c r="X28">
        <v>1076.5471190000001</v>
      </c>
      <c r="Y28">
        <v>1085.4528809999999</v>
      </c>
      <c r="Z28">
        <v>1094.4326169999999</v>
      </c>
      <c r="AA28">
        <v>1103.5150149999999</v>
      </c>
      <c r="AB28">
        <v>1111.8948969999999</v>
      </c>
      <c r="AC28">
        <v>1119.962769</v>
      </c>
      <c r="AD28">
        <v>1129.174561</v>
      </c>
      <c r="AE28" s="31">
        <v>0.01</v>
      </c>
    </row>
    <row r="29" spans="1:31">
      <c r="A29" t="s">
        <v>213</v>
      </c>
      <c r="B29" t="s">
        <v>4155</v>
      </c>
      <c r="C29" t="s">
        <v>4154</v>
      </c>
      <c r="D29" t="s">
        <v>354</v>
      </c>
      <c r="E29">
        <v>98.803618999999998</v>
      </c>
      <c r="F29">
        <v>99.316399000000004</v>
      </c>
      <c r="G29">
        <v>98.358688000000001</v>
      </c>
      <c r="H29">
        <v>97.612862000000007</v>
      </c>
      <c r="I29">
        <v>96.659233</v>
      </c>
      <c r="J29">
        <v>96.369911000000002</v>
      </c>
      <c r="K29">
        <v>95.604354999999998</v>
      </c>
      <c r="L29">
        <v>95.185721999999998</v>
      </c>
      <c r="M29">
        <v>94.527596000000003</v>
      </c>
      <c r="N29">
        <v>94.112457000000006</v>
      </c>
      <c r="O29">
        <v>93.649520999999993</v>
      </c>
      <c r="P29">
        <v>93.040108000000004</v>
      </c>
      <c r="Q29">
        <v>92.384003000000007</v>
      </c>
      <c r="R29">
        <v>91.701141000000007</v>
      </c>
      <c r="S29">
        <v>91.18383</v>
      </c>
      <c r="T29">
        <v>90.719489999999993</v>
      </c>
      <c r="U29">
        <v>90.371978999999996</v>
      </c>
      <c r="V29">
        <v>89.852524000000003</v>
      </c>
      <c r="W29">
        <v>89.239898999999994</v>
      </c>
      <c r="X29">
        <v>88.577019000000007</v>
      </c>
      <c r="Y29">
        <v>87.940781000000001</v>
      </c>
      <c r="Z29">
        <v>87.447838000000004</v>
      </c>
      <c r="AA29">
        <v>87.030777</v>
      </c>
      <c r="AB29">
        <v>86.401756000000006</v>
      </c>
      <c r="AC29">
        <v>85.715187</v>
      </c>
      <c r="AD29">
        <v>85.029067999999995</v>
      </c>
      <c r="AE29" s="31">
        <v>-6.0000000000000001E-3</v>
      </c>
    </row>
    <row r="30" spans="1:31">
      <c r="A30" t="s">
        <v>212</v>
      </c>
      <c r="B30" t="s">
        <v>4153</v>
      </c>
      <c r="C30" t="s">
        <v>4152</v>
      </c>
      <c r="D30" t="s">
        <v>354</v>
      </c>
      <c r="E30">
        <v>781.67913799999997</v>
      </c>
      <c r="F30">
        <v>771.78973399999995</v>
      </c>
      <c r="G30">
        <v>787.04748500000005</v>
      </c>
      <c r="H30">
        <v>803.76599099999999</v>
      </c>
      <c r="I30">
        <v>817.65472399999999</v>
      </c>
      <c r="J30">
        <v>831.59326199999998</v>
      </c>
      <c r="K30">
        <v>844.71160899999995</v>
      </c>
      <c r="L30">
        <v>859.18048099999999</v>
      </c>
      <c r="M30">
        <v>874.05822799999999</v>
      </c>
      <c r="N30">
        <v>889.22766100000001</v>
      </c>
      <c r="O30">
        <v>905.22375499999998</v>
      </c>
      <c r="P30">
        <v>917.83032200000002</v>
      </c>
      <c r="Q30">
        <v>927.54376200000002</v>
      </c>
      <c r="R30">
        <v>937.21472200000005</v>
      </c>
      <c r="S30">
        <v>945.650757</v>
      </c>
      <c r="T30">
        <v>954.04736300000002</v>
      </c>
      <c r="U30">
        <v>961.95062299999995</v>
      </c>
      <c r="V30">
        <v>970.87823500000002</v>
      </c>
      <c r="W30">
        <v>979.48828100000003</v>
      </c>
      <c r="X30">
        <v>987.97015399999998</v>
      </c>
      <c r="Y30">
        <v>997.51214600000003</v>
      </c>
      <c r="Z30">
        <v>1006.984741</v>
      </c>
      <c r="AA30">
        <v>1016.484192</v>
      </c>
      <c r="AB30">
        <v>1025.493164</v>
      </c>
      <c r="AC30">
        <v>1034.2475589999999</v>
      </c>
      <c r="AD30">
        <v>1044.1455080000001</v>
      </c>
      <c r="AE30" s="31">
        <v>1.2E-2</v>
      </c>
    </row>
    <row r="31" spans="1:31">
      <c r="A31" t="s">
        <v>281</v>
      </c>
      <c r="B31" t="s">
        <v>4151</v>
      </c>
      <c r="C31" t="s">
        <v>4150</v>
      </c>
      <c r="D31" t="s">
        <v>354</v>
      </c>
      <c r="E31">
        <v>208.160629</v>
      </c>
      <c r="F31">
        <v>208.79321300000001</v>
      </c>
      <c r="G31">
        <v>207.948059</v>
      </c>
      <c r="H31">
        <v>205.85446200000001</v>
      </c>
      <c r="I31">
        <v>204.26417499999999</v>
      </c>
      <c r="J31">
        <v>203.147369</v>
      </c>
      <c r="K31">
        <v>201.93911700000001</v>
      </c>
      <c r="L31">
        <v>201.214584</v>
      </c>
      <c r="M31">
        <v>200.736816</v>
      </c>
      <c r="N31">
        <v>200.51611299999999</v>
      </c>
      <c r="O31">
        <v>200.56538399999999</v>
      </c>
      <c r="P31">
        <v>199.98819</v>
      </c>
      <c r="Q31">
        <v>199.415604</v>
      </c>
      <c r="R31">
        <v>198.80512999999999</v>
      </c>
      <c r="S31">
        <v>198.17640700000001</v>
      </c>
      <c r="T31">
        <v>197.56388899999999</v>
      </c>
      <c r="U31">
        <v>196.79184000000001</v>
      </c>
      <c r="V31">
        <v>196.106247</v>
      </c>
      <c r="W31">
        <v>195.480133</v>
      </c>
      <c r="X31">
        <v>194.85119599999999</v>
      </c>
      <c r="Y31">
        <v>194.21250900000001</v>
      </c>
      <c r="Z31">
        <v>193.47126800000001</v>
      </c>
      <c r="AA31">
        <v>192.58871500000001</v>
      </c>
      <c r="AB31">
        <v>191.672607</v>
      </c>
      <c r="AC31">
        <v>190.67291299999999</v>
      </c>
      <c r="AD31">
        <v>189.727585</v>
      </c>
      <c r="AE31" s="31">
        <v>-4.0000000000000001E-3</v>
      </c>
    </row>
    <row r="32" spans="1:31">
      <c r="A32" t="s">
        <v>180</v>
      </c>
      <c r="B32" t="s">
        <v>4149</v>
      </c>
      <c r="C32" t="s">
        <v>4148</v>
      </c>
      <c r="D32" t="s">
        <v>354</v>
      </c>
      <c r="E32">
        <v>516.72363299999995</v>
      </c>
      <c r="F32">
        <v>507.19360399999999</v>
      </c>
      <c r="G32">
        <v>522.60821499999997</v>
      </c>
      <c r="H32">
        <v>513.34301800000003</v>
      </c>
      <c r="I32">
        <v>509.96374500000002</v>
      </c>
      <c r="J32">
        <v>513.24719200000004</v>
      </c>
      <c r="K32">
        <v>501.59112499999998</v>
      </c>
      <c r="L32">
        <v>503.76962300000002</v>
      </c>
      <c r="M32">
        <v>506.10992399999998</v>
      </c>
      <c r="N32">
        <v>505.166809</v>
      </c>
      <c r="O32">
        <v>507.21087599999998</v>
      </c>
      <c r="P32">
        <v>508.85015900000002</v>
      </c>
      <c r="Q32">
        <v>511.177032</v>
      </c>
      <c r="R32">
        <v>511.90670799999998</v>
      </c>
      <c r="S32">
        <v>513.26159700000005</v>
      </c>
      <c r="T32">
        <v>514.15649399999995</v>
      </c>
      <c r="U32">
        <v>514.13348399999995</v>
      </c>
      <c r="V32">
        <v>513.11389199999996</v>
      </c>
      <c r="W32">
        <v>512.32818599999996</v>
      </c>
      <c r="X32">
        <v>512.73803699999996</v>
      </c>
      <c r="Y32">
        <v>512.89343299999996</v>
      </c>
      <c r="Z32">
        <v>514.17419400000006</v>
      </c>
      <c r="AA32">
        <v>517.23004200000003</v>
      </c>
      <c r="AB32">
        <v>518.95605499999999</v>
      </c>
      <c r="AC32">
        <v>517.89581299999998</v>
      </c>
      <c r="AD32">
        <v>517.12731900000006</v>
      </c>
      <c r="AE32" s="31">
        <v>0</v>
      </c>
    </row>
    <row r="33" spans="1:31">
      <c r="A33" t="s">
        <v>346</v>
      </c>
      <c r="B33" t="s">
        <v>4147</v>
      </c>
      <c r="C33" t="s">
        <v>4146</v>
      </c>
      <c r="D33" t="s">
        <v>354</v>
      </c>
      <c r="E33">
        <v>468.92568999999997</v>
      </c>
      <c r="F33">
        <v>458.27090500000003</v>
      </c>
      <c r="G33">
        <v>473.03973400000001</v>
      </c>
      <c r="H33">
        <v>463.32836900000001</v>
      </c>
      <c r="I33">
        <v>459.65716600000002</v>
      </c>
      <c r="J33">
        <v>462.70059199999997</v>
      </c>
      <c r="K33">
        <v>450.84088100000002</v>
      </c>
      <c r="L33">
        <v>452.73818999999997</v>
      </c>
      <c r="M33">
        <v>454.70459</v>
      </c>
      <c r="N33">
        <v>453.41677900000002</v>
      </c>
      <c r="O33">
        <v>454.898865</v>
      </c>
      <c r="P33">
        <v>455.97616599999998</v>
      </c>
      <c r="Q33">
        <v>457.70022599999999</v>
      </c>
      <c r="R33">
        <v>457.88241599999998</v>
      </c>
      <c r="S33">
        <v>458.80032299999999</v>
      </c>
      <c r="T33">
        <v>459.24939000000001</v>
      </c>
      <c r="U33">
        <v>458.83017000000001</v>
      </c>
      <c r="V33">
        <v>457.40924100000001</v>
      </c>
      <c r="W33">
        <v>456.28689600000001</v>
      </c>
      <c r="X33">
        <v>456.329407</v>
      </c>
      <c r="Y33">
        <v>456.08932499999997</v>
      </c>
      <c r="Z33">
        <v>457.03701799999999</v>
      </c>
      <c r="AA33">
        <v>459.72207600000002</v>
      </c>
      <c r="AB33">
        <v>461.17038000000002</v>
      </c>
      <c r="AC33">
        <v>459.84771699999999</v>
      </c>
      <c r="AD33">
        <v>458.83840900000001</v>
      </c>
      <c r="AE33" s="31">
        <v>-1E-3</v>
      </c>
    </row>
    <row r="34" spans="1:31">
      <c r="A34" t="s">
        <v>347</v>
      </c>
      <c r="B34" t="s">
        <v>4145</v>
      </c>
      <c r="C34" t="s">
        <v>4144</v>
      </c>
      <c r="D34" t="s">
        <v>354</v>
      </c>
      <c r="E34">
        <v>47.797961999999998</v>
      </c>
      <c r="F34">
        <v>48.922688000000001</v>
      </c>
      <c r="G34">
        <v>49.568466000000001</v>
      </c>
      <c r="H34">
        <v>50.014671</v>
      </c>
      <c r="I34">
        <v>50.306564000000002</v>
      </c>
      <c r="J34">
        <v>50.546627000000001</v>
      </c>
      <c r="K34">
        <v>50.750252000000003</v>
      </c>
      <c r="L34">
        <v>51.031433</v>
      </c>
      <c r="M34">
        <v>51.405346000000002</v>
      </c>
      <c r="N34">
        <v>51.750042000000001</v>
      </c>
      <c r="O34">
        <v>52.312027</v>
      </c>
      <c r="P34">
        <v>52.873978000000001</v>
      </c>
      <c r="Q34">
        <v>53.476795000000003</v>
      </c>
      <c r="R34">
        <v>54.024284000000002</v>
      </c>
      <c r="S34">
        <v>54.461292</v>
      </c>
      <c r="T34">
        <v>54.907088999999999</v>
      </c>
      <c r="U34">
        <v>55.303336999999999</v>
      </c>
      <c r="V34">
        <v>55.704666000000003</v>
      </c>
      <c r="W34">
        <v>56.041283</v>
      </c>
      <c r="X34">
        <v>56.408633999999999</v>
      </c>
      <c r="Y34">
        <v>56.804088999999998</v>
      </c>
      <c r="Z34">
        <v>57.137206999999997</v>
      </c>
      <c r="AA34">
        <v>57.507964999999999</v>
      </c>
      <c r="AB34">
        <v>57.785679000000002</v>
      </c>
      <c r="AC34">
        <v>58.048091999999997</v>
      </c>
      <c r="AD34">
        <v>58.288894999999997</v>
      </c>
      <c r="AE34" s="31">
        <v>8.0000000000000002E-3</v>
      </c>
    </row>
    <row r="35" spans="1:31">
      <c r="A35" t="s">
        <v>339</v>
      </c>
      <c r="B35" t="s">
        <v>4143</v>
      </c>
      <c r="C35" t="s">
        <v>4142</v>
      </c>
      <c r="D35" t="s">
        <v>354</v>
      </c>
      <c r="E35">
        <v>10.291304999999999</v>
      </c>
      <c r="F35">
        <v>10.375522</v>
      </c>
      <c r="G35">
        <v>10.456319000000001</v>
      </c>
      <c r="H35">
        <v>10.539427</v>
      </c>
      <c r="I35">
        <v>10.62567</v>
      </c>
      <c r="J35">
        <v>10.710639</v>
      </c>
      <c r="K35">
        <v>10.794048</v>
      </c>
      <c r="L35">
        <v>10.873578999999999</v>
      </c>
      <c r="M35">
        <v>10.948176</v>
      </c>
      <c r="N35">
        <v>11.018274999999999</v>
      </c>
      <c r="O35">
        <v>11.084428000000001</v>
      </c>
      <c r="P35">
        <v>11.145583</v>
      </c>
      <c r="Q35">
        <v>11.20349</v>
      </c>
      <c r="R35">
        <v>11.261288</v>
      </c>
      <c r="S35">
        <v>11.314209999999999</v>
      </c>
      <c r="T35">
        <v>11.365144000000001</v>
      </c>
      <c r="U35">
        <v>11.41733</v>
      </c>
      <c r="V35">
        <v>11.468310000000001</v>
      </c>
      <c r="W35">
        <v>11.518629000000001</v>
      </c>
      <c r="X35">
        <v>11.568477</v>
      </c>
      <c r="Y35">
        <v>11.617742</v>
      </c>
      <c r="Z35">
        <v>11.666309</v>
      </c>
      <c r="AA35">
        <v>11.714332000000001</v>
      </c>
      <c r="AB35">
        <v>11.761891</v>
      </c>
      <c r="AC35">
        <v>11.809170999999999</v>
      </c>
      <c r="AD35">
        <v>11.856415</v>
      </c>
      <c r="AE35" s="31">
        <v>6.0000000000000001E-3</v>
      </c>
    </row>
    <row r="36" spans="1:31">
      <c r="A36" t="s">
        <v>338</v>
      </c>
      <c r="B36" t="s">
        <v>4141</v>
      </c>
      <c r="C36" t="s">
        <v>4140</v>
      </c>
      <c r="D36" t="s">
        <v>354</v>
      </c>
      <c r="E36">
        <v>15.340902</v>
      </c>
      <c r="F36">
        <v>15.924714</v>
      </c>
      <c r="G36">
        <v>16.390450999999999</v>
      </c>
      <c r="H36">
        <v>16.871880000000001</v>
      </c>
      <c r="I36">
        <v>17.291449</v>
      </c>
      <c r="J36">
        <v>17.680021</v>
      </c>
      <c r="K36">
        <v>17.998669</v>
      </c>
      <c r="L36">
        <v>18.281811000000001</v>
      </c>
      <c r="M36">
        <v>18.585245</v>
      </c>
      <c r="N36">
        <v>18.822433</v>
      </c>
      <c r="O36">
        <v>19.134668000000001</v>
      </c>
      <c r="P36">
        <v>19.403853999999999</v>
      </c>
      <c r="Q36">
        <v>19.701650999999998</v>
      </c>
      <c r="R36">
        <v>19.970364</v>
      </c>
      <c r="S36">
        <v>20.185044999999999</v>
      </c>
      <c r="T36">
        <v>20.403708000000002</v>
      </c>
      <c r="U36">
        <v>20.590519</v>
      </c>
      <c r="V36">
        <v>20.78002</v>
      </c>
      <c r="W36">
        <v>20.931851999999999</v>
      </c>
      <c r="X36">
        <v>21.098742000000001</v>
      </c>
      <c r="Y36">
        <v>21.280412999999999</v>
      </c>
      <c r="Z36">
        <v>21.426705999999999</v>
      </c>
      <c r="AA36">
        <v>21.598884999999999</v>
      </c>
      <c r="AB36">
        <v>21.721876000000002</v>
      </c>
      <c r="AC36">
        <v>21.843810999999999</v>
      </c>
      <c r="AD36">
        <v>21.961637</v>
      </c>
      <c r="AE36" s="31">
        <v>1.4E-2</v>
      </c>
    </row>
    <row r="37" spans="1:31">
      <c r="A37" t="s">
        <v>348</v>
      </c>
      <c r="B37" t="s">
        <v>4139</v>
      </c>
      <c r="C37" t="s">
        <v>4138</v>
      </c>
      <c r="D37" t="s">
        <v>354</v>
      </c>
      <c r="E37">
        <v>22.165752000000001</v>
      </c>
      <c r="F37">
        <v>22.622451999999999</v>
      </c>
      <c r="G37">
        <v>22.721696999999999</v>
      </c>
      <c r="H37">
        <v>22.603363000000002</v>
      </c>
      <c r="I37">
        <v>22.389446</v>
      </c>
      <c r="J37">
        <v>22.155965999999999</v>
      </c>
      <c r="K37">
        <v>21.957535</v>
      </c>
      <c r="L37">
        <v>21.876045000000001</v>
      </c>
      <c r="M37">
        <v>21.871922999999999</v>
      </c>
      <c r="N37">
        <v>21.909331999999999</v>
      </c>
      <c r="O37">
        <v>22.092934</v>
      </c>
      <c r="P37">
        <v>22.324539000000001</v>
      </c>
      <c r="Q37">
        <v>22.571650999999999</v>
      </c>
      <c r="R37">
        <v>22.792632999999999</v>
      </c>
      <c r="S37">
        <v>22.962038</v>
      </c>
      <c r="T37">
        <v>23.138241000000001</v>
      </c>
      <c r="U37">
        <v>23.295490000000001</v>
      </c>
      <c r="V37">
        <v>23.456334999999999</v>
      </c>
      <c r="W37">
        <v>23.590796999999998</v>
      </c>
      <c r="X37">
        <v>23.741415</v>
      </c>
      <c r="Y37">
        <v>23.905937000000002</v>
      </c>
      <c r="Z37">
        <v>24.044193</v>
      </c>
      <c r="AA37">
        <v>24.194748000000001</v>
      </c>
      <c r="AB37">
        <v>24.301912000000002</v>
      </c>
      <c r="AC37">
        <v>24.395106999999999</v>
      </c>
      <c r="AD37">
        <v>24.470844</v>
      </c>
      <c r="AE37" s="31">
        <v>4.0000000000000001E-3</v>
      </c>
    </row>
    <row r="38" spans="1:31">
      <c r="A38" t="s">
        <v>282</v>
      </c>
      <c r="B38" t="s">
        <v>4137</v>
      </c>
      <c r="C38" t="s">
        <v>4136</v>
      </c>
      <c r="D38" t="s">
        <v>354</v>
      </c>
      <c r="E38">
        <v>89.237289000000004</v>
      </c>
      <c r="F38">
        <v>89.304610999999994</v>
      </c>
      <c r="G38">
        <v>89.436661000000001</v>
      </c>
      <c r="H38">
        <v>89.620934000000005</v>
      </c>
      <c r="I38">
        <v>89.835068000000007</v>
      </c>
      <c r="J38">
        <v>90.127808000000002</v>
      </c>
      <c r="K38">
        <v>90.388962000000006</v>
      </c>
      <c r="L38">
        <v>90.646591000000001</v>
      </c>
      <c r="M38">
        <v>90.874008000000003</v>
      </c>
      <c r="N38">
        <v>91.105034000000003</v>
      </c>
      <c r="O38">
        <v>91.325821000000005</v>
      </c>
      <c r="P38">
        <v>91.503319000000005</v>
      </c>
      <c r="Q38">
        <v>91.676781000000005</v>
      </c>
      <c r="R38">
        <v>91.845580999999996</v>
      </c>
      <c r="S38">
        <v>92.006157000000002</v>
      </c>
      <c r="T38">
        <v>92.163200000000003</v>
      </c>
      <c r="U38">
        <v>92.298409000000007</v>
      </c>
      <c r="V38">
        <v>92.413787999999997</v>
      </c>
      <c r="W38">
        <v>92.506454000000005</v>
      </c>
      <c r="X38">
        <v>92.593238999999997</v>
      </c>
      <c r="Y38">
        <v>92.697021000000007</v>
      </c>
      <c r="Z38">
        <v>92.799789000000004</v>
      </c>
      <c r="AA38">
        <v>92.905288999999996</v>
      </c>
      <c r="AB38">
        <v>92.984549999999999</v>
      </c>
      <c r="AC38">
        <v>93.058082999999996</v>
      </c>
      <c r="AD38">
        <v>93.105536999999998</v>
      </c>
      <c r="AE38" s="31">
        <v>2E-3</v>
      </c>
    </row>
    <row r="39" spans="1:31">
      <c r="A39" t="s">
        <v>283</v>
      </c>
      <c r="B39" t="s">
        <v>4135</v>
      </c>
      <c r="C39" t="s">
        <v>4098</v>
      </c>
      <c r="D39" t="s">
        <v>354</v>
      </c>
      <c r="E39">
        <v>734.60199</v>
      </c>
      <c r="F39">
        <v>681.25598100000002</v>
      </c>
      <c r="G39">
        <v>684.28692599999999</v>
      </c>
      <c r="H39">
        <v>673.98980700000004</v>
      </c>
      <c r="I39">
        <v>683.41693099999998</v>
      </c>
      <c r="J39">
        <v>712.55456500000003</v>
      </c>
      <c r="K39">
        <v>732.71130400000004</v>
      </c>
      <c r="L39">
        <v>744.84387200000003</v>
      </c>
      <c r="M39">
        <v>749.81542999999999</v>
      </c>
      <c r="N39">
        <v>757.92114300000003</v>
      </c>
      <c r="O39">
        <v>770.47119099999998</v>
      </c>
      <c r="P39">
        <v>793.58917199999996</v>
      </c>
      <c r="Q39">
        <v>821.20849599999997</v>
      </c>
      <c r="R39">
        <v>845.46813999999995</v>
      </c>
      <c r="S39">
        <v>872.15417500000001</v>
      </c>
      <c r="T39">
        <v>890.66058299999997</v>
      </c>
      <c r="U39">
        <v>906.70764199999996</v>
      </c>
      <c r="V39">
        <v>924.74493399999994</v>
      </c>
      <c r="W39">
        <v>943.75726299999997</v>
      </c>
      <c r="X39">
        <v>957.82116699999995</v>
      </c>
      <c r="Y39">
        <v>965.947632</v>
      </c>
      <c r="Z39">
        <v>975.11267099999998</v>
      </c>
      <c r="AA39">
        <v>984.19189500000005</v>
      </c>
      <c r="AB39">
        <v>992.79992700000003</v>
      </c>
      <c r="AC39">
        <v>996.04656999999997</v>
      </c>
      <c r="AD39">
        <v>1001.5481569999999</v>
      </c>
      <c r="AE39" s="31">
        <v>1.2E-2</v>
      </c>
    </row>
    <row r="40" spans="1:31">
      <c r="A40" t="s">
        <v>1143</v>
      </c>
      <c r="B40" t="s">
        <v>4134</v>
      </c>
      <c r="C40" t="s">
        <v>4096</v>
      </c>
      <c r="D40" t="s">
        <v>354</v>
      </c>
      <c r="E40">
        <v>590.71014400000001</v>
      </c>
      <c r="F40">
        <v>589.92114300000003</v>
      </c>
      <c r="G40">
        <v>673.66332999999997</v>
      </c>
      <c r="H40">
        <v>722.36029099999996</v>
      </c>
      <c r="I40">
        <v>770.13201900000001</v>
      </c>
      <c r="J40">
        <v>911.09674099999995</v>
      </c>
      <c r="K40">
        <v>975.370361</v>
      </c>
      <c r="L40">
        <v>1036.7476810000001</v>
      </c>
      <c r="M40">
        <v>1082.8173830000001</v>
      </c>
      <c r="N40">
        <v>1159.0126949999999</v>
      </c>
      <c r="O40">
        <v>1212.578857</v>
      </c>
      <c r="P40">
        <v>1254.067139</v>
      </c>
      <c r="Q40">
        <v>1275.980591</v>
      </c>
      <c r="R40">
        <v>1297.4061280000001</v>
      </c>
      <c r="S40">
        <v>1319.5187989999999</v>
      </c>
      <c r="T40">
        <v>1340.399658</v>
      </c>
      <c r="U40">
        <v>1363.283936</v>
      </c>
      <c r="V40">
        <v>1385.059937</v>
      </c>
      <c r="W40">
        <v>1406.8359379999999</v>
      </c>
      <c r="X40">
        <v>1431.3625489999999</v>
      </c>
      <c r="Y40">
        <v>1450.387817</v>
      </c>
      <c r="Z40">
        <v>1472.163818</v>
      </c>
      <c r="AA40">
        <v>1493.9398189999999</v>
      </c>
      <c r="AB40">
        <v>1507.5783690000001</v>
      </c>
      <c r="AC40">
        <v>1504.827759</v>
      </c>
      <c r="AD40">
        <v>1504.827759</v>
      </c>
      <c r="AE40" s="31">
        <v>3.7999999999999999E-2</v>
      </c>
    </row>
    <row r="41" spans="1:31">
      <c r="A41" t="s">
        <v>278</v>
      </c>
      <c r="B41" t="s">
        <v>4133</v>
      </c>
      <c r="C41" t="s">
        <v>4132</v>
      </c>
      <c r="D41" t="s">
        <v>354</v>
      </c>
      <c r="E41">
        <v>444.00161700000001</v>
      </c>
      <c r="F41">
        <v>456.269318</v>
      </c>
      <c r="G41">
        <v>456.97198500000002</v>
      </c>
      <c r="H41">
        <v>451.95935100000003</v>
      </c>
      <c r="I41">
        <v>450.42767300000003</v>
      </c>
      <c r="J41">
        <v>448.71444700000001</v>
      </c>
      <c r="K41">
        <v>447.92675800000001</v>
      </c>
      <c r="L41">
        <v>447.756348</v>
      </c>
      <c r="M41">
        <v>447.646118</v>
      </c>
      <c r="N41">
        <v>447.70373499999999</v>
      </c>
      <c r="O41">
        <v>447.87530500000003</v>
      </c>
      <c r="P41">
        <v>448.21966600000002</v>
      </c>
      <c r="Q41">
        <v>448.65875199999999</v>
      </c>
      <c r="R41">
        <v>449.08792099999999</v>
      </c>
      <c r="S41">
        <v>449.511169</v>
      </c>
      <c r="T41">
        <v>449.928223</v>
      </c>
      <c r="U41">
        <v>450.340149</v>
      </c>
      <c r="V41">
        <v>450.75048800000002</v>
      </c>
      <c r="W41">
        <v>451.16143799999998</v>
      </c>
      <c r="X41">
        <v>451.57293700000002</v>
      </c>
      <c r="Y41">
        <v>451.984375</v>
      </c>
      <c r="Z41">
        <v>452.39999399999999</v>
      </c>
      <c r="AA41">
        <v>452.819366</v>
      </c>
      <c r="AB41">
        <v>453.24035600000002</v>
      </c>
      <c r="AC41">
        <v>453.66583300000002</v>
      </c>
      <c r="AD41">
        <v>454.09600799999998</v>
      </c>
      <c r="AE41" s="31">
        <v>1E-3</v>
      </c>
    </row>
    <row r="42" spans="1:31">
      <c r="A42" t="s">
        <v>321</v>
      </c>
      <c r="B42" t="s">
        <v>4131</v>
      </c>
      <c r="C42" t="s">
        <v>4130</v>
      </c>
      <c r="D42" t="s">
        <v>354</v>
      </c>
      <c r="E42">
        <v>329.568085</v>
      </c>
      <c r="F42">
        <v>338.67413299999998</v>
      </c>
      <c r="G42">
        <v>339.19570900000002</v>
      </c>
      <c r="H42">
        <v>335.47497600000003</v>
      </c>
      <c r="I42">
        <v>334.33807400000001</v>
      </c>
      <c r="J42">
        <v>333.06640599999997</v>
      </c>
      <c r="K42">
        <v>332.48172</v>
      </c>
      <c r="L42">
        <v>332.35522500000002</v>
      </c>
      <c r="M42">
        <v>332.273438</v>
      </c>
      <c r="N42">
        <v>332.316193</v>
      </c>
      <c r="O42">
        <v>332.44354199999998</v>
      </c>
      <c r="P42">
        <v>332.69915800000001</v>
      </c>
      <c r="Q42">
        <v>333.02505500000001</v>
      </c>
      <c r="R42">
        <v>333.34359699999999</v>
      </c>
      <c r="S42">
        <v>333.65777600000001</v>
      </c>
      <c r="T42">
        <v>333.96734600000002</v>
      </c>
      <c r="U42">
        <v>334.27310199999999</v>
      </c>
      <c r="V42">
        <v>334.577698</v>
      </c>
      <c r="W42">
        <v>334.882721</v>
      </c>
      <c r="X42">
        <v>335.18817100000001</v>
      </c>
      <c r="Y42">
        <v>335.493561</v>
      </c>
      <c r="Z42">
        <v>335.80206299999998</v>
      </c>
      <c r="AA42">
        <v>336.11334199999999</v>
      </c>
      <c r="AB42">
        <v>336.42584199999999</v>
      </c>
      <c r="AC42">
        <v>336.74163800000002</v>
      </c>
      <c r="AD42">
        <v>337.06097399999999</v>
      </c>
      <c r="AE42" s="31">
        <v>1E-3</v>
      </c>
    </row>
    <row r="43" spans="1:31">
      <c r="A43" t="s">
        <v>315</v>
      </c>
      <c r="B43" t="s">
        <v>4129</v>
      </c>
      <c r="C43" t="s">
        <v>4128</v>
      </c>
      <c r="D43" t="s">
        <v>354</v>
      </c>
      <c r="E43">
        <v>2.6093000000000002E-2</v>
      </c>
      <c r="F43">
        <v>2.6637999999999998E-2</v>
      </c>
      <c r="G43">
        <v>2.6679000000000001E-2</v>
      </c>
      <c r="H43">
        <v>2.6386E-2</v>
      </c>
      <c r="I43">
        <v>2.6297000000000001E-2</v>
      </c>
      <c r="J43">
        <v>2.6197000000000002E-2</v>
      </c>
      <c r="K43">
        <v>2.6151000000000001E-2</v>
      </c>
      <c r="L43">
        <v>2.6141000000000001E-2</v>
      </c>
      <c r="M43">
        <v>2.6134999999999999E-2</v>
      </c>
      <c r="N43">
        <v>2.6138000000000002E-2</v>
      </c>
      <c r="O43">
        <v>2.6148000000000001E-2</v>
      </c>
      <c r="P43">
        <v>2.6168E-2</v>
      </c>
      <c r="Q43">
        <v>2.6193999999999999E-2</v>
      </c>
      <c r="R43">
        <v>2.6218999999999999E-2</v>
      </c>
      <c r="S43">
        <v>2.6242999999999999E-2</v>
      </c>
      <c r="T43">
        <v>2.6268E-2</v>
      </c>
      <c r="U43">
        <v>2.6291999999999999E-2</v>
      </c>
      <c r="V43">
        <v>2.6315999999999999E-2</v>
      </c>
      <c r="W43">
        <v>2.6339999999999999E-2</v>
      </c>
      <c r="X43">
        <v>2.6363999999999999E-2</v>
      </c>
      <c r="Y43">
        <v>2.6388000000000002E-2</v>
      </c>
      <c r="Z43">
        <v>2.6412000000000001E-2</v>
      </c>
      <c r="AA43">
        <v>2.6436999999999999E-2</v>
      </c>
      <c r="AB43">
        <v>2.6460999999999998E-2</v>
      </c>
      <c r="AC43">
        <v>2.6485999999999999E-2</v>
      </c>
      <c r="AD43">
        <v>2.6511E-2</v>
      </c>
      <c r="AE43" s="31">
        <v>1E-3</v>
      </c>
    </row>
    <row r="44" spans="1:31">
      <c r="A44" t="s">
        <v>322</v>
      </c>
      <c r="B44" t="s">
        <v>4127</v>
      </c>
      <c r="C44" t="s">
        <v>4126</v>
      </c>
      <c r="D44" t="s">
        <v>354</v>
      </c>
      <c r="E44">
        <v>114.407448</v>
      </c>
      <c r="F44">
        <v>117.56855</v>
      </c>
      <c r="G44">
        <v>117.749611</v>
      </c>
      <c r="H44">
        <v>116.45797</v>
      </c>
      <c r="I44">
        <v>116.063293</v>
      </c>
      <c r="J44">
        <v>115.62185700000001</v>
      </c>
      <c r="K44">
        <v>115.41888400000001</v>
      </c>
      <c r="L44">
        <v>115.37496899999999</v>
      </c>
      <c r="M44">
        <v>115.34657300000001</v>
      </c>
      <c r="N44">
        <v>115.361412</v>
      </c>
      <c r="O44">
        <v>115.405624</v>
      </c>
      <c r="P44">
        <v>115.494362</v>
      </c>
      <c r="Q44">
        <v>115.607506</v>
      </c>
      <c r="R44">
        <v>115.718102</v>
      </c>
      <c r="S44">
        <v>115.82714799999999</v>
      </c>
      <c r="T44">
        <v>115.93461600000001</v>
      </c>
      <c r="U44">
        <v>116.04074900000001</v>
      </c>
      <c r="V44">
        <v>116.1465</v>
      </c>
      <c r="W44">
        <v>116.252365</v>
      </c>
      <c r="X44">
        <v>116.358406</v>
      </c>
      <c r="Y44">
        <v>116.464432</v>
      </c>
      <c r="Z44">
        <v>116.57152600000001</v>
      </c>
      <c r="AA44">
        <v>116.679588</v>
      </c>
      <c r="AB44">
        <v>116.78806299999999</v>
      </c>
      <c r="AC44">
        <v>116.89769</v>
      </c>
      <c r="AD44">
        <v>117.008522</v>
      </c>
      <c r="AE44" s="31">
        <v>1E-3</v>
      </c>
    </row>
    <row r="45" spans="1:31">
      <c r="A45" t="s">
        <v>193</v>
      </c>
      <c r="B45" t="s">
        <v>4125</v>
      </c>
      <c r="C45" t="s">
        <v>4124</v>
      </c>
      <c r="D45" t="s">
        <v>354</v>
      </c>
      <c r="E45">
        <v>28348.960938</v>
      </c>
      <c r="F45">
        <v>28212.208984000001</v>
      </c>
      <c r="G45">
        <v>28235.708984000001</v>
      </c>
      <c r="H45">
        <v>28091.810547000001</v>
      </c>
      <c r="I45">
        <v>27945.398438</v>
      </c>
      <c r="J45">
        <v>27933.087890999999</v>
      </c>
      <c r="K45">
        <v>27807.011718999998</v>
      </c>
      <c r="L45">
        <v>27724.958984000001</v>
      </c>
      <c r="M45">
        <v>27602.046875</v>
      </c>
      <c r="N45">
        <v>27601.414062</v>
      </c>
      <c r="O45">
        <v>27588.166015999999</v>
      </c>
      <c r="P45">
        <v>27528.226562</v>
      </c>
      <c r="Q45">
        <v>27459.425781000002</v>
      </c>
      <c r="R45">
        <v>27411.304688</v>
      </c>
      <c r="S45">
        <v>27370.958984000001</v>
      </c>
      <c r="T45">
        <v>27353.699218999998</v>
      </c>
      <c r="U45">
        <v>27336.271484000001</v>
      </c>
      <c r="V45">
        <v>27301.832031000002</v>
      </c>
      <c r="W45">
        <v>27306.962890999999</v>
      </c>
      <c r="X45">
        <v>27300.847656000002</v>
      </c>
      <c r="Y45">
        <v>27306.462890999999</v>
      </c>
      <c r="Z45">
        <v>27305.654297000001</v>
      </c>
      <c r="AA45">
        <v>27321.873047000001</v>
      </c>
      <c r="AB45">
        <v>27288.986327999999</v>
      </c>
      <c r="AC45">
        <v>27227.949218999998</v>
      </c>
      <c r="AD45">
        <v>27204.541015999999</v>
      </c>
      <c r="AE45" s="31">
        <v>-2E-3</v>
      </c>
    </row>
    <row r="46" spans="1:31">
      <c r="A46" t="s">
        <v>194</v>
      </c>
    </row>
    <row r="47" spans="1:31">
      <c r="A47" t="s">
        <v>304</v>
      </c>
      <c r="B47" t="s">
        <v>4123</v>
      </c>
      <c r="C47" t="s">
        <v>4122</v>
      </c>
      <c r="D47" t="s">
        <v>354</v>
      </c>
      <c r="E47">
        <v>15912.545898</v>
      </c>
      <c r="F47">
        <v>15784.615234000001</v>
      </c>
      <c r="G47">
        <v>15640.821289</v>
      </c>
      <c r="H47">
        <v>15437.544921999999</v>
      </c>
      <c r="I47">
        <v>15199.519531</v>
      </c>
      <c r="J47">
        <v>14948.945312</v>
      </c>
      <c r="K47">
        <v>14713.698242</v>
      </c>
      <c r="L47">
        <v>14514.947265999999</v>
      </c>
      <c r="M47">
        <v>14306.855469</v>
      </c>
      <c r="N47">
        <v>14172.370117</v>
      </c>
      <c r="O47">
        <v>14027.951171999999</v>
      </c>
      <c r="P47">
        <v>13854.288086</v>
      </c>
      <c r="Q47">
        <v>13681.721680000001</v>
      </c>
      <c r="R47">
        <v>13536.066406</v>
      </c>
      <c r="S47">
        <v>13394.969727</v>
      </c>
      <c r="T47">
        <v>13281.940430000001</v>
      </c>
      <c r="U47">
        <v>13177.488281</v>
      </c>
      <c r="V47">
        <v>13050.000977</v>
      </c>
      <c r="W47">
        <v>12960.864258</v>
      </c>
      <c r="X47">
        <v>12858.638671999999</v>
      </c>
      <c r="Y47">
        <v>12769.253906</v>
      </c>
      <c r="Z47">
        <v>12667.771484000001</v>
      </c>
      <c r="AA47">
        <v>12582.331055000001</v>
      </c>
      <c r="AB47">
        <v>12464.904296999999</v>
      </c>
      <c r="AC47">
        <v>12346.143555000001</v>
      </c>
      <c r="AD47">
        <v>12257.273438</v>
      </c>
      <c r="AE47" s="31">
        <v>-0.01</v>
      </c>
    </row>
    <row r="48" spans="1:31">
      <c r="A48" t="s">
        <v>305</v>
      </c>
      <c r="B48" t="s">
        <v>4121</v>
      </c>
      <c r="C48" t="s">
        <v>4120</v>
      </c>
      <c r="D48" t="s">
        <v>354</v>
      </c>
      <c r="E48">
        <v>40.421616</v>
      </c>
      <c r="F48">
        <v>32.259579000000002</v>
      </c>
      <c r="G48">
        <v>30.551463999999999</v>
      </c>
      <c r="H48">
        <v>28.584264999999998</v>
      </c>
      <c r="I48">
        <v>26.260186999999998</v>
      </c>
      <c r="J48">
        <v>27.269714</v>
      </c>
      <c r="K48">
        <v>23.394123</v>
      </c>
      <c r="L48">
        <v>21.378817000000002</v>
      </c>
      <c r="M48">
        <v>19.473015</v>
      </c>
      <c r="N48">
        <v>18.049637000000001</v>
      </c>
      <c r="O48">
        <v>16.224371000000001</v>
      </c>
      <c r="P48">
        <v>14.691770999999999</v>
      </c>
      <c r="Q48">
        <v>13.182299</v>
      </c>
      <c r="R48">
        <v>11.966215</v>
      </c>
      <c r="S48">
        <v>10.911787</v>
      </c>
      <c r="T48">
        <v>10.092917999999999</v>
      </c>
      <c r="U48">
        <v>9.1700929999999996</v>
      </c>
      <c r="V48">
        <v>8.6288400000000003</v>
      </c>
      <c r="W48">
        <v>8.1100549999999991</v>
      </c>
      <c r="X48">
        <v>7.7448170000000003</v>
      </c>
      <c r="Y48">
        <v>7.0061419999999996</v>
      </c>
      <c r="Z48">
        <v>6.7423149999999996</v>
      </c>
      <c r="AA48">
        <v>6.6771560000000001</v>
      </c>
      <c r="AB48">
        <v>6.8729639999999996</v>
      </c>
      <c r="AC48">
        <v>6.3687149999999999</v>
      </c>
      <c r="AD48">
        <v>6.064648</v>
      </c>
      <c r="AE48" s="31">
        <v>-7.2999999999999995E-2</v>
      </c>
    </row>
    <row r="49" spans="1:31">
      <c r="A49" t="s">
        <v>327</v>
      </c>
      <c r="B49" t="s">
        <v>4119</v>
      </c>
      <c r="C49" t="s">
        <v>4118</v>
      </c>
      <c r="D49" t="s">
        <v>354</v>
      </c>
      <c r="E49">
        <v>6602.3701170000004</v>
      </c>
      <c r="F49">
        <v>6581.65625</v>
      </c>
      <c r="G49">
        <v>6579.4697269999997</v>
      </c>
      <c r="H49">
        <v>6540.5322269999997</v>
      </c>
      <c r="I49">
        <v>6512.4794920000004</v>
      </c>
      <c r="J49">
        <v>6503.8862300000001</v>
      </c>
      <c r="K49">
        <v>6465.640625</v>
      </c>
      <c r="L49">
        <v>6431.7128910000001</v>
      </c>
      <c r="M49">
        <v>6386.3789059999999</v>
      </c>
      <c r="N49">
        <v>6349.1650390000004</v>
      </c>
      <c r="O49">
        <v>6320.048828</v>
      </c>
      <c r="P49">
        <v>6289.2910160000001</v>
      </c>
      <c r="Q49">
        <v>6261.6948240000002</v>
      </c>
      <c r="R49">
        <v>6233.6713870000003</v>
      </c>
      <c r="S49">
        <v>6207.7036129999997</v>
      </c>
      <c r="T49">
        <v>6186.8466799999997</v>
      </c>
      <c r="U49">
        <v>6163.8706050000001</v>
      </c>
      <c r="V49">
        <v>6139.4106449999999</v>
      </c>
      <c r="W49">
        <v>6113.6010740000002</v>
      </c>
      <c r="X49">
        <v>6091.4311520000001</v>
      </c>
      <c r="Y49">
        <v>6077.9252930000002</v>
      </c>
      <c r="Z49">
        <v>6068.8867190000001</v>
      </c>
      <c r="AA49">
        <v>6063.6245120000003</v>
      </c>
      <c r="AB49">
        <v>6048.6025390000004</v>
      </c>
      <c r="AC49">
        <v>6031.2827150000003</v>
      </c>
      <c r="AD49">
        <v>6012.7753910000001</v>
      </c>
      <c r="AE49" s="31">
        <v>-4.0000000000000001E-3</v>
      </c>
    </row>
    <row r="50" spans="1:31">
      <c r="A50" t="s">
        <v>349</v>
      </c>
      <c r="B50" t="s">
        <v>4117</v>
      </c>
      <c r="C50" t="s">
        <v>4116</v>
      </c>
      <c r="D50" t="s">
        <v>354</v>
      </c>
      <c r="E50">
        <v>3559.6623540000001</v>
      </c>
      <c r="F50">
        <v>3614.6511230000001</v>
      </c>
      <c r="G50">
        <v>3641.7333979999999</v>
      </c>
      <c r="H50">
        <v>3639.2421880000002</v>
      </c>
      <c r="I50">
        <v>3653.0385740000002</v>
      </c>
      <c r="J50">
        <v>3677.6088869999999</v>
      </c>
      <c r="K50">
        <v>3700.2348630000001</v>
      </c>
      <c r="L50">
        <v>3732.7280270000001</v>
      </c>
      <c r="M50">
        <v>3767.7783199999999</v>
      </c>
      <c r="N50">
        <v>3810.2211910000001</v>
      </c>
      <c r="O50">
        <v>3861.0754390000002</v>
      </c>
      <c r="P50">
        <v>3897.078857</v>
      </c>
      <c r="Q50">
        <v>3936.532471</v>
      </c>
      <c r="R50">
        <v>3974.3610840000001</v>
      </c>
      <c r="S50">
        <v>4010.7692870000001</v>
      </c>
      <c r="T50">
        <v>4047.6145019999999</v>
      </c>
      <c r="U50">
        <v>4079.9453119999998</v>
      </c>
      <c r="V50">
        <v>4115.3100590000004</v>
      </c>
      <c r="W50">
        <v>4152.0224609999996</v>
      </c>
      <c r="X50">
        <v>4187.6674800000001</v>
      </c>
      <c r="Y50">
        <v>4223.1923829999996</v>
      </c>
      <c r="Z50">
        <v>4254.8833009999998</v>
      </c>
      <c r="AA50">
        <v>4281.6733400000003</v>
      </c>
      <c r="AB50">
        <v>4308.2597660000001</v>
      </c>
      <c r="AC50">
        <v>4330.515625</v>
      </c>
      <c r="AD50">
        <v>4354.498047</v>
      </c>
      <c r="AE50" s="31">
        <v>8.0000000000000002E-3</v>
      </c>
    </row>
    <row r="51" spans="1:31">
      <c r="A51" t="s">
        <v>315</v>
      </c>
      <c r="B51" t="s">
        <v>4115</v>
      </c>
      <c r="C51" t="s">
        <v>4114</v>
      </c>
      <c r="D51" t="s">
        <v>354</v>
      </c>
      <c r="E51">
        <v>553.284851</v>
      </c>
      <c r="F51">
        <v>535.05981399999996</v>
      </c>
      <c r="G51">
        <v>549.44720500000005</v>
      </c>
      <c r="H51">
        <v>570.97705099999996</v>
      </c>
      <c r="I51">
        <v>576.15386999999998</v>
      </c>
      <c r="J51">
        <v>582.14502000000005</v>
      </c>
      <c r="K51">
        <v>584.48767099999998</v>
      </c>
      <c r="L51">
        <v>592.03533900000002</v>
      </c>
      <c r="M51">
        <v>601.27868699999999</v>
      </c>
      <c r="N51">
        <v>610.74041699999998</v>
      </c>
      <c r="O51">
        <v>618.85406499999999</v>
      </c>
      <c r="P51">
        <v>626.73156700000004</v>
      </c>
      <c r="Q51">
        <v>632.526611</v>
      </c>
      <c r="R51">
        <v>638.38006600000006</v>
      </c>
      <c r="S51">
        <v>643.49389599999995</v>
      </c>
      <c r="T51">
        <v>647.66851799999995</v>
      </c>
      <c r="U51">
        <v>651.53601100000003</v>
      </c>
      <c r="V51">
        <v>658.490906</v>
      </c>
      <c r="W51">
        <v>665.69030799999996</v>
      </c>
      <c r="X51">
        <v>672.42864999999995</v>
      </c>
      <c r="Y51">
        <v>679.74371299999996</v>
      </c>
      <c r="Z51">
        <v>686.50836200000003</v>
      </c>
      <c r="AA51">
        <v>692.76769999999999</v>
      </c>
      <c r="AB51">
        <v>698.81671100000005</v>
      </c>
      <c r="AC51">
        <v>705.27038600000003</v>
      </c>
      <c r="AD51">
        <v>712.21289100000001</v>
      </c>
      <c r="AE51" s="31">
        <v>0.01</v>
      </c>
    </row>
    <row r="52" spans="1:31">
      <c r="A52" t="s">
        <v>320</v>
      </c>
      <c r="B52" t="s">
        <v>4113</v>
      </c>
      <c r="C52" t="s">
        <v>4112</v>
      </c>
      <c r="D52" t="s">
        <v>354</v>
      </c>
      <c r="E52">
        <v>22.394031999999999</v>
      </c>
      <c r="F52">
        <v>22.387812</v>
      </c>
      <c r="G52">
        <v>22.382666</v>
      </c>
      <c r="H52">
        <v>22.378406999999999</v>
      </c>
      <c r="I52">
        <v>22.374884000000002</v>
      </c>
      <c r="J52">
        <v>22.371969</v>
      </c>
      <c r="K52">
        <v>22.369558000000001</v>
      </c>
      <c r="L52">
        <v>22.367563000000001</v>
      </c>
      <c r="M52">
        <v>22.365911000000001</v>
      </c>
      <c r="N52">
        <v>22.364546000000001</v>
      </c>
      <c r="O52">
        <v>22.363416999999998</v>
      </c>
      <c r="P52">
        <v>22.362480000000001</v>
      </c>
      <c r="Q52">
        <v>22.361708</v>
      </c>
      <c r="R52">
        <v>22.361066999999998</v>
      </c>
      <c r="S52">
        <v>22.360537999999998</v>
      </c>
      <c r="T52">
        <v>22.360099999999999</v>
      </c>
      <c r="U52">
        <v>22.359736999999999</v>
      </c>
      <c r="V52">
        <v>22.359438000000001</v>
      </c>
      <c r="W52">
        <v>22.359190000000002</v>
      </c>
      <c r="X52">
        <v>22.358984</v>
      </c>
      <c r="Y52">
        <v>22.358813999999999</v>
      </c>
      <c r="Z52">
        <v>22.358673</v>
      </c>
      <c r="AA52">
        <v>22.358557000000001</v>
      </c>
      <c r="AB52">
        <v>22.358460999999998</v>
      </c>
      <c r="AC52">
        <v>22.358381000000001</v>
      </c>
      <c r="AD52">
        <v>22.358315000000001</v>
      </c>
      <c r="AE52" s="31">
        <v>0</v>
      </c>
    </row>
    <row r="53" spans="1:31">
      <c r="A53" t="s">
        <v>308</v>
      </c>
      <c r="B53" t="s">
        <v>4111</v>
      </c>
      <c r="C53" t="s">
        <v>4110</v>
      </c>
      <c r="D53" t="s">
        <v>354</v>
      </c>
      <c r="E53">
        <v>10.834009999999999</v>
      </c>
      <c r="F53">
        <v>10.579373</v>
      </c>
      <c r="G53">
        <v>10.310888</v>
      </c>
      <c r="H53">
        <v>10.076195999999999</v>
      </c>
      <c r="I53">
        <v>9.8488939999999996</v>
      </c>
      <c r="J53">
        <v>9.6416439999999994</v>
      </c>
      <c r="K53">
        <v>9.4272760000000009</v>
      </c>
      <c r="L53">
        <v>9.2253019999999992</v>
      </c>
      <c r="M53">
        <v>9.0478070000000006</v>
      </c>
      <c r="N53">
        <v>8.8730480000000007</v>
      </c>
      <c r="O53">
        <v>8.7130220000000005</v>
      </c>
      <c r="P53">
        <v>8.5669640000000005</v>
      </c>
      <c r="Q53">
        <v>8.4324580000000005</v>
      </c>
      <c r="R53">
        <v>8.3014240000000008</v>
      </c>
      <c r="S53">
        <v>8.1844479999999997</v>
      </c>
      <c r="T53">
        <v>8.0761409999999998</v>
      </c>
      <c r="U53">
        <v>7.9630429999999999</v>
      </c>
      <c r="V53">
        <v>7.8532089999999997</v>
      </c>
      <c r="W53">
        <v>7.7414509999999996</v>
      </c>
      <c r="X53">
        <v>7.632002</v>
      </c>
      <c r="Y53">
        <v>7.5258830000000003</v>
      </c>
      <c r="Z53">
        <v>7.4196980000000003</v>
      </c>
      <c r="AA53">
        <v>7.3186450000000001</v>
      </c>
      <c r="AB53">
        <v>7.2103679999999999</v>
      </c>
      <c r="AC53">
        <v>7.097823</v>
      </c>
      <c r="AD53">
        <v>6.9871220000000003</v>
      </c>
      <c r="AE53" s="31">
        <v>-1.7000000000000001E-2</v>
      </c>
    </row>
    <row r="54" spans="1:31">
      <c r="A54" t="s">
        <v>282</v>
      </c>
      <c r="B54" t="s">
        <v>4109</v>
      </c>
      <c r="C54" t="s">
        <v>4108</v>
      </c>
      <c r="D54" t="s">
        <v>354</v>
      </c>
      <c r="E54">
        <v>89.237289000000004</v>
      </c>
      <c r="F54">
        <v>89.304610999999994</v>
      </c>
      <c r="G54">
        <v>89.436661000000001</v>
      </c>
      <c r="H54">
        <v>89.620934000000005</v>
      </c>
      <c r="I54">
        <v>89.835068000000007</v>
      </c>
      <c r="J54">
        <v>90.127808000000002</v>
      </c>
      <c r="K54">
        <v>90.388962000000006</v>
      </c>
      <c r="L54">
        <v>90.646591000000001</v>
      </c>
      <c r="M54">
        <v>90.874008000000003</v>
      </c>
      <c r="N54">
        <v>91.105034000000003</v>
      </c>
      <c r="O54">
        <v>91.325821000000005</v>
      </c>
      <c r="P54">
        <v>91.503319000000005</v>
      </c>
      <c r="Q54">
        <v>91.676781000000005</v>
      </c>
      <c r="R54">
        <v>91.845580999999996</v>
      </c>
      <c r="S54">
        <v>92.006157000000002</v>
      </c>
      <c r="T54">
        <v>92.163200000000003</v>
      </c>
      <c r="U54">
        <v>92.298409000000007</v>
      </c>
      <c r="V54">
        <v>92.413787999999997</v>
      </c>
      <c r="W54">
        <v>92.506454000000005</v>
      </c>
      <c r="X54">
        <v>92.593238999999997</v>
      </c>
      <c r="Y54">
        <v>92.697021000000007</v>
      </c>
      <c r="Z54">
        <v>92.799789000000004</v>
      </c>
      <c r="AA54">
        <v>92.905288999999996</v>
      </c>
      <c r="AB54">
        <v>92.984549999999999</v>
      </c>
      <c r="AC54">
        <v>93.058082999999996</v>
      </c>
      <c r="AD54">
        <v>93.105536999999998</v>
      </c>
      <c r="AE54" s="31">
        <v>2E-3</v>
      </c>
    </row>
    <row r="55" spans="1:31">
      <c r="A55" t="s">
        <v>350</v>
      </c>
      <c r="B55" t="s">
        <v>4107</v>
      </c>
      <c r="C55" t="s">
        <v>4106</v>
      </c>
      <c r="D55" t="s">
        <v>354</v>
      </c>
      <c r="E55">
        <v>26790.75</v>
      </c>
      <c r="F55">
        <v>26670.515625</v>
      </c>
      <c r="G55">
        <v>26564.152343999998</v>
      </c>
      <c r="H55">
        <v>26338.957031000002</v>
      </c>
      <c r="I55">
        <v>26089.513672000001</v>
      </c>
      <c r="J55">
        <v>25861.996093999998</v>
      </c>
      <c r="K55">
        <v>25609.642577999999</v>
      </c>
      <c r="L55">
        <v>25415.041015999999</v>
      </c>
      <c r="M55">
        <v>25204.048827999999</v>
      </c>
      <c r="N55">
        <v>25082.888672000001</v>
      </c>
      <c r="O55">
        <v>24966.556640999999</v>
      </c>
      <c r="P55">
        <v>24804.513672000001</v>
      </c>
      <c r="Q55">
        <v>24648.128906000002</v>
      </c>
      <c r="R55">
        <v>24516.955077999999</v>
      </c>
      <c r="S55">
        <v>24390.400390999999</v>
      </c>
      <c r="T55">
        <v>24296.763672000001</v>
      </c>
      <c r="U55">
        <v>24204.630859000001</v>
      </c>
      <c r="V55">
        <v>24094.46875</v>
      </c>
      <c r="W55">
        <v>24022.894531000002</v>
      </c>
      <c r="X55">
        <v>23940.496093999998</v>
      </c>
      <c r="Y55">
        <v>23879.703125</v>
      </c>
      <c r="Z55">
        <v>23807.369140999999</v>
      </c>
      <c r="AA55">
        <v>23749.658202999999</v>
      </c>
      <c r="AB55">
        <v>23650.011718999998</v>
      </c>
      <c r="AC55">
        <v>23542.09375</v>
      </c>
      <c r="AD55">
        <v>23465.273438</v>
      </c>
      <c r="AE55" s="31">
        <v>-5.0000000000000001E-3</v>
      </c>
    </row>
    <row r="56" spans="1:31">
      <c r="A56" t="s">
        <v>309</v>
      </c>
      <c r="B56" t="s">
        <v>4105</v>
      </c>
      <c r="C56" t="s">
        <v>4104</v>
      </c>
      <c r="D56" t="s">
        <v>354</v>
      </c>
      <c r="E56">
        <v>126.333862</v>
      </c>
      <c r="F56">
        <v>158.18392900000001</v>
      </c>
      <c r="G56">
        <v>198.283096</v>
      </c>
      <c r="H56">
        <v>242.79750100000001</v>
      </c>
      <c r="I56">
        <v>286.83575400000001</v>
      </c>
      <c r="J56">
        <v>328.32742300000001</v>
      </c>
      <c r="K56">
        <v>364.83084100000002</v>
      </c>
      <c r="L56">
        <v>398.36636399999998</v>
      </c>
      <c r="M56">
        <v>431.75955199999999</v>
      </c>
      <c r="N56">
        <v>465.76574699999998</v>
      </c>
      <c r="O56">
        <v>500.54605099999998</v>
      </c>
      <c r="P56">
        <v>535.51873799999998</v>
      </c>
      <c r="Q56">
        <v>570.81878700000004</v>
      </c>
      <c r="R56">
        <v>606.01574700000003</v>
      </c>
      <c r="S56">
        <v>640.45648200000005</v>
      </c>
      <c r="T56">
        <v>674.75988800000005</v>
      </c>
      <c r="U56">
        <v>708.37646500000005</v>
      </c>
      <c r="V56">
        <v>742.10528599999998</v>
      </c>
      <c r="W56">
        <v>775.94305399999996</v>
      </c>
      <c r="X56">
        <v>810.49035600000002</v>
      </c>
      <c r="Y56">
        <v>845.73944100000006</v>
      </c>
      <c r="Z56">
        <v>880.67303500000003</v>
      </c>
      <c r="AA56">
        <v>915.15441899999996</v>
      </c>
      <c r="AB56">
        <v>949.57195999999999</v>
      </c>
      <c r="AC56">
        <v>983.60022000000004</v>
      </c>
      <c r="AD56">
        <v>1017.370361</v>
      </c>
      <c r="AE56" s="31">
        <v>8.6999999999999994E-2</v>
      </c>
    </row>
    <row r="57" spans="1:31">
      <c r="A57" t="s">
        <v>307</v>
      </c>
      <c r="B57" t="s">
        <v>4103</v>
      </c>
      <c r="C57" t="s">
        <v>4102</v>
      </c>
      <c r="D57" t="s">
        <v>354</v>
      </c>
      <c r="E57">
        <v>87.022368999999998</v>
      </c>
      <c r="F57">
        <v>90.491241000000002</v>
      </c>
      <c r="G57">
        <v>92.752701000000002</v>
      </c>
      <c r="H57">
        <v>94.260909999999996</v>
      </c>
      <c r="I57">
        <v>96.066909999999993</v>
      </c>
      <c r="J57">
        <v>97.446655000000007</v>
      </c>
      <c r="K57">
        <v>98.788039999999995</v>
      </c>
      <c r="L57">
        <v>100.022949</v>
      </c>
      <c r="M57">
        <v>101.19045300000001</v>
      </c>
      <c r="N57">
        <v>102.38602400000001</v>
      </c>
      <c r="O57">
        <v>103.75979599999999</v>
      </c>
      <c r="P57">
        <v>105.181076</v>
      </c>
      <c r="Q57">
        <v>106.977654</v>
      </c>
      <c r="R57">
        <v>109.01370199999999</v>
      </c>
      <c r="S57">
        <v>111.246635</v>
      </c>
      <c r="T57">
        <v>114.16430699999999</v>
      </c>
      <c r="U57">
        <v>117.46447000000001</v>
      </c>
      <c r="V57">
        <v>121.207176</v>
      </c>
      <c r="W57">
        <v>125.408264</v>
      </c>
      <c r="X57">
        <v>130.36140399999999</v>
      </c>
      <c r="Y57">
        <v>137.252319</v>
      </c>
      <c r="Z57">
        <v>144.946136</v>
      </c>
      <c r="AA57">
        <v>154.61889600000001</v>
      </c>
      <c r="AB57">
        <v>165.034943</v>
      </c>
      <c r="AC57">
        <v>176.93248</v>
      </c>
      <c r="AD57">
        <v>190.800476</v>
      </c>
      <c r="AE57" s="31">
        <v>3.2000000000000001E-2</v>
      </c>
    </row>
    <row r="58" spans="1:31">
      <c r="A58" t="s">
        <v>310</v>
      </c>
      <c r="B58" t="s">
        <v>4101</v>
      </c>
      <c r="C58" t="s">
        <v>4100</v>
      </c>
      <c r="D58" t="s">
        <v>354</v>
      </c>
      <c r="E58">
        <v>0.41617799999999999</v>
      </c>
      <c r="F58">
        <v>0.400306</v>
      </c>
      <c r="G58">
        <v>0.381853</v>
      </c>
      <c r="H58">
        <v>0.36261399999999999</v>
      </c>
      <c r="I58">
        <v>0.344055</v>
      </c>
      <c r="J58">
        <v>0.32390200000000002</v>
      </c>
      <c r="K58">
        <v>0.30468099999999998</v>
      </c>
      <c r="L58">
        <v>0.28415000000000001</v>
      </c>
      <c r="M58">
        <v>0.264181</v>
      </c>
      <c r="N58">
        <v>0.244198</v>
      </c>
      <c r="O58">
        <v>0.224356</v>
      </c>
      <c r="P58">
        <v>0.20507300000000001</v>
      </c>
      <c r="Q58">
        <v>0.18600800000000001</v>
      </c>
      <c r="R58">
        <v>0.16796</v>
      </c>
      <c r="S58">
        <v>0.15053800000000001</v>
      </c>
      <c r="T58">
        <v>0.13458300000000001</v>
      </c>
      <c r="U58">
        <v>0.119393</v>
      </c>
      <c r="V58">
        <v>0.10710699999999999</v>
      </c>
      <c r="W58">
        <v>9.6465999999999996E-2</v>
      </c>
      <c r="X58">
        <v>8.8358999999999993E-2</v>
      </c>
      <c r="Y58">
        <v>7.9124E-2</v>
      </c>
      <c r="Z58">
        <v>7.2557999999999997E-2</v>
      </c>
      <c r="AA58">
        <v>6.8018999999999996E-2</v>
      </c>
      <c r="AB58">
        <v>6.3277E-2</v>
      </c>
      <c r="AC58">
        <v>6.0082999999999998E-2</v>
      </c>
      <c r="AD58">
        <v>5.7231999999999998E-2</v>
      </c>
      <c r="AE58" s="31">
        <v>-7.5999999999999998E-2</v>
      </c>
    </row>
    <row r="59" spans="1:31">
      <c r="A59" t="s">
        <v>283</v>
      </c>
      <c r="B59" t="s">
        <v>4099</v>
      </c>
      <c r="C59" t="s">
        <v>4098</v>
      </c>
      <c r="D59" t="s">
        <v>354</v>
      </c>
      <c r="E59">
        <v>734.60199</v>
      </c>
      <c r="F59">
        <v>681.25598100000002</v>
      </c>
      <c r="G59">
        <v>684.28692599999999</v>
      </c>
      <c r="H59">
        <v>673.98980700000004</v>
      </c>
      <c r="I59">
        <v>683.41693099999998</v>
      </c>
      <c r="J59">
        <v>712.55456500000003</v>
      </c>
      <c r="K59">
        <v>732.71130400000004</v>
      </c>
      <c r="L59">
        <v>744.84387200000003</v>
      </c>
      <c r="M59">
        <v>749.81542999999999</v>
      </c>
      <c r="N59">
        <v>757.92114300000003</v>
      </c>
      <c r="O59">
        <v>770.47119099999998</v>
      </c>
      <c r="P59">
        <v>793.58917199999996</v>
      </c>
      <c r="Q59">
        <v>821.20849599999997</v>
      </c>
      <c r="R59">
        <v>845.46813999999995</v>
      </c>
      <c r="S59">
        <v>872.15417500000001</v>
      </c>
      <c r="T59">
        <v>890.66058299999997</v>
      </c>
      <c r="U59">
        <v>906.70764199999996</v>
      </c>
      <c r="V59">
        <v>924.74493399999994</v>
      </c>
      <c r="W59">
        <v>943.75726299999997</v>
      </c>
      <c r="X59">
        <v>957.82116699999995</v>
      </c>
      <c r="Y59">
        <v>965.947632</v>
      </c>
      <c r="Z59">
        <v>975.11267099999998</v>
      </c>
      <c r="AA59">
        <v>984.19189500000005</v>
      </c>
      <c r="AB59">
        <v>992.79992700000003</v>
      </c>
      <c r="AC59">
        <v>996.04656999999997</v>
      </c>
      <c r="AD59">
        <v>1001.5481569999999</v>
      </c>
      <c r="AE59" s="31">
        <v>1.2E-2</v>
      </c>
    </row>
    <row r="60" spans="1:31">
      <c r="A60" t="s">
        <v>1143</v>
      </c>
      <c r="B60" t="s">
        <v>4097</v>
      </c>
      <c r="C60" t="s">
        <v>4096</v>
      </c>
      <c r="D60" t="s">
        <v>354</v>
      </c>
      <c r="E60">
        <v>590.71014400000001</v>
      </c>
      <c r="F60">
        <v>589.92114300000003</v>
      </c>
      <c r="G60">
        <v>673.66332999999997</v>
      </c>
      <c r="H60">
        <v>722.36029099999996</v>
      </c>
      <c r="I60">
        <v>770.13201900000001</v>
      </c>
      <c r="J60">
        <v>911.09674099999995</v>
      </c>
      <c r="K60">
        <v>975.370361</v>
      </c>
      <c r="L60">
        <v>1036.7476810000001</v>
      </c>
      <c r="M60">
        <v>1082.8173830000001</v>
      </c>
      <c r="N60">
        <v>1159.0126949999999</v>
      </c>
      <c r="O60">
        <v>1212.578857</v>
      </c>
      <c r="P60">
        <v>1254.067139</v>
      </c>
      <c r="Q60">
        <v>1275.980591</v>
      </c>
      <c r="R60">
        <v>1297.4061280000001</v>
      </c>
      <c r="S60">
        <v>1319.5187989999999</v>
      </c>
      <c r="T60">
        <v>1340.399658</v>
      </c>
      <c r="U60">
        <v>1363.283936</v>
      </c>
      <c r="V60">
        <v>1385.059937</v>
      </c>
      <c r="W60">
        <v>1406.8359379999999</v>
      </c>
      <c r="X60">
        <v>1431.3625489999999</v>
      </c>
      <c r="Y60">
        <v>1450.387817</v>
      </c>
      <c r="Z60">
        <v>1472.163818</v>
      </c>
      <c r="AA60">
        <v>1493.9398189999999</v>
      </c>
      <c r="AB60">
        <v>1507.5783690000001</v>
      </c>
      <c r="AC60">
        <v>1504.827759</v>
      </c>
      <c r="AD60">
        <v>1504.827759</v>
      </c>
      <c r="AE60" s="31">
        <v>3.7999999999999999E-2</v>
      </c>
    </row>
    <row r="61" spans="1:31">
      <c r="A61" t="s">
        <v>195</v>
      </c>
      <c r="B61" t="s">
        <v>4095</v>
      </c>
      <c r="C61" t="s">
        <v>4094</v>
      </c>
      <c r="D61" t="s">
        <v>354</v>
      </c>
      <c r="E61">
        <v>28329.833984000001</v>
      </c>
      <c r="F61">
        <v>28190.769531000002</v>
      </c>
      <c r="G61">
        <v>28213.521484000001</v>
      </c>
      <c r="H61">
        <v>28072.728515999999</v>
      </c>
      <c r="I61">
        <v>27926.308593999998</v>
      </c>
      <c r="J61">
        <v>27911.748047000001</v>
      </c>
      <c r="K61">
        <v>27781.646484000001</v>
      </c>
      <c r="L61">
        <v>27695.306640999999</v>
      </c>
      <c r="M61">
        <v>27569.894531000002</v>
      </c>
      <c r="N61">
        <v>27568.21875</v>
      </c>
      <c r="O61">
        <v>27554.136718999998</v>
      </c>
      <c r="P61">
        <v>27493.076172000001</v>
      </c>
      <c r="Q61">
        <v>27423.300781000002</v>
      </c>
      <c r="R61">
        <v>27375.027343999998</v>
      </c>
      <c r="S61">
        <v>27333.927734000001</v>
      </c>
      <c r="T61">
        <v>27316.882812</v>
      </c>
      <c r="U61">
        <v>27300.582031000002</v>
      </c>
      <c r="V61">
        <v>27267.693359000001</v>
      </c>
      <c r="W61">
        <v>27274.935547000001</v>
      </c>
      <c r="X61">
        <v>27270.619140999999</v>
      </c>
      <c r="Y61">
        <v>27279.111327999999</v>
      </c>
      <c r="Z61">
        <v>27280.337890999999</v>
      </c>
      <c r="AA61">
        <v>27297.630859000001</v>
      </c>
      <c r="AB61">
        <v>27265.060547000001</v>
      </c>
      <c r="AC61">
        <v>27203.560547000001</v>
      </c>
      <c r="AD61">
        <v>27179.878906000002</v>
      </c>
      <c r="AE61" s="31">
        <v>-2E-3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E7440-39AA-466D-A509-9FAD6121030B}">
  <dimension ref="A1:AF25"/>
  <sheetViews>
    <sheetView workbookViewId="0"/>
  </sheetViews>
  <sheetFormatPr defaultRowHeight="15"/>
  <cols>
    <col min="1" max="1" width="21.7109375" bestFit="1" customWidth="1"/>
    <col min="2" max="2" width="25.85546875" customWidth="1"/>
  </cols>
  <sheetData>
    <row r="1" spans="1:32">
      <c r="B1" t="s">
        <v>544</v>
      </c>
    </row>
    <row r="2" spans="1:32">
      <c r="B2" t="s">
        <v>4234</v>
      </c>
    </row>
    <row r="3" spans="1:32">
      <c r="B3" t="s">
        <v>4233</v>
      </c>
    </row>
    <row r="4" spans="1:32">
      <c r="B4" t="s">
        <v>302</v>
      </c>
    </row>
    <row r="5" spans="1:32">
      <c r="C5" t="s">
        <v>303</v>
      </c>
      <c r="D5" t="s">
        <v>351</v>
      </c>
      <c r="E5" t="s">
        <v>352</v>
      </c>
      <c r="F5">
        <v>2025</v>
      </c>
      <c r="G5">
        <v>2026</v>
      </c>
      <c r="H5">
        <v>2027</v>
      </c>
      <c r="I5">
        <v>2028</v>
      </c>
      <c r="J5">
        <v>2029</v>
      </c>
      <c r="K5">
        <v>2030</v>
      </c>
      <c r="L5">
        <v>2031</v>
      </c>
      <c r="M5">
        <v>2032</v>
      </c>
      <c r="N5">
        <v>2033</v>
      </c>
      <c r="O5">
        <v>2034</v>
      </c>
      <c r="P5">
        <v>2035</v>
      </c>
      <c r="Q5">
        <v>2036</v>
      </c>
      <c r="R5">
        <v>2037</v>
      </c>
      <c r="S5">
        <v>2038</v>
      </c>
      <c r="T5">
        <v>2039</v>
      </c>
      <c r="U5">
        <v>2040</v>
      </c>
      <c r="V5">
        <v>2041</v>
      </c>
      <c r="W5">
        <v>2042</v>
      </c>
      <c r="X5">
        <v>2043</v>
      </c>
      <c r="Y5">
        <v>2044</v>
      </c>
      <c r="Z5">
        <v>2045</v>
      </c>
      <c r="AA5">
        <v>2046</v>
      </c>
      <c r="AB5">
        <v>2047</v>
      </c>
      <c r="AC5">
        <v>2048</v>
      </c>
      <c r="AD5">
        <v>2049</v>
      </c>
      <c r="AE5">
        <v>2050</v>
      </c>
      <c r="AF5" t="s">
        <v>4196</v>
      </c>
    </row>
    <row r="6" spans="1:32">
      <c r="B6" t="s">
        <v>1414</v>
      </c>
    </row>
    <row r="7" spans="1:32">
      <c r="B7" t="s">
        <v>1413</v>
      </c>
    </row>
    <row r="8" spans="1:32">
      <c r="A8" t="s">
        <v>113</v>
      </c>
      <c r="B8" t="s">
        <v>358</v>
      </c>
      <c r="C8" t="s">
        <v>4232</v>
      </c>
      <c r="D8" t="s">
        <v>4231</v>
      </c>
      <c r="E8" t="s">
        <v>354</v>
      </c>
      <c r="F8">
        <v>13013.004883</v>
      </c>
      <c r="G8">
        <v>12860.140625</v>
      </c>
      <c r="H8">
        <v>12671.063477</v>
      </c>
      <c r="I8">
        <v>12422.509765999999</v>
      </c>
      <c r="J8">
        <v>12142.671875</v>
      </c>
      <c r="K8">
        <v>11848.098633</v>
      </c>
      <c r="L8">
        <v>11568.865234000001</v>
      </c>
      <c r="M8">
        <v>11322.591796999999</v>
      </c>
      <c r="N8">
        <v>11076.342773</v>
      </c>
      <c r="O8">
        <v>10882.023438</v>
      </c>
      <c r="P8">
        <v>10678.619140999999</v>
      </c>
      <c r="Q8">
        <v>10444.048828000001</v>
      </c>
      <c r="R8">
        <v>10203.972656</v>
      </c>
      <c r="S8">
        <v>9991.4257809999999</v>
      </c>
      <c r="T8">
        <v>9777.515625</v>
      </c>
      <c r="U8">
        <v>9584.7001949999994</v>
      </c>
      <c r="V8">
        <v>9404.8525389999995</v>
      </c>
      <c r="W8">
        <v>9207.8066409999992</v>
      </c>
      <c r="X8">
        <v>9056.0849610000005</v>
      </c>
      <c r="Y8">
        <v>8893.1054690000001</v>
      </c>
      <c r="Z8">
        <v>8757.6416019999997</v>
      </c>
      <c r="AA8">
        <v>8606.0273440000001</v>
      </c>
      <c r="AB8">
        <v>8464.796875</v>
      </c>
      <c r="AC8">
        <v>8295.2382809999999</v>
      </c>
      <c r="AD8">
        <v>8139.9257809999999</v>
      </c>
      <c r="AE8">
        <v>8014.046875</v>
      </c>
      <c r="AF8" s="31">
        <v>-1.9E-2</v>
      </c>
    </row>
    <row r="9" spans="1:32">
      <c r="A9" t="s">
        <v>114</v>
      </c>
      <c r="B9" t="s">
        <v>359</v>
      </c>
      <c r="C9" t="s">
        <v>4230</v>
      </c>
      <c r="D9" t="s">
        <v>4229</v>
      </c>
      <c r="E9" t="s">
        <v>354</v>
      </c>
      <c r="F9">
        <v>88.328201000000007</v>
      </c>
      <c r="G9">
        <v>90.550704999999994</v>
      </c>
      <c r="H9">
        <v>92.031218999999993</v>
      </c>
      <c r="I9">
        <v>93.337112000000005</v>
      </c>
      <c r="J9">
        <v>94.894958000000003</v>
      </c>
      <c r="K9">
        <v>96.299094999999994</v>
      </c>
      <c r="L9">
        <v>97.630584999999996</v>
      </c>
      <c r="M9">
        <v>98.176094000000006</v>
      </c>
      <c r="N9">
        <v>98.190331</v>
      </c>
      <c r="O9">
        <v>99.215591000000003</v>
      </c>
      <c r="P9">
        <v>99.749268000000001</v>
      </c>
      <c r="Q9">
        <v>100.029808</v>
      </c>
      <c r="R9">
        <v>100.380196</v>
      </c>
      <c r="S9">
        <v>100.762024</v>
      </c>
      <c r="T9">
        <v>100.99380499999999</v>
      </c>
      <c r="U9">
        <v>101.45787</v>
      </c>
      <c r="V9">
        <v>101.126755</v>
      </c>
      <c r="W9">
        <v>101.122322</v>
      </c>
      <c r="X9">
        <v>101.505836</v>
      </c>
      <c r="Y9">
        <v>101.50087000000001</v>
      </c>
      <c r="Z9">
        <v>101.50550800000001</v>
      </c>
      <c r="AA9">
        <v>101.470848</v>
      </c>
      <c r="AB9">
        <v>101.264809</v>
      </c>
      <c r="AC9">
        <v>100.617065</v>
      </c>
      <c r="AD9">
        <v>100.60607899999999</v>
      </c>
      <c r="AE9">
        <v>100.600662</v>
      </c>
      <c r="AF9" s="31">
        <v>5.0000000000000001E-3</v>
      </c>
    </row>
    <row r="10" spans="1:32">
      <c r="B10" t="s">
        <v>1408</v>
      </c>
      <c r="C10" t="s">
        <v>4228</v>
      </c>
      <c r="D10" t="s">
        <v>4227</v>
      </c>
      <c r="E10" t="s">
        <v>354</v>
      </c>
      <c r="F10">
        <v>13101.333008</v>
      </c>
      <c r="G10">
        <v>12950.691406</v>
      </c>
      <c r="H10">
        <v>12763.094727</v>
      </c>
      <c r="I10">
        <v>12515.846680000001</v>
      </c>
      <c r="J10">
        <v>12237.566406</v>
      </c>
      <c r="K10">
        <v>11944.397461</v>
      </c>
      <c r="L10">
        <v>11666.496094</v>
      </c>
      <c r="M10">
        <v>11420.767578000001</v>
      </c>
      <c r="N10">
        <v>11174.533203000001</v>
      </c>
      <c r="O10">
        <v>10981.239258</v>
      </c>
      <c r="P10">
        <v>10778.368164</v>
      </c>
      <c r="Q10">
        <v>10544.079102</v>
      </c>
      <c r="R10">
        <v>10304.352539</v>
      </c>
      <c r="S10">
        <v>10092.1875</v>
      </c>
      <c r="T10">
        <v>9878.5097659999992</v>
      </c>
      <c r="U10">
        <v>9686.1582030000009</v>
      </c>
      <c r="V10">
        <v>9505.9794920000004</v>
      </c>
      <c r="W10">
        <v>9308.9287110000005</v>
      </c>
      <c r="X10">
        <v>9157.5908199999994</v>
      </c>
      <c r="Y10">
        <v>8994.6064449999994</v>
      </c>
      <c r="Z10">
        <v>8859.1474610000005</v>
      </c>
      <c r="AA10">
        <v>8707.4980469999991</v>
      </c>
      <c r="AB10">
        <v>8566.0615230000003</v>
      </c>
      <c r="AC10">
        <v>8395.8554690000001</v>
      </c>
      <c r="AD10">
        <v>8240.5322269999997</v>
      </c>
      <c r="AE10">
        <v>8114.6474609999996</v>
      </c>
      <c r="AF10" s="31">
        <v>-1.9E-2</v>
      </c>
    </row>
    <row r="11" spans="1:32">
      <c r="B11" t="s">
        <v>1405</v>
      </c>
    </row>
    <row r="12" spans="1:32">
      <c r="A12" t="s">
        <v>113</v>
      </c>
      <c r="B12" t="s">
        <v>362</v>
      </c>
      <c r="C12" t="s">
        <v>4226</v>
      </c>
      <c r="D12" t="s">
        <v>4225</v>
      </c>
      <c r="E12" t="s">
        <v>354</v>
      </c>
      <c r="F12">
        <v>1202.6735839999999</v>
      </c>
      <c r="G12">
        <v>1117.0363769999999</v>
      </c>
      <c r="H12">
        <v>1038.0013429999999</v>
      </c>
      <c r="I12">
        <v>955.17334000000005</v>
      </c>
      <c r="J12">
        <v>871.678223</v>
      </c>
      <c r="K12">
        <v>789.98156700000004</v>
      </c>
      <c r="L12">
        <v>708.44683799999996</v>
      </c>
      <c r="M12">
        <v>634.16754200000003</v>
      </c>
      <c r="N12">
        <v>556.85375999999997</v>
      </c>
      <c r="O12">
        <v>501.10110500000002</v>
      </c>
      <c r="P12">
        <v>445.749481</v>
      </c>
      <c r="Q12">
        <v>395.03668199999998</v>
      </c>
      <c r="R12">
        <v>351.90576199999998</v>
      </c>
      <c r="S12">
        <v>309.74655200000001</v>
      </c>
      <c r="T12">
        <v>275.11242700000003</v>
      </c>
      <c r="U12">
        <v>250.65325899999999</v>
      </c>
      <c r="V12">
        <v>229.692215</v>
      </c>
      <c r="W12">
        <v>210.60627700000001</v>
      </c>
      <c r="X12">
        <v>196.731674</v>
      </c>
      <c r="Y12">
        <v>188.16215500000001</v>
      </c>
      <c r="Z12">
        <v>167.95564300000001</v>
      </c>
      <c r="AA12">
        <v>157.509308</v>
      </c>
      <c r="AB12">
        <v>156.58279400000001</v>
      </c>
      <c r="AC12">
        <v>158.76063500000001</v>
      </c>
      <c r="AD12">
        <v>146.41345200000001</v>
      </c>
      <c r="AE12">
        <v>138.50950599999999</v>
      </c>
      <c r="AF12" s="31">
        <v>-8.3000000000000004E-2</v>
      </c>
    </row>
    <row r="13" spans="1:32">
      <c r="A13" t="s">
        <v>111</v>
      </c>
      <c r="B13" t="s">
        <v>1402</v>
      </c>
      <c r="C13" t="s">
        <v>4224</v>
      </c>
      <c r="D13" t="s">
        <v>4223</v>
      </c>
      <c r="E13" t="s">
        <v>354</v>
      </c>
      <c r="F13">
        <v>3.2843789999999999</v>
      </c>
      <c r="G13">
        <v>4.7737860000000003</v>
      </c>
      <c r="H13">
        <v>7.0926840000000002</v>
      </c>
      <c r="I13">
        <v>9.4253750000000007</v>
      </c>
      <c r="J13">
        <v>11.502115</v>
      </c>
      <c r="K13">
        <v>12.874058</v>
      </c>
      <c r="L13">
        <v>13.804159</v>
      </c>
      <c r="M13">
        <v>14.330171999999999</v>
      </c>
      <c r="N13">
        <v>15.095463000000001</v>
      </c>
      <c r="O13">
        <v>16.054424000000001</v>
      </c>
      <c r="P13">
        <v>17.168883999999998</v>
      </c>
      <c r="Q13">
        <v>18.272760000000002</v>
      </c>
      <c r="R13">
        <v>19.414580999999998</v>
      </c>
      <c r="S13">
        <v>20.599018000000001</v>
      </c>
      <c r="T13">
        <v>21.778396999999998</v>
      </c>
      <c r="U13">
        <v>22.959166</v>
      </c>
      <c r="V13">
        <v>24.109954999999999</v>
      </c>
      <c r="W13">
        <v>25.231804</v>
      </c>
      <c r="X13">
        <v>26.318041000000001</v>
      </c>
      <c r="Y13">
        <v>27.380019999999998</v>
      </c>
      <c r="Z13">
        <v>28.413474999999998</v>
      </c>
      <c r="AA13">
        <v>29.395261999999999</v>
      </c>
      <c r="AB13">
        <v>30.355941999999999</v>
      </c>
      <c r="AC13">
        <v>31.262710999999999</v>
      </c>
      <c r="AD13">
        <v>32.145209999999999</v>
      </c>
      <c r="AE13">
        <v>32.934967</v>
      </c>
      <c r="AF13" s="31">
        <v>9.7000000000000003E-2</v>
      </c>
    </row>
    <row r="14" spans="1:32">
      <c r="A14" t="s">
        <v>111</v>
      </c>
      <c r="B14" t="s">
        <v>1400</v>
      </c>
      <c r="C14" t="s">
        <v>4222</v>
      </c>
      <c r="D14" t="s">
        <v>4221</v>
      </c>
      <c r="E14" t="s">
        <v>354</v>
      </c>
      <c r="F14">
        <v>10.626787</v>
      </c>
      <c r="G14">
        <v>15.11584</v>
      </c>
      <c r="H14">
        <v>22.264931000000001</v>
      </c>
      <c r="I14">
        <v>30.893806000000001</v>
      </c>
      <c r="J14">
        <v>40.614559</v>
      </c>
      <c r="K14">
        <v>49.333260000000003</v>
      </c>
      <c r="L14">
        <v>57.275280000000002</v>
      </c>
      <c r="M14">
        <v>64.024918</v>
      </c>
      <c r="N14">
        <v>70.742003999999994</v>
      </c>
      <c r="O14">
        <v>77.715575999999999</v>
      </c>
      <c r="P14">
        <v>84.965271000000001</v>
      </c>
      <c r="Q14">
        <v>92.410629</v>
      </c>
      <c r="R14">
        <v>100.04763800000001</v>
      </c>
      <c r="S14">
        <v>107.854744</v>
      </c>
      <c r="T14">
        <v>115.653763</v>
      </c>
      <c r="U14">
        <v>123.46292099999999</v>
      </c>
      <c r="V14">
        <v>131.13736</v>
      </c>
      <c r="W14">
        <v>138.76237499999999</v>
      </c>
      <c r="X14">
        <v>146.305115</v>
      </c>
      <c r="Y14">
        <v>153.80342099999999</v>
      </c>
      <c r="Z14">
        <v>161.24352999999999</v>
      </c>
      <c r="AA14">
        <v>168.48889199999999</v>
      </c>
      <c r="AB14">
        <v>175.535156</v>
      </c>
      <c r="AC14">
        <v>182.51428200000001</v>
      </c>
      <c r="AD14">
        <v>189.39094499999999</v>
      </c>
      <c r="AE14">
        <v>196.13732899999999</v>
      </c>
      <c r="AF14" s="31">
        <v>0.124</v>
      </c>
    </row>
    <row r="15" spans="1:32">
      <c r="A15" t="s">
        <v>111</v>
      </c>
      <c r="B15" t="s">
        <v>1398</v>
      </c>
      <c r="C15" t="s">
        <v>4220</v>
      </c>
      <c r="D15" t="s">
        <v>4219</v>
      </c>
      <c r="E15" t="s">
        <v>354</v>
      </c>
      <c r="F15">
        <v>58.468048000000003</v>
      </c>
      <c r="G15">
        <v>75.530640000000005</v>
      </c>
      <c r="H15">
        <v>95.551758000000007</v>
      </c>
      <c r="I15">
        <v>116.81098900000001</v>
      </c>
      <c r="J15">
        <v>140.001328</v>
      </c>
      <c r="K15">
        <v>163.875092</v>
      </c>
      <c r="L15">
        <v>185.79371599999999</v>
      </c>
      <c r="M15">
        <v>207.57012900000001</v>
      </c>
      <c r="N15">
        <v>229.73056</v>
      </c>
      <c r="O15">
        <v>252.52105700000001</v>
      </c>
      <c r="P15">
        <v>275.80215500000003</v>
      </c>
      <c r="Q15">
        <v>299.15917999999999</v>
      </c>
      <c r="R15">
        <v>322.706726</v>
      </c>
      <c r="S15">
        <v>346.17776500000002</v>
      </c>
      <c r="T15">
        <v>369.24475100000001</v>
      </c>
      <c r="U15">
        <v>391.97479199999998</v>
      </c>
      <c r="V15">
        <v>413.862549</v>
      </c>
      <c r="W15">
        <v>435.13262900000001</v>
      </c>
      <c r="X15">
        <v>455.75903299999999</v>
      </c>
      <c r="Y15">
        <v>475.86798099999999</v>
      </c>
      <c r="Z15">
        <v>495.43722500000001</v>
      </c>
      <c r="AA15">
        <v>514.41980000000001</v>
      </c>
      <c r="AB15">
        <v>532.51635699999997</v>
      </c>
      <c r="AC15">
        <v>550.28973399999995</v>
      </c>
      <c r="AD15">
        <v>567.22827099999995</v>
      </c>
      <c r="AE15">
        <v>583.89788799999997</v>
      </c>
      <c r="AF15" s="31">
        <v>9.6000000000000002E-2</v>
      </c>
    </row>
    <row r="16" spans="1:32">
      <c r="A16" t="s">
        <v>115</v>
      </c>
      <c r="B16" t="s">
        <v>1396</v>
      </c>
      <c r="C16" t="s">
        <v>4218</v>
      </c>
      <c r="D16" t="s">
        <v>4217</v>
      </c>
      <c r="E16" t="s">
        <v>354</v>
      </c>
      <c r="F16">
        <v>41.437106999999997</v>
      </c>
      <c r="G16">
        <v>47.848090999999997</v>
      </c>
      <c r="H16">
        <v>54.002274</v>
      </c>
      <c r="I16">
        <v>59.381329000000001</v>
      </c>
      <c r="J16">
        <v>64.176102</v>
      </c>
      <c r="K16">
        <v>68.767509000000004</v>
      </c>
      <c r="L16">
        <v>73.068375000000003</v>
      </c>
      <c r="M16">
        <v>76.945571999999999</v>
      </c>
      <c r="N16">
        <v>80.737433999999993</v>
      </c>
      <c r="O16">
        <v>84.794219999999996</v>
      </c>
      <c r="P16">
        <v>89.061538999999996</v>
      </c>
      <c r="Q16">
        <v>93.412384000000003</v>
      </c>
      <c r="R16">
        <v>97.766662999999994</v>
      </c>
      <c r="S16">
        <v>102.046646</v>
      </c>
      <c r="T16">
        <v>106.169617</v>
      </c>
      <c r="U16">
        <v>110.118866</v>
      </c>
      <c r="V16">
        <v>113.74962600000001</v>
      </c>
      <c r="W16">
        <v>117.28273799999999</v>
      </c>
      <c r="X16">
        <v>120.536469</v>
      </c>
      <c r="Y16">
        <v>123.521835</v>
      </c>
      <c r="Z16">
        <v>126.59023999999999</v>
      </c>
      <c r="AA16">
        <v>129.340912</v>
      </c>
      <c r="AB16">
        <v>132.14471399999999</v>
      </c>
      <c r="AC16">
        <v>134.54234299999999</v>
      </c>
      <c r="AD16">
        <v>137.09674100000001</v>
      </c>
      <c r="AE16">
        <v>139.243561</v>
      </c>
      <c r="AF16" s="31">
        <v>0.05</v>
      </c>
    </row>
    <row r="17" spans="1:32">
      <c r="A17" t="s">
        <v>115</v>
      </c>
      <c r="B17" t="s">
        <v>1393</v>
      </c>
      <c r="C17" t="s">
        <v>4216</v>
      </c>
      <c r="D17" t="s">
        <v>4215</v>
      </c>
      <c r="E17" t="s">
        <v>354</v>
      </c>
      <c r="F17">
        <v>10.459448999999999</v>
      </c>
      <c r="G17">
        <v>18.980511</v>
      </c>
      <c r="H17">
        <v>33.671813999999998</v>
      </c>
      <c r="I17">
        <v>53.074978000000002</v>
      </c>
      <c r="J17">
        <v>65.841140999999993</v>
      </c>
      <c r="K17">
        <v>74.187286</v>
      </c>
      <c r="L17">
        <v>78.352417000000003</v>
      </c>
      <c r="M17">
        <v>79.555274999999995</v>
      </c>
      <c r="N17">
        <v>79.690398999999999</v>
      </c>
      <c r="O17">
        <v>79.307593999999995</v>
      </c>
      <c r="P17">
        <v>78.668319999999994</v>
      </c>
      <c r="Q17">
        <v>78.048873999999998</v>
      </c>
      <c r="R17">
        <v>77.340980999999999</v>
      </c>
      <c r="S17">
        <v>76.517441000000005</v>
      </c>
      <c r="T17">
        <v>75.507080000000002</v>
      </c>
      <c r="U17">
        <v>74.370780999999994</v>
      </c>
      <c r="V17">
        <v>72.946098000000006</v>
      </c>
      <c r="W17">
        <v>71.335082999999997</v>
      </c>
      <c r="X17">
        <v>69.712029000000001</v>
      </c>
      <c r="Y17">
        <v>68.085175000000007</v>
      </c>
      <c r="Z17">
        <v>66.362099000000001</v>
      </c>
      <c r="AA17">
        <v>64.614883000000006</v>
      </c>
      <c r="AB17">
        <v>62.910034000000003</v>
      </c>
      <c r="AC17">
        <v>61.380839999999999</v>
      </c>
      <c r="AD17">
        <v>60.049461000000001</v>
      </c>
      <c r="AE17">
        <v>59.064628999999996</v>
      </c>
      <c r="AF17" s="31">
        <v>7.1999999999999995E-2</v>
      </c>
    </row>
    <row r="18" spans="1:32">
      <c r="A18" t="s">
        <v>115</v>
      </c>
      <c r="B18" t="s">
        <v>364</v>
      </c>
      <c r="C18" t="s">
        <v>4214</v>
      </c>
      <c r="D18" t="s">
        <v>4213</v>
      </c>
      <c r="E18" t="s">
        <v>354</v>
      </c>
      <c r="F18">
        <v>370.50854500000003</v>
      </c>
      <c r="G18">
        <v>460.11508199999997</v>
      </c>
      <c r="H18">
        <v>557.63543700000002</v>
      </c>
      <c r="I18">
        <v>657.75988800000005</v>
      </c>
      <c r="J18">
        <v>757.566101</v>
      </c>
      <c r="K18">
        <v>857.17340100000001</v>
      </c>
      <c r="L18">
        <v>955.296875</v>
      </c>
      <c r="M18">
        <v>1050.2338870000001</v>
      </c>
      <c r="N18">
        <v>1140.679932</v>
      </c>
      <c r="O18">
        <v>1227.3348390000001</v>
      </c>
      <c r="P18">
        <v>1309.8413089999999</v>
      </c>
      <c r="Q18">
        <v>1388.26001</v>
      </c>
      <c r="R18">
        <v>1463.4104</v>
      </c>
      <c r="S18">
        <v>1534.559448</v>
      </c>
      <c r="T18">
        <v>1603.571533</v>
      </c>
      <c r="U18">
        <v>1669.2933350000001</v>
      </c>
      <c r="V18">
        <v>1730.05249</v>
      </c>
      <c r="W18">
        <v>1786.091064</v>
      </c>
      <c r="X18">
        <v>1837.1062010000001</v>
      </c>
      <c r="Y18">
        <v>1885.1610109999999</v>
      </c>
      <c r="Z18">
        <v>1930.434448</v>
      </c>
      <c r="AA18">
        <v>1972.6008300000001</v>
      </c>
      <c r="AB18">
        <v>2011.9830320000001</v>
      </c>
      <c r="AC18">
        <v>2048.8317870000001</v>
      </c>
      <c r="AD18">
        <v>2083.8808589999999</v>
      </c>
      <c r="AE18">
        <v>2118.0966800000001</v>
      </c>
      <c r="AF18" s="31">
        <v>7.1999999999999995E-2</v>
      </c>
    </row>
    <row r="19" spans="1:32">
      <c r="A19" t="s">
        <v>112</v>
      </c>
      <c r="B19" t="s">
        <v>365</v>
      </c>
      <c r="C19" t="s">
        <v>4212</v>
      </c>
      <c r="D19" t="s">
        <v>4211</v>
      </c>
      <c r="E19" t="s">
        <v>354</v>
      </c>
      <c r="F19">
        <v>0.86791799999999997</v>
      </c>
      <c r="G19">
        <v>0.78361599999999998</v>
      </c>
      <c r="H19">
        <v>0.70111500000000004</v>
      </c>
      <c r="I19">
        <v>0.64081200000000005</v>
      </c>
      <c r="J19">
        <v>0.60162199999999999</v>
      </c>
      <c r="K19">
        <v>0.54514799999999997</v>
      </c>
      <c r="L19">
        <v>0.48883500000000002</v>
      </c>
      <c r="M19">
        <v>0.43956600000000001</v>
      </c>
      <c r="N19">
        <v>0.39810699999999999</v>
      </c>
      <c r="O19">
        <v>0.35706399999999999</v>
      </c>
      <c r="P19">
        <v>0.26249400000000001</v>
      </c>
      <c r="Q19">
        <v>0.230044</v>
      </c>
      <c r="R19">
        <v>0.21104400000000001</v>
      </c>
      <c r="S19">
        <v>0.192856</v>
      </c>
      <c r="T19">
        <v>0.17902100000000001</v>
      </c>
      <c r="U19">
        <v>0.16825599999999999</v>
      </c>
      <c r="V19">
        <v>0.15814</v>
      </c>
      <c r="W19">
        <v>0.14863299999999999</v>
      </c>
      <c r="X19">
        <v>0.13969799999999999</v>
      </c>
      <c r="Y19">
        <v>0.1313</v>
      </c>
      <c r="Z19">
        <v>0.123407</v>
      </c>
      <c r="AA19">
        <v>0.11598899999999999</v>
      </c>
      <c r="AB19">
        <v>0.109017</v>
      </c>
      <c r="AC19">
        <v>0.102464</v>
      </c>
      <c r="AD19">
        <v>9.6305000000000002E-2</v>
      </c>
      <c r="AE19">
        <v>9.0515999999999999E-2</v>
      </c>
      <c r="AF19" s="31">
        <v>-8.5999999999999993E-2</v>
      </c>
    </row>
    <row r="20" spans="1:32">
      <c r="A20" t="s">
        <v>112</v>
      </c>
      <c r="B20" t="s">
        <v>366</v>
      </c>
      <c r="C20" t="s">
        <v>4210</v>
      </c>
      <c r="D20" t="s">
        <v>4209</v>
      </c>
      <c r="E20" t="s">
        <v>354</v>
      </c>
      <c r="F20">
        <v>0.204267</v>
      </c>
      <c r="G20">
        <v>0.193491</v>
      </c>
      <c r="H20">
        <v>0.18122099999999999</v>
      </c>
      <c r="I20">
        <v>0.170404</v>
      </c>
      <c r="J20">
        <v>0.160187</v>
      </c>
      <c r="K20">
        <v>0.15060100000000001</v>
      </c>
      <c r="L20">
        <v>0.14161699999999999</v>
      </c>
      <c r="M20">
        <v>0.133074</v>
      </c>
      <c r="N20">
        <v>0.12436</v>
      </c>
      <c r="O20">
        <v>0.116934</v>
      </c>
      <c r="P20">
        <v>0.110031</v>
      </c>
      <c r="Q20">
        <v>0.103434</v>
      </c>
      <c r="R20">
        <v>9.7878000000000007E-2</v>
      </c>
      <c r="S20">
        <v>9.2013999999999999E-2</v>
      </c>
      <c r="T20">
        <v>8.6512000000000006E-2</v>
      </c>
      <c r="U20">
        <v>8.1334000000000004E-2</v>
      </c>
      <c r="V20">
        <v>7.6539999999999997E-2</v>
      </c>
      <c r="W20">
        <v>7.1929999999999994E-2</v>
      </c>
      <c r="X20">
        <v>6.7605999999999999E-2</v>
      </c>
      <c r="Y20">
        <v>6.3543000000000002E-2</v>
      </c>
      <c r="Z20">
        <v>6.0004000000000002E-2</v>
      </c>
      <c r="AA20">
        <v>5.6412999999999998E-2</v>
      </c>
      <c r="AB20">
        <v>5.3003000000000002E-2</v>
      </c>
      <c r="AC20">
        <v>4.9817E-2</v>
      </c>
      <c r="AD20">
        <v>4.6772000000000001E-2</v>
      </c>
      <c r="AE20">
        <v>4.3968E-2</v>
      </c>
      <c r="AF20" s="31">
        <v>-0.06</v>
      </c>
    </row>
    <row r="21" spans="1:32">
      <c r="A21" t="s">
        <v>257</v>
      </c>
      <c r="B21" t="s">
        <v>367</v>
      </c>
      <c r="C21" t="s">
        <v>4208</v>
      </c>
      <c r="D21" t="s">
        <v>4207</v>
      </c>
      <c r="E21" t="s">
        <v>354</v>
      </c>
      <c r="F21">
        <v>0.58199199999999995</v>
      </c>
      <c r="G21">
        <v>0.534999</v>
      </c>
      <c r="H21">
        <v>0.49443999999999999</v>
      </c>
      <c r="I21">
        <v>0.46489399999999997</v>
      </c>
      <c r="J21">
        <v>0.43711499999999998</v>
      </c>
      <c r="K21">
        <v>0.410997</v>
      </c>
      <c r="L21">
        <v>0.38644000000000001</v>
      </c>
      <c r="M21">
        <v>0.36335200000000001</v>
      </c>
      <c r="N21">
        <v>0.34164299999999997</v>
      </c>
      <c r="O21">
        <v>0.32123200000000002</v>
      </c>
      <c r="P21">
        <v>0.302041</v>
      </c>
      <c r="Q21">
        <v>0.28400700000000001</v>
      </c>
      <c r="R21">
        <v>0.26705099999999998</v>
      </c>
      <c r="S21">
        <v>0.25110900000000003</v>
      </c>
      <c r="T21">
        <v>0.23612</v>
      </c>
      <c r="U21">
        <v>0.222026</v>
      </c>
      <c r="V21">
        <v>0.20877699999999999</v>
      </c>
      <c r="W21">
        <v>0.19631799999999999</v>
      </c>
      <c r="X21">
        <v>0.18460399999999999</v>
      </c>
      <c r="Y21">
        <v>0.17358899999999999</v>
      </c>
      <c r="Z21">
        <v>0.16323199999999999</v>
      </c>
      <c r="AA21">
        <v>0.15349299999999999</v>
      </c>
      <c r="AB21">
        <v>0.14433499999999999</v>
      </c>
      <c r="AC21">
        <v>0.13572400000000001</v>
      </c>
      <c r="AD21">
        <v>0.12762599999999999</v>
      </c>
      <c r="AE21">
        <v>0.12001299999999999</v>
      </c>
      <c r="AF21" s="31">
        <v>-6.0999999999999999E-2</v>
      </c>
    </row>
    <row r="22" spans="1:32">
      <c r="A22" t="s">
        <v>257</v>
      </c>
      <c r="B22" t="s">
        <v>368</v>
      </c>
      <c r="C22" t="s">
        <v>4206</v>
      </c>
      <c r="D22" t="s">
        <v>4205</v>
      </c>
      <c r="E22" t="s">
        <v>354</v>
      </c>
      <c r="F22">
        <v>0.61385500000000004</v>
      </c>
      <c r="G22">
        <v>0.56855599999999995</v>
      </c>
      <c r="H22">
        <v>0.53040200000000004</v>
      </c>
      <c r="I22">
        <v>0.49706099999999998</v>
      </c>
      <c r="J22">
        <v>0.466864</v>
      </c>
      <c r="K22">
        <v>0.43848199999999998</v>
      </c>
      <c r="L22">
        <v>0.41182099999999999</v>
      </c>
      <c r="M22">
        <v>0.38691999999999999</v>
      </c>
      <c r="N22">
        <v>0.36438700000000002</v>
      </c>
      <c r="O22">
        <v>0.34237499999999998</v>
      </c>
      <c r="P22">
        <v>0.32178499999999999</v>
      </c>
      <c r="Q22">
        <v>0.30231200000000003</v>
      </c>
      <c r="R22">
        <v>0.28419</v>
      </c>
      <c r="S22">
        <v>0.26708900000000002</v>
      </c>
      <c r="T22">
        <v>0.25099199999999999</v>
      </c>
      <c r="U22">
        <v>0.23586799999999999</v>
      </c>
      <c r="V22">
        <v>0.221696</v>
      </c>
      <c r="W22">
        <v>0.20841399999999999</v>
      </c>
      <c r="X22">
        <v>0.19587399999999999</v>
      </c>
      <c r="Y22">
        <v>0.184114</v>
      </c>
      <c r="Z22">
        <v>0.173068</v>
      </c>
      <c r="AA22">
        <v>0.16266900000000001</v>
      </c>
      <c r="AB22">
        <v>0.152919</v>
      </c>
      <c r="AC22">
        <v>0.14374100000000001</v>
      </c>
      <c r="AD22">
        <v>0.13511899999999999</v>
      </c>
      <c r="AE22">
        <v>0.12701399999999999</v>
      </c>
      <c r="AF22" s="31">
        <v>-6.0999999999999999E-2</v>
      </c>
    </row>
    <row r="23" spans="1:32">
      <c r="A23" t="s">
        <v>258</v>
      </c>
      <c r="B23" t="s">
        <v>370</v>
      </c>
      <c r="C23" t="s">
        <v>4204</v>
      </c>
      <c r="D23" t="s">
        <v>4203</v>
      </c>
      <c r="E23" t="s">
        <v>354</v>
      </c>
      <c r="F23">
        <v>0.38281700000000002</v>
      </c>
      <c r="G23">
        <v>0.36708099999999999</v>
      </c>
      <c r="H23">
        <v>0.34884300000000001</v>
      </c>
      <c r="I23">
        <v>0.32957599999999998</v>
      </c>
      <c r="J23">
        <v>0.311083</v>
      </c>
      <c r="K23">
        <v>0.291153</v>
      </c>
      <c r="L23">
        <v>0.27212599999999998</v>
      </c>
      <c r="M23">
        <v>0.25204399999999999</v>
      </c>
      <c r="N23">
        <v>0.23239799999999999</v>
      </c>
      <c r="O23">
        <v>0.21303800000000001</v>
      </c>
      <c r="P23">
        <v>0.19380600000000001</v>
      </c>
      <c r="Q23">
        <v>0.17505599999999999</v>
      </c>
      <c r="R23">
        <v>0.15646099999999999</v>
      </c>
      <c r="S23">
        <v>0.13889799999999999</v>
      </c>
      <c r="T23">
        <v>0.122019</v>
      </c>
      <c r="U23">
        <v>0.10659</v>
      </c>
      <c r="V23">
        <v>9.1909000000000005E-2</v>
      </c>
      <c r="W23">
        <v>8.0127000000000004E-2</v>
      </c>
      <c r="X23">
        <v>7.0066000000000003E-2</v>
      </c>
      <c r="Y23">
        <v>6.2506000000000006E-2</v>
      </c>
      <c r="Z23">
        <v>5.3782000000000003E-2</v>
      </c>
      <c r="AA23">
        <v>4.7751000000000002E-2</v>
      </c>
      <c r="AB23">
        <v>4.3638000000000003E-2</v>
      </c>
      <c r="AC23">
        <v>3.9392000000000003E-2</v>
      </c>
      <c r="AD23">
        <v>3.6660999999999999E-2</v>
      </c>
      <c r="AE23">
        <v>3.4304000000000001E-2</v>
      </c>
      <c r="AF23" s="31">
        <v>-9.1999999999999998E-2</v>
      </c>
    </row>
    <row r="24" spans="1:32">
      <c r="B24" t="s">
        <v>1374</v>
      </c>
      <c r="C24" t="s">
        <v>4202</v>
      </c>
      <c r="D24" t="s">
        <v>4201</v>
      </c>
      <c r="E24" t="s">
        <v>354</v>
      </c>
      <c r="F24">
        <v>1700.1088870000001</v>
      </c>
      <c r="G24">
        <v>1741.8481449999999</v>
      </c>
      <c r="H24">
        <v>1810.476318</v>
      </c>
      <c r="I24">
        <v>1884.6225589999999</v>
      </c>
      <c r="J24">
        <v>1953.356567</v>
      </c>
      <c r="K24">
        <v>2018.028564</v>
      </c>
      <c r="L24">
        <v>2073.7385250000002</v>
      </c>
      <c r="M24">
        <v>2128.4023440000001</v>
      </c>
      <c r="N24">
        <v>2174.9904790000001</v>
      </c>
      <c r="O24">
        <v>2240.179443</v>
      </c>
      <c r="P24">
        <v>2302.4472660000001</v>
      </c>
      <c r="Q24">
        <v>2365.6953119999998</v>
      </c>
      <c r="R24">
        <v>2433.609375</v>
      </c>
      <c r="S24">
        <v>2498.4436040000001</v>
      </c>
      <c r="T24">
        <v>2567.9121089999999</v>
      </c>
      <c r="U24">
        <v>2643.647461</v>
      </c>
      <c r="V24">
        <v>2716.3073730000001</v>
      </c>
      <c r="W24">
        <v>2785.1472170000002</v>
      </c>
      <c r="X24">
        <v>2853.1264649999998</v>
      </c>
      <c r="Y24">
        <v>2922.5964359999998</v>
      </c>
      <c r="Z24">
        <v>2977.01001</v>
      </c>
      <c r="AA24">
        <v>3036.90625</v>
      </c>
      <c r="AB24">
        <v>3102.5310060000002</v>
      </c>
      <c r="AC24">
        <v>3168.0534670000002</v>
      </c>
      <c r="AD24">
        <v>3216.6472170000002</v>
      </c>
      <c r="AE24">
        <v>3268.3005370000001</v>
      </c>
      <c r="AF24" s="31">
        <v>2.5999999999999999E-2</v>
      </c>
    </row>
    <row r="25" spans="1:32">
      <c r="B25" t="s">
        <v>193</v>
      </c>
      <c r="C25" t="s">
        <v>4200</v>
      </c>
      <c r="D25" t="s">
        <v>4199</v>
      </c>
      <c r="E25" t="s">
        <v>354</v>
      </c>
      <c r="F25">
        <v>14801.441406</v>
      </c>
      <c r="G25">
        <v>14692.539062</v>
      </c>
      <c r="H25">
        <v>14573.571289</v>
      </c>
      <c r="I25">
        <v>14400.46875</v>
      </c>
      <c r="J25">
        <v>14190.922852</v>
      </c>
      <c r="K25">
        <v>13962.425781</v>
      </c>
      <c r="L25">
        <v>13740.234375</v>
      </c>
      <c r="M25">
        <v>13549.169921999999</v>
      </c>
      <c r="N25">
        <v>13349.523438</v>
      </c>
      <c r="O25">
        <v>13221.418944999999</v>
      </c>
      <c r="P25">
        <v>13080.815430000001</v>
      </c>
      <c r="Q25">
        <v>12909.774414</v>
      </c>
      <c r="R25">
        <v>12737.961914</v>
      </c>
      <c r="S25">
        <v>12590.630859000001</v>
      </c>
      <c r="T25">
        <v>12446.421875</v>
      </c>
      <c r="U25">
        <v>12329.805664</v>
      </c>
      <c r="V25">
        <v>12222.287109000001</v>
      </c>
      <c r="W25">
        <v>12094.076171999999</v>
      </c>
      <c r="X25">
        <v>12010.716796999999</v>
      </c>
      <c r="Y25">
        <v>11917.203125</v>
      </c>
      <c r="Z25">
        <v>11836.157227</v>
      </c>
      <c r="AA25">
        <v>11744.404296999999</v>
      </c>
      <c r="AB25">
        <v>11668.592773</v>
      </c>
      <c r="AC25">
        <v>11563.909180000001</v>
      </c>
      <c r="AD25">
        <v>11457.179688</v>
      </c>
      <c r="AE25">
        <v>11382.948242</v>
      </c>
      <c r="AF25" s="31">
        <v>-0.01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09A0-EA5B-4AA0-8278-D50219505AC5}">
  <dimension ref="A1:AF30"/>
  <sheetViews>
    <sheetView workbookViewId="0"/>
  </sheetViews>
  <sheetFormatPr defaultRowHeight="15"/>
  <cols>
    <col min="1" max="1" width="21.7109375" bestFit="1" customWidth="1"/>
    <col min="2" max="2" width="39.42578125" customWidth="1"/>
  </cols>
  <sheetData>
    <row r="1" spans="1:32">
      <c r="B1" t="s">
        <v>3956</v>
      </c>
    </row>
    <row r="2" spans="1:32">
      <c r="B2" t="s">
        <v>4278</v>
      </c>
    </row>
    <row r="3" spans="1:32">
      <c r="B3" t="s">
        <v>4277</v>
      </c>
    </row>
    <row r="4" spans="1:32">
      <c r="B4" t="s">
        <v>302</v>
      </c>
    </row>
    <row r="5" spans="1:32">
      <c r="C5" t="s">
        <v>303</v>
      </c>
      <c r="D5" t="s">
        <v>351</v>
      </c>
      <c r="E5" t="s">
        <v>352</v>
      </c>
      <c r="F5">
        <v>2025</v>
      </c>
      <c r="G5">
        <v>2026</v>
      </c>
      <c r="H5">
        <v>2027</v>
      </c>
      <c r="I5">
        <v>2028</v>
      </c>
      <c r="J5">
        <v>2029</v>
      </c>
      <c r="K5">
        <v>2030</v>
      </c>
      <c r="L5">
        <v>2031</v>
      </c>
      <c r="M5">
        <v>2032</v>
      </c>
      <c r="N5">
        <v>2033</v>
      </c>
      <c r="O5">
        <v>2034</v>
      </c>
      <c r="P5">
        <v>2035</v>
      </c>
      <c r="Q5">
        <v>2036</v>
      </c>
      <c r="R5">
        <v>2037</v>
      </c>
      <c r="S5">
        <v>2038</v>
      </c>
      <c r="T5">
        <v>2039</v>
      </c>
      <c r="U5">
        <v>2040</v>
      </c>
      <c r="V5">
        <v>2041</v>
      </c>
      <c r="W5">
        <v>2042</v>
      </c>
      <c r="X5">
        <v>2043</v>
      </c>
      <c r="Y5">
        <v>2044</v>
      </c>
      <c r="Z5">
        <v>2045</v>
      </c>
      <c r="AA5">
        <v>2046</v>
      </c>
      <c r="AB5">
        <v>2047</v>
      </c>
      <c r="AC5">
        <v>2048</v>
      </c>
      <c r="AD5">
        <v>2049</v>
      </c>
      <c r="AE5">
        <v>2050</v>
      </c>
      <c r="AF5" t="s">
        <v>4196</v>
      </c>
    </row>
    <row r="6" spans="1:32">
      <c r="B6" t="s">
        <v>1413</v>
      </c>
    </row>
    <row r="7" spans="1:32">
      <c r="A7" t="s">
        <v>113</v>
      </c>
      <c r="B7" t="s">
        <v>358</v>
      </c>
      <c r="C7" t="s">
        <v>4276</v>
      </c>
      <c r="D7" t="s">
        <v>4275</v>
      </c>
      <c r="E7" t="s">
        <v>387</v>
      </c>
      <c r="F7">
        <v>2436.7553710000002</v>
      </c>
      <c r="G7">
        <v>2421.959961</v>
      </c>
      <c r="H7">
        <v>2402.220703</v>
      </c>
      <c r="I7">
        <v>2370.5502929999998</v>
      </c>
      <c r="J7">
        <v>2338.1225589999999</v>
      </c>
      <c r="K7">
        <v>2305.5207519999999</v>
      </c>
      <c r="L7">
        <v>2274.8627929999998</v>
      </c>
      <c r="M7">
        <v>2246.5952149999998</v>
      </c>
      <c r="N7">
        <v>2214.9577640000002</v>
      </c>
      <c r="O7">
        <v>2184.5683589999999</v>
      </c>
      <c r="P7">
        <v>2151.6416020000001</v>
      </c>
      <c r="Q7">
        <v>2120.4838869999999</v>
      </c>
      <c r="R7">
        <v>2090.2292480000001</v>
      </c>
      <c r="S7">
        <v>2060.3466800000001</v>
      </c>
      <c r="T7">
        <v>2028.8823239999999</v>
      </c>
      <c r="U7">
        <v>1998.5864260000001</v>
      </c>
      <c r="V7">
        <v>1968.0146480000001</v>
      </c>
      <c r="W7">
        <v>1938.5385739999999</v>
      </c>
      <c r="X7">
        <v>1909.7366939999999</v>
      </c>
      <c r="Y7">
        <v>1882.667236</v>
      </c>
      <c r="Z7">
        <v>1856.3726810000001</v>
      </c>
      <c r="AA7">
        <v>1830.7033690000001</v>
      </c>
      <c r="AB7">
        <v>1804.4700929999999</v>
      </c>
      <c r="AC7">
        <v>1779.2585449999999</v>
      </c>
      <c r="AD7">
        <v>1754.5</v>
      </c>
      <c r="AE7">
        <v>1731.310913</v>
      </c>
      <c r="AF7" s="31">
        <v>-1.4E-2</v>
      </c>
    </row>
    <row r="8" spans="1:32">
      <c r="A8" t="s">
        <v>114</v>
      </c>
      <c r="B8" t="s">
        <v>359</v>
      </c>
      <c r="C8" t="s">
        <v>4274</v>
      </c>
      <c r="D8" t="s">
        <v>4273</v>
      </c>
      <c r="E8" t="s">
        <v>387</v>
      </c>
      <c r="F8">
        <v>18.488142</v>
      </c>
      <c r="G8">
        <v>18.898232</v>
      </c>
      <c r="H8">
        <v>19.185576999999999</v>
      </c>
      <c r="I8">
        <v>19.464596</v>
      </c>
      <c r="J8">
        <v>19.747333999999999</v>
      </c>
      <c r="K8">
        <v>19.925238</v>
      </c>
      <c r="L8">
        <v>20.108280000000001</v>
      </c>
      <c r="M8">
        <v>20.260382</v>
      </c>
      <c r="N8">
        <v>20.457718</v>
      </c>
      <c r="O8">
        <v>20.604427000000001</v>
      </c>
      <c r="P8">
        <v>20.726344999999998</v>
      </c>
      <c r="Q8">
        <v>20.813457</v>
      </c>
      <c r="R8">
        <v>20.939126999999999</v>
      </c>
      <c r="S8">
        <v>21.055589999999999</v>
      </c>
      <c r="T8">
        <v>21.154667</v>
      </c>
      <c r="U8">
        <v>21.203984999999999</v>
      </c>
      <c r="V8">
        <v>21.212655999999999</v>
      </c>
      <c r="W8">
        <v>21.216052999999999</v>
      </c>
      <c r="X8">
        <v>21.282415</v>
      </c>
      <c r="Y8">
        <v>21.351004</v>
      </c>
      <c r="Z8">
        <v>21.329266000000001</v>
      </c>
      <c r="AA8">
        <v>21.322723</v>
      </c>
      <c r="AB8">
        <v>21.293789</v>
      </c>
      <c r="AC8">
        <v>21.300915</v>
      </c>
      <c r="AD8">
        <v>21.285343000000001</v>
      </c>
      <c r="AE8">
        <v>21.273116999999999</v>
      </c>
      <c r="AF8" s="31">
        <v>6.0000000000000001E-3</v>
      </c>
    </row>
    <row r="9" spans="1:32">
      <c r="B9" t="s">
        <v>1405</v>
      </c>
    </row>
    <row r="10" spans="1:32">
      <c r="A10" t="s">
        <v>113</v>
      </c>
      <c r="B10" t="s">
        <v>362</v>
      </c>
      <c r="C10" t="s">
        <v>4272</v>
      </c>
      <c r="D10" t="s">
        <v>4271</v>
      </c>
      <c r="E10" t="s">
        <v>387</v>
      </c>
      <c r="F10">
        <v>186.038895</v>
      </c>
      <c r="G10">
        <v>172.96843000000001</v>
      </c>
      <c r="H10">
        <v>160.31539900000001</v>
      </c>
      <c r="I10">
        <v>147.30509900000001</v>
      </c>
      <c r="J10">
        <v>134.389343</v>
      </c>
      <c r="K10">
        <v>121.63018</v>
      </c>
      <c r="L10">
        <v>109.292526</v>
      </c>
      <c r="M10">
        <v>97.868247999999994</v>
      </c>
      <c r="N10">
        <v>87.247467</v>
      </c>
      <c r="O10">
        <v>77.620604999999998</v>
      </c>
      <c r="P10">
        <v>68.907730000000001</v>
      </c>
      <c r="Q10">
        <v>61.319285999999998</v>
      </c>
      <c r="R10">
        <v>54.711323</v>
      </c>
      <c r="S10">
        <v>49.073269000000003</v>
      </c>
      <c r="T10">
        <v>44.303406000000003</v>
      </c>
      <c r="U10">
        <v>40.264561</v>
      </c>
      <c r="V10">
        <v>36.724659000000003</v>
      </c>
      <c r="W10">
        <v>33.748778999999999</v>
      </c>
      <c r="X10">
        <v>31.179537</v>
      </c>
      <c r="Y10">
        <v>29.008595</v>
      </c>
      <c r="Z10">
        <v>27.090467</v>
      </c>
      <c r="AA10">
        <v>25.405476</v>
      </c>
      <c r="AB10">
        <v>23.873857000000001</v>
      </c>
      <c r="AC10">
        <v>22.523389999999999</v>
      </c>
      <c r="AD10">
        <v>21.268528</v>
      </c>
      <c r="AE10">
        <v>20.118095</v>
      </c>
      <c r="AF10" s="31">
        <v>-8.5000000000000006E-2</v>
      </c>
    </row>
    <row r="11" spans="1:32">
      <c r="A11" t="s">
        <v>111</v>
      </c>
      <c r="B11" t="s">
        <v>1402</v>
      </c>
      <c r="C11" t="s">
        <v>4270</v>
      </c>
      <c r="D11" t="s">
        <v>4269</v>
      </c>
      <c r="E11" t="s">
        <v>387</v>
      </c>
      <c r="F11">
        <v>1.6796359999999999</v>
      </c>
      <c r="G11">
        <v>1.737695</v>
      </c>
      <c r="H11">
        <v>1.793247</v>
      </c>
      <c r="I11">
        <v>1.8294760000000001</v>
      </c>
      <c r="J11">
        <v>1.86389</v>
      </c>
      <c r="K11">
        <v>1.909783</v>
      </c>
      <c r="L11">
        <v>1.9565809999999999</v>
      </c>
      <c r="M11">
        <v>2.0127419999999998</v>
      </c>
      <c r="N11">
        <v>2.075285</v>
      </c>
      <c r="O11">
        <v>2.1493419999999999</v>
      </c>
      <c r="P11">
        <v>2.2308430000000001</v>
      </c>
      <c r="Q11">
        <v>2.3228819999999999</v>
      </c>
      <c r="R11">
        <v>2.4229310000000002</v>
      </c>
      <c r="S11">
        <v>2.5331169999999998</v>
      </c>
      <c r="T11">
        <v>2.6473119999999999</v>
      </c>
      <c r="U11">
        <v>2.7669049999999999</v>
      </c>
      <c r="V11">
        <v>2.8848549999999999</v>
      </c>
      <c r="W11">
        <v>3.0018250000000002</v>
      </c>
      <c r="X11">
        <v>3.115418</v>
      </c>
      <c r="Y11">
        <v>3.225819</v>
      </c>
      <c r="Z11">
        <v>3.3331</v>
      </c>
      <c r="AA11">
        <v>3.4347669999999999</v>
      </c>
      <c r="AB11">
        <v>3.5309539999999999</v>
      </c>
      <c r="AC11">
        <v>3.6242670000000001</v>
      </c>
      <c r="AD11">
        <v>3.7132049999999999</v>
      </c>
      <c r="AE11">
        <v>3.800027</v>
      </c>
      <c r="AF11" s="31">
        <v>3.3000000000000002E-2</v>
      </c>
    </row>
    <row r="12" spans="1:32">
      <c r="A12" t="s">
        <v>111</v>
      </c>
      <c r="B12" t="s">
        <v>1400</v>
      </c>
      <c r="C12" t="s">
        <v>4268</v>
      </c>
      <c r="D12" t="s">
        <v>4267</v>
      </c>
      <c r="E12" t="s">
        <v>387</v>
      </c>
      <c r="F12">
        <v>8.5791550000000001</v>
      </c>
      <c r="G12">
        <v>11.804366</v>
      </c>
      <c r="H12">
        <v>16.792936000000001</v>
      </c>
      <c r="I12">
        <v>22.811167000000001</v>
      </c>
      <c r="J12">
        <v>29.317881</v>
      </c>
      <c r="K12">
        <v>34.994064000000002</v>
      </c>
      <c r="L12">
        <v>40.123100000000001</v>
      </c>
      <c r="M12">
        <v>44.485027000000002</v>
      </c>
      <c r="N12">
        <v>48.848517999999999</v>
      </c>
      <c r="O12">
        <v>53.392319000000001</v>
      </c>
      <c r="P12">
        <v>58.131034999999997</v>
      </c>
      <c r="Q12">
        <v>63.010311000000002</v>
      </c>
      <c r="R12">
        <v>68.033539000000005</v>
      </c>
      <c r="S12">
        <v>73.185623000000007</v>
      </c>
      <c r="T12">
        <v>78.346610999999996</v>
      </c>
      <c r="U12">
        <v>83.530472000000003</v>
      </c>
      <c r="V12">
        <v>88.642364999999998</v>
      </c>
      <c r="W12">
        <v>93.740134999999995</v>
      </c>
      <c r="X12">
        <v>98.796454999999995</v>
      </c>
      <c r="Y12">
        <v>103.84716</v>
      </c>
      <c r="Z12">
        <v>108.844971</v>
      </c>
      <c r="AA12">
        <v>113.75501300000001</v>
      </c>
      <c r="AB12">
        <v>118.563873</v>
      </c>
      <c r="AC12">
        <v>123.341553</v>
      </c>
      <c r="AD12">
        <v>128.04629499999999</v>
      </c>
      <c r="AE12">
        <v>132.69465600000001</v>
      </c>
      <c r="AF12" s="31">
        <v>0.11600000000000001</v>
      </c>
    </row>
    <row r="13" spans="1:32">
      <c r="A13" t="s">
        <v>111</v>
      </c>
      <c r="B13" t="s">
        <v>1398</v>
      </c>
      <c r="C13" t="s">
        <v>4266</v>
      </c>
      <c r="D13" t="s">
        <v>4265</v>
      </c>
      <c r="E13" t="s">
        <v>387</v>
      </c>
      <c r="F13">
        <v>53.213321999999998</v>
      </c>
      <c r="G13">
        <v>67.714759999999998</v>
      </c>
      <c r="H13">
        <v>84.481650999999999</v>
      </c>
      <c r="I13">
        <v>101.84839599999999</v>
      </c>
      <c r="J13">
        <v>120.789703</v>
      </c>
      <c r="K13">
        <v>140.261246</v>
      </c>
      <c r="L13">
        <v>158.23675499999999</v>
      </c>
      <c r="M13">
        <v>176.132339</v>
      </c>
      <c r="N13">
        <v>194.30926500000001</v>
      </c>
      <c r="O13">
        <v>212.92913799999999</v>
      </c>
      <c r="P13">
        <v>231.85829200000001</v>
      </c>
      <c r="Q13">
        <v>250.76843299999999</v>
      </c>
      <c r="R13">
        <v>269.78125</v>
      </c>
      <c r="S13">
        <v>288.655914</v>
      </c>
      <c r="T13">
        <v>307.13717700000001</v>
      </c>
      <c r="U13">
        <v>325.27752700000002</v>
      </c>
      <c r="V13">
        <v>342.66018700000001</v>
      </c>
      <c r="W13">
        <v>359.51275600000002</v>
      </c>
      <c r="X13">
        <v>375.767853</v>
      </c>
      <c r="Y13">
        <v>391.57836900000001</v>
      </c>
      <c r="Z13">
        <v>406.93866000000003</v>
      </c>
      <c r="AA13">
        <v>421.69274899999999</v>
      </c>
      <c r="AB13">
        <v>435.78183000000001</v>
      </c>
      <c r="AC13">
        <v>449.55398600000001</v>
      </c>
      <c r="AD13">
        <v>462.81866500000001</v>
      </c>
      <c r="AE13">
        <v>475.75268599999998</v>
      </c>
      <c r="AF13" s="31">
        <v>9.1999999999999998E-2</v>
      </c>
    </row>
    <row r="14" spans="1:32">
      <c r="A14" t="s">
        <v>115</v>
      </c>
      <c r="B14" t="s">
        <v>1396</v>
      </c>
      <c r="C14" t="s">
        <v>4264</v>
      </c>
      <c r="D14" t="s">
        <v>4263</v>
      </c>
      <c r="E14" t="s">
        <v>387</v>
      </c>
      <c r="F14">
        <v>13.532652000000001</v>
      </c>
      <c r="G14">
        <v>15.256983999999999</v>
      </c>
      <c r="H14">
        <v>16.899360999999999</v>
      </c>
      <c r="I14">
        <v>18.345200999999999</v>
      </c>
      <c r="J14">
        <v>19.648136000000001</v>
      </c>
      <c r="K14">
        <v>20.881934999999999</v>
      </c>
      <c r="L14">
        <v>22.040174</v>
      </c>
      <c r="M14">
        <v>23.076509000000001</v>
      </c>
      <c r="N14">
        <v>24.094878999999999</v>
      </c>
      <c r="O14">
        <v>25.206828999999999</v>
      </c>
      <c r="P14">
        <v>26.373007000000001</v>
      </c>
      <c r="Q14">
        <v>27.574711000000001</v>
      </c>
      <c r="R14">
        <v>28.780293</v>
      </c>
      <c r="S14">
        <v>29.975701999999998</v>
      </c>
      <c r="T14">
        <v>31.134363</v>
      </c>
      <c r="U14">
        <v>32.251080000000002</v>
      </c>
      <c r="V14">
        <v>33.298175999999998</v>
      </c>
      <c r="W14">
        <v>34.277290000000001</v>
      </c>
      <c r="X14">
        <v>35.206535000000002</v>
      </c>
      <c r="Y14">
        <v>36.091887999999997</v>
      </c>
      <c r="Z14">
        <v>36.922192000000003</v>
      </c>
      <c r="AA14">
        <v>37.694862000000001</v>
      </c>
      <c r="AB14">
        <v>38.404682000000001</v>
      </c>
      <c r="AC14">
        <v>39.074905000000001</v>
      </c>
      <c r="AD14">
        <v>39.709225000000004</v>
      </c>
      <c r="AE14">
        <v>40.321434000000004</v>
      </c>
      <c r="AF14" s="31">
        <v>4.4999999999999998E-2</v>
      </c>
    </row>
    <row r="15" spans="1:32">
      <c r="A15" t="s">
        <v>115</v>
      </c>
      <c r="B15" t="s">
        <v>1393</v>
      </c>
      <c r="C15" t="s">
        <v>4262</v>
      </c>
      <c r="D15" t="s">
        <v>4261</v>
      </c>
      <c r="E15" t="s">
        <v>387</v>
      </c>
      <c r="F15">
        <v>5.3826179999999999</v>
      </c>
      <c r="G15">
        <v>8.5519829999999999</v>
      </c>
      <c r="H15">
        <v>14.037834</v>
      </c>
      <c r="I15">
        <v>21.068778999999999</v>
      </c>
      <c r="J15">
        <v>25.715268999999999</v>
      </c>
      <c r="K15">
        <v>28.749113000000001</v>
      </c>
      <c r="L15">
        <v>30.367176000000001</v>
      </c>
      <c r="M15">
        <v>30.906593000000001</v>
      </c>
      <c r="N15">
        <v>31.082455</v>
      </c>
      <c r="O15">
        <v>31.064122999999999</v>
      </c>
      <c r="P15">
        <v>30.949276000000001</v>
      </c>
      <c r="Q15">
        <v>30.881696999999999</v>
      </c>
      <c r="R15">
        <v>30.817169</v>
      </c>
      <c r="S15">
        <v>30.724208999999998</v>
      </c>
      <c r="T15">
        <v>30.571373000000001</v>
      </c>
      <c r="U15">
        <v>30.375419999999998</v>
      </c>
      <c r="V15">
        <v>30.053834999999999</v>
      </c>
      <c r="W15">
        <v>29.643809999999998</v>
      </c>
      <c r="X15">
        <v>29.215458000000002</v>
      </c>
      <c r="Y15">
        <v>28.769794000000001</v>
      </c>
      <c r="Z15">
        <v>28.284164000000001</v>
      </c>
      <c r="AA15">
        <v>27.764471</v>
      </c>
      <c r="AB15">
        <v>27.268930000000001</v>
      </c>
      <c r="AC15">
        <v>26.820419000000001</v>
      </c>
      <c r="AD15">
        <v>26.434338</v>
      </c>
      <c r="AE15">
        <v>26.082529000000001</v>
      </c>
      <c r="AF15" s="31">
        <v>6.5000000000000002E-2</v>
      </c>
    </row>
    <row r="16" spans="1:32">
      <c r="A16" t="s">
        <v>115</v>
      </c>
      <c r="B16" t="s">
        <v>364</v>
      </c>
      <c r="C16" t="s">
        <v>4260</v>
      </c>
      <c r="D16" t="s">
        <v>4259</v>
      </c>
      <c r="E16" t="s">
        <v>387</v>
      </c>
      <c r="F16">
        <v>118.784119</v>
      </c>
      <c r="G16">
        <v>144.135651</v>
      </c>
      <c r="H16">
        <v>171.967163</v>
      </c>
      <c r="I16">
        <v>200.38563500000001</v>
      </c>
      <c r="J16">
        <v>228.77920499999999</v>
      </c>
      <c r="K16">
        <v>257.159088</v>
      </c>
      <c r="L16">
        <v>285.24179099999998</v>
      </c>
      <c r="M16">
        <v>312.56762700000002</v>
      </c>
      <c r="N16">
        <v>338.50903299999999</v>
      </c>
      <c r="O16">
        <v>363.44515999999999</v>
      </c>
      <c r="P16">
        <v>387.12356599999998</v>
      </c>
      <c r="Q16">
        <v>409.73468000000003</v>
      </c>
      <c r="R16">
        <v>431.41171300000002</v>
      </c>
      <c r="S16">
        <v>451.95986900000003</v>
      </c>
      <c r="T16">
        <v>471.97879</v>
      </c>
      <c r="U16">
        <v>491.12768599999998</v>
      </c>
      <c r="V16">
        <v>508.68820199999999</v>
      </c>
      <c r="W16">
        <v>524.93469200000004</v>
      </c>
      <c r="X16">
        <v>539.76190199999996</v>
      </c>
      <c r="Y16">
        <v>553.62554899999998</v>
      </c>
      <c r="Z16">
        <v>566.50707999999997</v>
      </c>
      <c r="AA16">
        <v>578.51818800000001</v>
      </c>
      <c r="AB16">
        <v>589.46398899999997</v>
      </c>
      <c r="AC16">
        <v>599.87255900000002</v>
      </c>
      <c r="AD16">
        <v>609.61938499999997</v>
      </c>
      <c r="AE16">
        <v>619.21673599999997</v>
      </c>
      <c r="AF16" s="31">
        <v>6.8000000000000005E-2</v>
      </c>
    </row>
    <row r="17" spans="1:32">
      <c r="A17" t="s">
        <v>112</v>
      </c>
      <c r="B17" t="s">
        <v>365</v>
      </c>
      <c r="C17" t="s">
        <v>4258</v>
      </c>
      <c r="D17" t="s">
        <v>4257</v>
      </c>
      <c r="E17" t="s">
        <v>387</v>
      </c>
      <c r="F17">
        <v>0.155305</v>
      </c>
      <c r="G17">
        <v>0.14130300000000001</v>
      </c>
      <c r="H17">
        <v>0.12742600000000001</v>
      </c>
      <c r="I17">
        <v>0.114083</v>
      </c>
      <c r="J17">
        <v>0.10159899999999999</v>
      </c>
      <c r="K17">
        <v>9.1062000000000004E-2</v>
      </c>
      <c r="L17">
        <v>8.1057000000000004E-2</v>
      </c>
      <c r="M17">
        <v>7.2093000000000004E-2</v>
      </c>
      <c r="N17">
        <v>6.4229999999999995E-2</v>
      </c>
      <c r="O17">
        <v>5.7561000000000001E-2</v>
      </c>
      <c r="P17">
        <v>5.1857E-2</v>
      </c>
      <c r="Q17">
        <v>4.7065000000000003E-2</v>
      </c>
      <c r="R17">
        <v>4.3693000000000003E-2</v>
      </c>
      <c r="S17">
        <v>4.0726999999999999E-2</v>
      </c>
      <c r="T17">
        <v>3.8198999999999997E-2</v>
      </c>
      <c r="U17">
        <v>3.5906E-2</v>
      </c>
      <c r="V17">
        <v>3.3750000000000002E-2</v>
      </c>
      <c r="W17">
        <v>3.1723000000000001E-2</v>
      </c>
      <c r="X17">
        <v>2.9818999999999998E-2</v>
      </c>
      <c r="Y17">
        <v>2.8028999999999998E-2</v>
      </c>
      <c r="Z17">
        <v>2.6346000000000001E-2</v>
      </c>
      <c r="AA17">
        <v>2.4764000000000001E-2</v>
      </c>
      <c r="AB17">
        <v>2.3278E-2</v>
      </c>
      <c r="AC17">
        <v>2.188E-2</v>
      </c>
      <c r="AD17">
        <v>2.0566999999999998E-2</v>
      </c>
      <c r="AE17">
        <v>1.9331999999999998E-2</v>
      </c>
      <c r="AF17" s="31">
        <v>-0.08</v>
      </c>
    </row>
    <row r="18" spans="1:32">
      <c r="A18" t="s">
        <v>112</v>
      </c>
      <c r="B18" t="s">
        <v>366</v>
      </c>
      <c r="C18" t="s">
        <v>4256</v>
      </c>
      <c r="D18" t="s">
        <v>4255</v>
      </c>
      <c r="E18" t="s">
        <v>387</v>
      </c>
      <c r="F18">
        <v>2.8312E-2</v>
      </c>
      <c r="G18">
        <v>2.6543000000000001E-2</v>
      </c>
      <c r="H18">
        <v>2.4923000000000001E-2</v>
      </c>
      <c r="I18">
        <v>2.3406E-2</v>
      </c>
      <c r="J18">
        <v>2.2010999999999999E-2</v>
      </c>
      <c r="K18">
        <v>2.0698999999999999E-2</v>
      </c>
      <c r="L18">
        <v>1.9474000000000002E-2</v>
      </c>
      <c r="M18">
        <v>1.8335000000000001E-2</v>
      </c>
      <c r="N18">
        <v>1.7243999999999999E-2</v>
      </c>
      <c r="O18">
        <v>1.6223000000000001E-2</v>
      </c>
      <c r="P18">
        <v>1.5264E-2</v>
      </c>
      <c r="Q18">
        <v>1.4359E-2</v>
      </c>
      <c r="R18">
        <v>1.3521999999999999E-2</v>
      </c>
      <c r="S18">
        <v>1.2721E-2</v>
      </c>
      <c r="T18">
        <v>1.1965E-2</v>
      </c>
      <c r="U18">
        <v>1.1254E-2</v>
      </c>
      <c r="V18">
        <v>1.0588999999999999E-2</v>
      </c>
      <c r="W18">
        <v>9.9620000000000004E-3</v>
      </c>
      <c r="X18">
        <v>9.3710000000000009E-3</v>
      </c>
      <c r="Y18">
        <v>8.8190000000000004E-3</v>
      </c>
      <c r="Z18">
        <v>8.2990000000000008E-3</v>
      </c>
      <c r="AA18">
        <v>7.8059999999999996E-3</v>
      </c>
      <c r="AB18">
        <v>7.3429999999999997E-3</v>
      </c>
      <c r="AC18">
        <v>6.9080000000000001E-3</v>
      </c>
      <c r="AD18">
        <v>6.4999999999999997E-3</v>
      </c>
      <c r="AE18">
        <v>6.1139999999999996E-3</v>
      </c>
      <c r="AF18" s="31">
        <v>-5.8999999999999997E-2</v>
      </c>
    </row>
    <row r="19" spans="1:32">
      <c r="A19" t="s">
        <v>257</v>
      </c>
      <c r="B19" t="s">
        <v>367</v>
      </c>
      <c r="C19" t="s">
        <v>4254</v>
      </c>
      <c r="D19" t="s">
        <v>4253</v>
      </c>
      <c r="E19" t="s">
        <v>387</v>
      </c>
      <c r="F19">
        <v>8.3179000000000003E-2</v>
      </c>
      <c r="G19">
        <v>7.6755000000000004E-2</v>
      </c>
      <c r="H19">
        <v>7.1986999999999995E-2</v>
      </c>
      <c r="I19">
        <v>6.7697999999999994E-2</v>
      </c>
      <c r="J19">
        <v>6.3663999999999998E-2</v>
      </c>
      <c r="K19">
        <v>5.987E-2</v>
      </c>
      <c r="L19">
        <v>5.6302999999999999E-2</v>
      </c>
      <c r="M19">
        <v>5.2949000000000003E-2</v>
      </c>
      <c r="N19">
        <v>4.9793999999999998E-2</v>
      </c>
      <c r="O19">
        <v>4.6827000000000001E-2</v>
      </c>
      <c r="P19">
        <v>4.4038000000000001E-2</v>
      </c>
      <c r="Q19">
        <v>4.1413999999999999E-2</v>
      </c>
      <c r="R19">
        <v>3.8947000000000002E-2</v>
      </c>
      <c r="S19">
        <v>3.6627E-2</v>
      </c>
      <c r="T19">
        <v>3.4445000000000003E-2</v>
      </c>
      <c r="U19">
        <v>3.2392999999999998E-2</v>
      </c>
      <c r="V19">
        <v>3.0464000000000001E-2</v>
      </c>
      <c r="W19">
        <v>2.8649000000000001E-2</v>
      </c>
      <c r="X19">
        <v>2.6943000000000002E-2</v>
      </c>
      <c r="Y19">
        <v>2.5337999999999999E-2</v>
      </c>
      <c r="Z19">
        <v>2.3828999999999999E-2</v>
      </c>
      <c r="AA19">
        <v>2.2409999999999999E-2</v>
      </c>
      <c r="AB19">
        <v>2.1075E-2</v>
      </c>
      <c r="AC19">
        <v>1.9820000000000001E-2</v>
      </c>
      <c r="AD19">
        <v>1.864E-2</v>
      </c>
      <c r="AE19">
        <v>1.753E-2</v>
      </c>
      <c r="AF19" s="31">
        <v>-0.06</v>
      </c>
    </row>
    <row r="20" spans="1:32">
      <c r="A20" t="s">
        <v>257</v>
      </c>
      <c r="B20" t="s">
        <v>368</v>
      </c>
      <c r="C20" t="s">
        <v>4252</v>
      </c>
      <c r="D20" t="s">
        <v>4251</v>
      </c>
      <c r="E20" t="s">
        <v>387</v>
      </c>
      <c r="F20">
        <v>9.2955999999999997E-2</v>
      </c>
      <c r="G20">
        <v>8.5797999999999999E-2</v>
      </c>
      <c r="H20">
        <v>8.0185999999999993E-2</v>
      </c>
      <c r="I20">
        <v>7.5136999999999995E-2</v>
      </c>
      <c r="J20">
        <v>7.0621000000000003E-2</v>
      </c>
      <c r="K20">
        <v>6.6379999999999995E-2</v>
      </c>
      <c r="L20">
        <v>6.2396E-2</v>
      </c>
      <c r="M20">
        <v>5.8661999999999999E-2</v>
      </c>
      <c r="N20">
        <v>5.5168000000000002E-2</v>
      </c>
      <c r="O20">
        <v>5.1867999999999997E-2</v>
      </c>
      <c r="P20">
        <v>4.8772000000000003E-2</v>
      </c>
      <c r="Q20">
        <v>4.5855E-2</v>
      </c>
      <c r="R20">
        <v>4.3115000000000001E-2</v>
      </c>
      <c r="S20">
        <v>4.0536999999999997E-2</v>
      </c>
      <c r="T20">
        <v>3.8112E-2</v>
      </c>
      <c r="U20">
        <v>3.5833999999999998E-2</v>
      </c>
      <c r="V20">
        <v>3.3694000000000002E-2</v>
      </c>
      <c r="W20">
        <v>3.1684999999999998E-2</v>
      </c>
      <c r="X20">
        <v>2.9794000000000001E-2</v>
      </c>
      <c r="Y20">
        <v>2.8018000000000001E-2</v>
      </c>
      <c r="Z20">
        <v>2.6346000000000001E-2</v>
      </c>
      <c r="AA20">
        <v>2.4771000000000001E-2</v>
      </c>
      <c r="AB20">
        <v>2.3295E-2</v>
      </c>
      <c r="AC20">
        <v>2.1904E-2</v>
      </c>
      <c r="AD20">
        <v>2.0597000000000001E-2</v>
      </c>
      <c r="AE20">
        <v>1.9368E-2</v>
      </c>
      <c r="AF20" s="31">
        <v>-6.0999999999999999E-2</v>
      </c>
    </row>
    <row r="21" spans="1:32">
      <c r="A21" t="s">
        <v>258</v>
      </c>
      <c r="B21" t="s">
        <v>370</v>
      </c>
      <c r="C21" t="s">
        <v>4250</v>
      </c>
      <c r="D21" t="s">
        <v>4249</v>
      </c>
      <c r="E21" t="s">
        <v>387</v>
      </c>
      <c r="F21">
        <v>0.218865</v>
      </c>
      <c r="G21">
        <v>0.21006900000000001</v>
      </c>
      <c r="H21">
        <v>0.19980400000000001</v>
      </c>
      <c r="I21">
        <v>0.18893599999999999</v>
      </c>
      <c r="J21">
        <v>0.178481</v>
      </c>
      <c r="K21">
        <v>0.167184</v>
      </c>
      <c r="L21">
        <v>0.15637799999999999</v>
      </c>
      <c r="M21">
        <v>0.14496899999999999</v>
      </c>
      <c r="N21">
        <v>0.1338</v>
      </c>
      <c r="O21">
        <v>0.122793</v>
      </c>
      <c r="P21">
        <v>0.11186400000000001</v>
      </c>
      <c r="Q21">
        <v>0.101191</v>
      </c>
      <c r="R21">
        <v>9.0589000000000003E-2</v>
      </c>
      <c r="S21">
        <v>8.0554000000000001E-2</v>
      </c>
      <c r="T21">
        <v>7.0892999999999998E-2</v>
      </c>
      <c r="U21">
        <v>6.2039999999999998E-2</v>
      </c>
      <c r="V21">
        <v>5.3616999999999998E-2</v>
      </c>
      <c r="W21">
        <v>4.6795000000000003E-2</v>
      </c>
      <c r="X21">
        <v>4.0850999999999998E-2</v>
      </c>
      <c r="Y21">
        <v>3.6095000000000002E-2</v>
      </c>
      <c r="Z21">
        <v>3.1888E-2</v>
      </c>
      <c r="AA21">
        <v>2.8642999999999998E-2</v>
      </c>
      <c r="AB21">
        <v>2.6121999999999999E-2</v>
      </c>
      <c r="AC21">
        <v>2.4277E-2</v>
      </c>
      <c r="AD21">
        <v>2.2637000000000001E-2</v>
      </c>
      <c r="AE21">
        <v>2.1184999999999999E-2</v>
      </c>
      <c r="AF21" s="31">
        <v>-8.8999999999999996E-2</v>
      </c>
    </row>
    <row r="22" spans="1:32">
      <c r="B22" t="s">
        <v>579</v>
      </c>
    </row>
    <row r="23" spans="1:32">
      <c r="B23" t="s">
        <v>3921</v>
      </c>
      <c r="C23" t="s">
        <v>4248</v>
      </c>
      <c r="D23" t="s">
        <v>4247</v>
      </c>
      <c r="E23" t="s">
        <v>387</v>
      </c>
      <c r="F23">
        <v>2843.032471</v>
      </c>
      <c r="G23">
        <v>2863.5686040000001</v>
      </c>
      <c r="H23">
        <v>2888.1982419999999</v>
      </c>
      <c r="I23">
        <v>2904.0778810000002</v>
      </c>
      <c r="J23">
        <v>2918.8098140000002</v>
      </c>
      <c r="K23">
        <v>2931.4370119999999</v>
      </c>
      <c r="L23">
        <v>2942.6047359999998</v>
      </c>
      <c r="M23">
        <v>2954.2514649999998</v>
      </c>
      <c r="N23">
        <v>2961.9025879999999</v>
      </c>
      <c r="O23">
        <v>2971.2753910000001</v>
      </c>
      <c r="P23">
        <v>2978.2133789999998</v>
      </c>
      <c r="Q23">
        <v>2987.1594239999999</v>
      </c>
      <c r="R23">
        <v>2997.3566890000002</v>
      </c>
      <c r="S23">
        <v>3007.7211910000001</v>
      </c>
      <c r="T23">
        <v>3016.3496089999999</v>
      </c>
      <c r="U23">
        <v>3025.5615229999999</v>
      </c>
      <c r="V23">
        <v>3032.3415530000002</v>
      </c>
      <c r="W23">
        <v>3038.7626949999999</v>
      </c>
      <c r="X23">
        <v>3044.1992190000001</v>
      </c>
      <c r="Y23">
        <v>3050.2915039999998</v>
      </c>
      <c r="Z23">
        <v>3055.7390140000002</v>
      </c>
      <c r="AA23">
        <v>3060.4001459999999</v>
      </c>
      <c r="AB23">
        <v>3062.7534179999998</v>
      </c>
      <c r="AC23">
        <v>3065.4650879999999</v>
      </c>
      <c r="AD23">
        <v>3067.4841310000002</v>
      </c>
      <c r="AE23">
        <v>3070.6538089999999</v>
      </c>
      <c r="AF23" s="31">
        <v>3.0000000000000001E-3</v>
      </c>
    </row>
    <row r="24" spans="1:32">
      <c r="B24" t="s">
        <v>3918</v>
      </c>
      <c r="C24" t="s">
        <v>4246</v>
      </c>
      <c r="D24" t="s">
        <v>4245</v>
      </c>
      <c r="E24" t="s">
        <v>3915</v>
      </c>
      <c r="F24">
        <v>11.981744000000001</v>
      </c>
      <c r="G24">
        <v>11.994122000000001</v>
      </c>
      <c r="H24">
        <v>12.024615000000001</v>
      </c>
      <c r="I24">
        <v>12.027943</v>
      </c>
      <c r="J24">
        <v>12.026113</v>
      </c>
      <c r="K24">
        <v>12.015661</v>
      </c>
      <c r="L24">
        <v>12.00127</v>
      </c>
      <c r="M24">
        <v>11.990167</v>
      </c>
      <c r="N24">
        <v>11.967281</v>
      </c>
      <c r="O24">
        <v>11.954492999999999</v>
      </c>
      <c r="P24">
        <v>11.935031</v>
      </c>
      <c r="Q24">
        <v>11.927476</v>
      </c>
      <c r="R24">
        <v>11.923226</v>
      </c>
      <c r="S24">
        <v>11.921785</v>
      </c>
      <c r="T24">
        <v>11.922981999999999</v>
      </c>
      <c r="U24">
        <v>11.927887999999999</v>
      </c>
      <c r="V24">
        <v>11.925840000000001</v>
      </c>
      <c r="W24">
        <v>11.925757000000001</v>
      </c>
      <c r="X24">
        <v>11.923802</v>
      </c>
      <c r="Y24">
        <v>11.923959999999999</v>
      </c>
      <c r="Z24">
        <v>11.921533</v>
      </c>
      <c r="AA24">
        <v>11.918113</v>
      </c>
      <c r="AB24">
        <v>11.909241</v>
      </c>
      <c r="AC24">
        <v>11.904225</v>
      </c>
      <c r="AD24">
        <v>11.898294</v>
      </c>
      <c r="AE24">
        <v>11.896394000000001</v>
      </c>
      <c r="AF24" s="31">
        <v>0</v>
      </c>
    </row>
    <row r="25" spans="1:32">
      <c r="B25" t="s">
        <v>3914</v>
      </c>
      <c r="C25" t="s">
        <v>4244</v>
      </c>
      <c r="D25" t="s">
        <v>4243</v>
      </c>
      <c r="E25" t="s">
        <v>416</v>
      </c>
      <c r="F25">
        <v>237.28035</v>
      </c>
      <c r="G25">
        <v>238.74766500000001</v>
      </c>
      <c r="H25">
        <v>240.19049100000001</v>
      </c>
      <c r="I25">
        <v>241.444275</v>
      </c>
      <c r="J25">
        <v>242.70600899999999</v>
      </c>
      <c r="K25">
        <v>243.968018</v>
      </c>
      <c r="L25">
        <v>245.191101</v>
      </c>
      <c r="M25">
        <v>246.38952599999999</v>
      </c>
      <c r="N25">
        <v>247.50003100000001</v>
      </c>
      <c r="O25">
        <v>248.54885899999999</v>
      </c>
      <c r="P25">
        <v>249.53544600000001</v>
      </c>
      <c r="Q25">
        <v>250.443558</v>
      </c>
      <c r="R25">
        <v>251.38806199999999</v>
      </c>
      <c r="S25">
        <v>252.287811</v>
      </c>
      <c r="T25">
        <v>252.98616000000001</v>
      </c>
      <c r="U25">
        <v>253.65441899999999</v>
      </c>
      <c r="V25">
        <v>254.26649499999999</v>
      </c>
      <c r="W25">
        <v>254.80668600000001</v>
      </c>
      <c r="X25">
        <v>255.30439799999999</v>
      </c>
      <c r="Y25">
        <v>255.81195099999999</v>
      </c>
      <c r="Z25">
        <v>256.32098400000001</v>
      </c>
      <c r="AA25">
        <v>256.78564499999999</v>
      </c>
      <c r="AB25">
        <v>257.17453</v>
      </c>
      <c r="AC25">
        <v>257.51068099999998</v>
      </c>
      <c r="AD25">
        <v>257.808716</v>
      </c>
      <c r="AE25">
        <v>258.11636399999998</v>
      </c>
      <c r="AF25" s="31">
        <v>3.0000000000000001E-3</v>
      </c>
    </row>
    <row r="26" spans="1:32">
      <c r="B26" t="s">
        <v>586</v>
      </c>
    </row>
    <row r="27" spans="1:32">
      <c r="B27" t="s">
        <v>3911</v>
      </c>
      <c r="C27" t="s">
        <v>4242</v>
      </c>
      <c r="D27" t="s">
        <v>4241</v>
      </c>
      <c r="E27" t="s">
        <v>452</v>
      </c>
      <c r="F27">
        <v>10.909678</v>
      </c>
      <c r="G27">
        <v>10.236706999999999</v>
      </c>
      <c r="H27">
        <v>9.6174269999999993</v>
      </c>
      <c r="I27">
        <v>9.3563209999999994</v>
      </c>
      <c r="J27">
        <v>9.3270630000000008</v>
      </c>
      <c r="K27">
        <v>9.3575359999999996</v>
      </c>
      <c r="L27">
        <v>9.498265</v>
      </c>
      <c r="M27">
        <v>9.5894720000000007</v>
      </c>
      <c r="N27">
        <v>9.9274400000000007</v>
      </c>
      <c r="O27">
        <v>9.9652189999999994</v>
      </c>
      <c r="P27">
        <v>10.115214999999999</v>
      </c>
      <c r="Q27">
        <v>10.152291999999999</v>
      </c>
      <c r="R27">
        <v>10.248097</v>
      </c>
      <c r="S27">
        <v>10.321084000000001</v>
      </c>
      <c r="T27">
        <v>10.338144</v>
      </c>
      <c r="U27">
        <v>10.363</v>
      </c>
      <c r="V27">
        <v>10.394798</v>
      </c>
      <c r="W27">
        <v>10.462588</v>
      </c>
      <c r="X27">
        <v>10.449661000000001</v>
      </c>
      <c r="Y27">
        <v>10.46346</v>
      </c>
      <c r="Z27">
        <v>10.521191</v>
      </c>
      <c r="AA27">
        <v>10.523586999999999</v>
      </c>
      <c r="AB27">
        <v>10.670577</v>
      </c>
      <c r="AC27">
        <v>10.717237000000001</v>
      </c>
      <c r="AD27">
        <v>10.799041000000001</v>
      </c>
      <c r="AE27">
        <v>10.825251</v>
      </c>
      <c r="AF27" s="31">
        <v>0</v>
      </c>
    </row>
    <row r="28" spans="1:32">
      <c r="B28" t="s">
        <v>3908</v>
      </c>
      <c r="C28" t="s">
        <v>4240</v>
      </c>
      <c r="D28" t="s">
        <v>4239</v>
      </c>
      <c r="E28" t="s">
        <v>414</v>
      </c>
      <c r="F28">
        <v>23.084454000000001</v>
      </c>
      <c r="G28">
        <v>23.386569999999999</v>
      </c>
      <c r="H28">
        <v>23.745408999999999</v>
      </c>
      <c r="I28">
        <v>24.132712999999999</v>
      </c>
      <c r="J28">
        <v>24.593454000000001</v>
      </c>
      <c r="K28">
        <v>25.092979</v>
      </c>
      <c r="L28">
        <v>25.589217999999999</v>
      </c>
      <c r="M28">
        <v>26.050234</v>
      </c>
      <c r="N28">
        <v>26.503520999999999</v>
      </c>
      <c r="O28">
        <v>26.838916999999999</v>
      </c>
      <c r="P28">
        <v>27.18289</v>
      </c>
      <c r="Q28">
        <v>27.621068999999999</v>
      </c>
      <c r="R28">
        <v>28.086531000000001</v>
      </c>
      <c r="S28">
        <v>28.510223</v>
      </c>
      <c r="T28">
        <v>28.919177999999999</v>
      </c>
      <c r="U28">
        <v>29.275559999999999</v>
      </c>
      <c r="V28">
        <v>29.593744000000001</v>
      </c>
      <c r="W28">
        <v>29.969158</v>
      </c>
      <c r="X28">
        <v>30.226122</v>
      </c>
      <c r="Y28">
        <v>30.517982</v>
      </c>
      <c r="Z28">
        <v>30.782063999999998</v>
      </c>
      <c r="AA28">
        <v>31.070430999999999</v>
      </c>
      <c r="AB28">
        <v>31.292009</v>
      </c>
      <c r="AC28">
        <v>31.599938999999999</v>
      </c>
      <c r="AD28">
        <v>31.914686</v>
      </c>
      <c r="AE28">
        <v>32.152358999999997</v>
      </c>
      <c r="AF28" s="31">
        <v>1.2999999999999999E-2</v>
      </c>
    </row>
    <row r="29" spans="1:32">
      <c r="B29" t="s">
        <v>3905</v>
      </c>
      <c r="C29" t="s">
        <v>4238</v>
      </c>
      <c r="D29" t="s">
        <v>4237</v>
      </c>
      <c r="E29" t="s">
        <v>3902</v>
      </c>
      <c r="F29">
        <v>7.8426929999999997</v>
      </c>
      <c r="G29">
        <v>7.1838170000000003</v>
      </c>
      <c r="H29">
        <v>6.5824410000000002</v>
      </c>
      <c r="I29">
        <v>6.2498959999999997</v>
      </c>
      <c r="J29">
        <v>6.0788469999999997</v>
      </c>
      <c r="K29">
        <v>5.9643360000000003</v>
      </c>
      <c r="L29">
        <v>5.9369310000000004</v>
      </c>
      <c r="M29">
        <v>5.9003909999999999</v>
      </c>
      <c r="N29">
        <v>6.0085759999999997</v>
      </c>
      <c r="O29">
        <v>5.9591760000000003</v>
      </c>
      <c r="P29">
        <v>5.965967</v>
      </c>
      <c r="Q29">
        <v>5.895308</v>
      </c>
      <c r="R29">
        <v>5.858428</v>
      </c>
      <c r="S29">
        <v>5.8156160000000003</v>
      </c>
      <c r="T29">
        <v>5.7443150000000003</v>
      </c>
      <c r="U29">
        <v>5.6856470000000003</v>
      </c>
      <c r="V29">
        <v>5.639602</v>
      </c>
      <c r="W29">
        <v>5.6089250000000002</v>
      </c>
      <c r="X29">
        <v>5.5580559999999997</v>
      </c>
      <c r="Y29">
        <v>5.5063829999999996</v>
      </c>
      <c r="Z29">
        <v>5.4890249999999998</v>
      </c>
      <c r="AA29">
        <v>5.4410639999999999</v>
      </c>
      <c r="AB29">
        <v>5.473471</v>
      </c>
      <c r="AC29">
        <v>5.4449560000000004</v>
      </c>
      <c r="AD29">
        <v>5.4395280000000001</v>
      </c>
      <c r="AE29">
        <v>5.411816</v>
      </c>
      <c r="AF29" s="31">
        <v>-1.4999999999999999E-2</v>
      </c>
    </row>
    <row r="30" spans="1:32">
      <c r="B30" t="s">
        <v>3901</v>
      </c>
      <c r="C30" t="s">
        <v>4236</v>
      </c>
      <c r="D30" t="s">
        <v>4235</v>
      </c>
      <c r="E30" t="s">
        <v>3898</v>
      </c>
      <c r="F30">
        <v>0.85195799999999999</v>
      </c>
      <c r="G30">
        <v>0.85196899999999998</v>
      </c>
      <c r="H30">
        <v>0.85219500000000004</v>
      </c>
      <c r="I30">
        <v>0.85158900000000004</v>
      </c>
      <c r="J30">
        <v>0.85078900000000002</v>
      </c>
      <c r="K30">
        <v>0.85012500000000002</v>
      </c>
      <c r="L30">
        <v>0.84948100000000004</v>
      </c>
      <c r="M30">
        <v>0.84908300000000003</v>
      </c>
      <c r="N30">
        <v>0.84879300000000002</v>
      </c>
      <c r="O30">
        <v>0.848661</v>
      </c>
      <c r="P30">
        <v>0.848638</v>
      </c>
      <c r="Q30">
        <v>0.84874799999999995</v>
      </c>
      <c r="R30">
        <v>0.84923999999999999</v>
      </c>
      <c r="S30">
        <v>0.84960100000000005</v>
      </c>
      <c r="T30">
        <v>0.84966399999999997</v>
      </c>
      <c r="U30">
        <v>0.84978699999999996</v>
      </c>
      <c r="V30">
        <v>0.84963999999999995</v>
      </c>
      <c r="W30">
        <v>0.84935499999999997</v>
      </c>
      <c r="X30">
        <v>0.84899100000000005</v>
      </c>
      <c r="Y30">
        <v>0.84870699999999999</v>
      </c>
      <c r="Z30">
        <v>0.84848400000000002</v>
      </c>
      <c r="AA30">
        <v>0.84817600000000004</v>
      </c>
      <c r="AB30">
        <v>0.84767000000000003</v>
      </c>
      <c r="AC30">
        <v>0.84703700000000004</v>
      </c>
      <c r="AD30">
        <v>0.84631100000000004</v>
      </c>
      <c r="AE30">
        <v>0.84563200000000005</v>
      </c>
      <c r="AF30" s="31">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7116-42EE-41FC-AC25-9F80AD335048}">
  <dimension ref="A1:AE59"/>
  <sheetViews>
    <sheetView workbookViewId="0"/>
  </sheetViews>
  <sheetFormatPr defaultRowHeight="15"/>
  <cols>
    <col min="1" max="1" width="13" customWidth="1"/>
    <col min="2" max="2" width="45.28515625" customWidth="1"/>
  </cols>
  <sheetData>
    <row r="1" spans="1:31">
      <c r="A1" t="s">
        <v>355</v>
      </c>
    </row>
    <row r="2" spans="1:31">
      <c r="A2" t="s">
        <v>4922</v>
      </c>
    </row>
    <row r="3" spans="1:31">
      <c r="A3" t="s">
        <v>4921</v>
      </c>
    </row>
    <row r="4" spans="1:31">
      <c r="A4" t="s">
        <v>302</v>
      </c>
    </row>
    <row r="5" spans="1:31">
      <c r="B5" t="s">
        <v>303</v>
      </c>
      <c r="C5" t="s">
        <v>351</v>
      </c>
      <c r="D5" t="s">
        <v>352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4196</v>
      </c>
    </row>
    <row r="6" spans="1:31">
      <c r="A6" t="s">
        <v>356</v>
      </c>
    </row>
    <row r="7" spans="1:31">
      <c r="A7" t="s">
        <v>357</v>
      </c>
    </row>
    <row r="8" spans="1:31">
      <c r="A8" t="s">
        <v>358</v>
      </c>
      <c r="B8" t="s">
        <v>4920</v>
      </c>
      <c r="C8" t="s">
        <v>4919</v>
      </c>
      <c r="D8" t="s">
        <v>354</v>
      </c>
      <c r="E8">
        <v>364.19415300000003</v>
      </c>
      <c r="F8">
        <v>339.86123700000002</v>
      </c>
      <c r="G8">
        <v>314.23507699999999</v>
      </c>
      <c r="H8">
        <v>294.04708900000003</v>
      </c>
      <c r="I8">
        <v>276.65210000000002</v>
      </c>
      <c r="J8">
        <v>263.09347500000001</v>
      </c>
      <c r="K8">
        <v>248.776779</v>
      </c>
      <c r="L8">
        <v>237.31111100000001</v>
      </c>
      <c r="M8">
        <v>226.01338200000001</v>
      </c>
      <c r="N8">
        <v>220.07270800000001</v>
      </c>
      <c r="O8">
        <v>211.64892599999999</v>
      </c>
      <c r="P8">
        <v>201.010437</v>
      </c>
      <c r="Q8">
        <v>192.626205</v>
      </c>
      <c r="R8">
        <v>186.120834</v>
      </c>
      <c r="S8">
        <v>179.62690699999999</v>
      </c>
      <c r="T8">
        <v>173.52925099999999</v>
      </c>
      <c r="U8">
        <v>168.547653</v>
      </c>
      <c r="V8">
        <v>163.09454299999999</v>
      </c>
      <c r="W8">
        <v>159.64172400000001</v>
      </c>
      <c r="X8">
        <v>154.34599299999999</v>
      </c>
      <c r="Y8">
        <v>150.609802</v>
      </c>
      <c r="Z8">
        <v>146.58410599999999</v>
      </c>
      <c r="AA8">
        <v>142.926773</v>
      </c>
      <c r="AB8">
        <v>137.77735899999999</v>
      </c>
      <c r="AC8">
        <v>133.22676100000001</v>
      </c>
      <c r="AD8">
        <v>129.56419399999999</v>
      </c>
      <c r="AE8" s="31">
        <v>-0.04</v>
      </c>
    </row>
    <row r="9" spans="1:31">
      <c r="A9" t="s">
        <v>359</v>
      </c>
      <c r="B9" t="s">
        <v>4918</v>
      </c>
      <c r="C9" t="s">
        <v>4917</v>
      </c>
      <c r="D9" t="s">
        <v>354</v>
      </c>
      <c r="E9">
        <v>0.79357100000000003</v>
      </c>
      <c r="F9">
        <v>0.70348299999999997</v>
      </c>
      <c r="G9">
        <v>0.60586799999999996</v>
      </c>
      <c r="H9">
        <v>0.54190700000000003</v>
      </c>
      <c r="I9">
        <v>0.48574899999999999</v>
      </c>
      <c r="J9">
        <v>0.433722</v>
      </c>
      <c r="K9">
        <v>0.36006899999999997</v>
      </c>
      <c r="L9">
        <v>0.32455000000000001</v>
      </c>
      <c r="M9">
        <v>0.229465</v>
      </c>
      <c r="N9">
        <v>0.20158200000000001</v>
      </c>
      <c r="O9">
        <v>0.173488</v>
      </c>
      <c r="P9">
        <v>0.14512700000000001</v>
      </c>
      <c r="Q9">
        <v>0.124746</v>
      </c>
      <c r="R9">
        <v>0.10964</v>
      </c>
      <c r="S9">
        <v>9.3177999999999997E-2</v>
      </c>
      <c r="T9">
        <v>9.2226000000000002E-2</v>
      </c>
      <c r="U9">
        <v>7.5431999999999999E-2</v>
      </c>
      <c r="V9">
        <v>7.1926000000000004E-2</v>
      </c>
      <c r="W9">
        <v>6.7352999999999996E-2</v>
      </c>
      <c r="X9">
        <v>6.1398000000000001E-2</v>
      </c>
      <c r="Y9">
        <v>5.5981999999999997E-2</v>
      </c>
      <c r="Z9">
        <v>5.1055000000000003E-2</v>
      </c>
      <c r="AA9">
        <v>4.6572000000000002E-2</v>
      </c>
      <c r="AB9">
        <v>4.2492000000000002E-2</v>
      </c>
      <c r="AC9">
        <v>3.8779000000000001E-2</v>
      </c>
      <c r="AD9">
        <v>3.5399E-2</v>
      </c>
      <c r="AE9" s="31">
        <v>-0.11700000000000001</v>
      </c>
    </row>
    <row r="10" spans="1:31">
      <c r="A10" t="s">
        <v>360</v>
      </c>
      <c r="B10" t="s">
        <v>4916</v>
      </c>
      <c r="C10" t="s">
        <v>4915</v>
      </c>
      <c r="D10" t="s">
        <v>354</v>
      </c>
      <c r="E10">
        <v>364.98773199999999</v>
      </c>
      <c r="F10">
        <v>340.564728</v>
      </c>
      <c r="G10">
        <v>314.84094199999998</v>
      </c>
      <c r="H10">
        <v>294.58898900000003</v>
      </c>
      <c r="I10">
        <v>277.13784800000002</v>
      </c>
      <c r="J10">
        <v>263.52719100000002</v>
      </c>
      <c r="K10">
        <v>249.136841</v>
      </c>
      <c r="L10">
        <v>237.63566599999999</v>
      </c>
      <c r="M10">
        <v>226.24284399999999</v>
      </c>
      <c r="N10">
        <v>220.274292</v>
      </c>
      <c r="O10">
        <v>211.822418</v>
      </c>
      <c r="P10">
        <v>201.155563</v>
      </c>
      <c r="Q10">
        <v>192.750946</v>
      </c>
      <c r="R10">
        <v>186.230469</v>
      </c>
      <c r="S10">
        <v>179.72009299999999</v>
      </c>
      <c r="T10">
        <v>173.621475</v>
      </c>
      <c r="U10">
        <v>168.62307699999999</v>
      </c>
      <c r="V10">
        <v>163.166473</v>
      </c>
      <c r="W10">
        <v>159.70907600000001</v>
      </c>
      <c r="X10">
        <v>154.40739400000001</v>
      </c>
      <c r="Y10">
        <v>150.66578699999999</v>
      </c>
      <c r="Z10">
        <v>146.63516200000001</v>
      </c>
      <c r="AA10">
        <v>142.973343</v>
      </c>
      <c r="AB10">
        <v>137.81985499999999</v>
      </c>
      <c r="AC10">
        <v>133.265533</v>
      </c>
      <c r="AD10">
        <v>129.599594</v>
      </c>
      <c r="AE10" s="31">
        <v>-4.1000000000000002E-2</v>
      </c>
    </row>
    <row r="11" spans="1:31">
      <c r="A11" t="s">
        <v>361</v>
      </c>
    </row>
    <row r="12" spans="1:31">
      <c r="A12" t="s">
        <v>362</v>
      </c>
      <c r="B12" t="s">
        <v>4914</v>
      </c>
      <c r="C12" t="s">
        <v>4913</v>
      </c>
      <c r="D12" t="s">
        <v>354</v>
      </c>
      <c r="E12">
        <v>15.283886000000001</v>
      </c>
      <c r="F12">
        <v>12.041477</v>
      </c>
      <c r="G12">
        <v>10.336169</v>
      </c>
      <c r="H12">
        <v>8.8690259999999999</v>
      </c>
      <c r="I12">
        <v>7.5829269999999998</v>
      </c>
      <c r="J12">
        <v>6.4504210000000004</v>
      </c>
      <c r="K12">
        <v>5.497325</v>
      </c>
      <c r="L12">
        <v>4.6765530000000002</v>
      </c>
      <c r="M12">
        <v>4.0219969999999998</v>
      </c>
      <c r="N12">
        <v>3.547825</v>
      </c>
      <c r="O12">
        <v>3.117693</v>
      </c>
      <c r="P12">
        <v>2.7558690000000001</v>
      </c>
      <c r="Q12">
        <v>2.4433029999999998</v>
      </c>
      <c r="R12">
        <v>2.1687249999999998</v>
      </c>
      <c r="S12">
        <v>1.966286</v>
      </c>
      <c r="T12">
        <v>1.8167679999999999</v>
      </c>
      <c r="U12">
        <v>1.740958</v>
      </c>
      <c r="V12">
        <v>1.7577670000000001</v>
      </c>
      <c r="W12">
        <v>1.722601</v>
      </c>
      <c r="X12">
        <v>1.7206790000000001</v>
      </c>
      <c r="Y12">
        <v>1.6553739999999999</v>
      </c>
      <c r="Z12">
        <v>1.5971519999999999</v>
      </c>
      <c r="AA12">
        <v>2.2617050000000001</v>
      </c>
      <c r="AB12">
        <v>2.199287</v>
      </c>
      <c r="AC12">
        <v>2.1416770000000001</v>
      </c>
      <c r="AD12">
        <v>2.0885440000000002</v>
      </c>
      <c r="AE12" s="31">
        <v>-7.6999999999999999E-2</v>
      </c>
    </row>
    <row r="13" spans="1:31">
      <c r="A13" t="s">
        <v>1402</v>
      </c>
      <c r="B13" t="s">
        <v>4912</v>
      </c>
      <c r="C13" t="s">
        <v>4911</v>
      </c>
      <c r="D13" t="s">
        <v>354</v>
      </c>
      <c r="E13">
        <v>0.20180200000000001</v>
      </c>
      <c r="F13">
        <v>0.20932899999999999</v>
      </c>
      <c r="G13">
        <v>0.21102699999999999</v>
      </c>
      <c r="H13">
        <v>0.206515</v>
      </c>
      <c r="I13">
        <v>0.2036</v>
      </c>
      <c r="J13">
        <v>0.20511199999999999</v>
      </c>
      <c r="K13">
        <v>0.20765500000000001</v>
      </c>
      <c r="L13">
        <v>0.210976</v>
      </c>
      <c r="M13">
        <v>0.217332</v>
      </c>
      <c r="N13">
        <v>0.22567899999999999</v>
      </c>
      <c r="O13">
        <v>0.235402</v>
      </c>
      <c r="P13">
        <v>0.245533</v>
      </c>
      <c r="Q13">
        <v>0.25570700000000002</v>
      </c>
      <c r="R13">
        <v>0.26727600000000001</v>
      </c>
      <c r="S13">
        <v>0.27863100000000002</v>
      </c>
      <c r="T13">
        <v>0.29003299999999999</v>
      </c>
      <c r="U13">
        <v>0.30024699999999999</v>
      </c>
      <c r="V13">
        <v>0.30953599999999998</v>
      </c>
      <c r="W13">
        <v>0.31797599999999998</v>
      </c>
      <c r="X13">
        <v>0.32575100000000001</v>
      </c>
      <c r="Y13">
        <v>0.33324100000000001</v>
      </c>
      <c r="Z13">
        <v>0.33970499999999998</v>
      </c>
      <c r="AA13">
        <v>0.34578599999999998</v>
      </c>
      <c r="AB13">
        <v>0.351794</v>
      </c>
      <c r="AC13">
        <v>0.35664299999999999</v>
      </c>
      <c r="AD13">
        <v>0.36028900000000003</v>
      </c>
      <c r="AE13" s="31">
        <v>2.3E-2</v>
      </c>
    </row>
    <row r="14" spans="1:31">
      <c r="A14" t="s">
        <v>1400</v>
      </c>
      <c r="B14" t="s">
        <v>4910</v>
      </c>
      <c r="C14" t="s">
        <v>4909</v>
      </c>
      <c r="D14" t="s">
        <v>354</v>
      </c>
      <c r="E14">
        <v>0.84714100000000003</v>
      </c>
      <c r="F14">
        <v>1.0155069999999999</v>
      </c>
      <c r="G14">
        <v>1.3733500000000001</v>
      </c>
      <c r="H14">
        <v>1.6224700000000001</v>
      </c>
      <c r="I14">
        <v>1.7903439999999999</v>
      </c>
      <c r="J14">
        <v>1.836662</v>
      </c>
      <c r="K14">
        <v>1.889489</v>
      </c>
      <c r="L14">
        <v>1.9415039999999999</v>
      </c>
      <c r="M14">
        <v>2.0469010000000001</v>
      </c>
      <c r="N14">
        <v>2.1748159999999999</v>
      </c>
      <c r="O14">
        <v>2.32179</v>
      </c>
      <c r="P14">
        <v>2.4500229999999998</v>
      </c>
      <c r="Q14">
        <v>2.577944</v>
      </c>
      <c r="R14">
        <v>2.7029899999999998</v>
      </c>
      <c r="S14">
        <v>2.8223400000000001</v>
      </c>
      <c r="T14">
        <v>2.9245169999999998</v>
      </c>
      <c r="U14">
        <v>3.0210210000000002</v>
      </c>
      <c r="V14">
        <v>3.1130939999999998</v>
      </c>
      <c r="W14">
        <v>3.1977880000000001</v>
      </c>
      <c r="X14">
        <v>3.2746680000000001</v>
      </c>
      <c r="Y14">
        <v>3.3403049999999999</v>
      </c>
      <c r="Z14">
        <v>3.403867</v>
      </c>
      <c r="AA14">
        <v>3.4696989999999999</v>
      </c>
      <c r="AB14">
        <v>3.5280649999999998</v>
      </c>
      <c r="AC14">
        <v>3.579456</v>
      </c>
      <c r="AD14">
        <v>3.6177280000000001</v>
      </c>
      <c r="AE14" s="31">
        <v>0.06</v>
      </c>
    </row>
    <row r="15" spans="1:31">
      <c r="A15" t="s">
        <v>1398</v>
      </c>
      <c r="B15" t="s">
        <v>4908</v>
      </c>
      <c r="C15" t="s">
        <v>4907</v>
      </c>
      <c r="D15" t="s">
        <v>354</v>
      </c>
      <c r="E15">
        <v>4.0936009999999996</v>
      </c>
      <c r="F15">
        <v>4.6815810000000004</v>
      </c>
      <c r="G15">
        <v>5.4647119999999996</v>
      </c>
      <c r="H15">
        <v>6.0518330000000002</v>
      </c>
      <c r="I15">
        <v>6.9229729999999998</v>
      </c>
      <c r="J15">
        <v>7.8359560000000004</v>
      </c>
      <c r="K15">
        <v>8.8273419999999998</v>
      </c>
      <c r="L15">
        <v>9.7688120000000005</v>
      </c>
      <c r="M15">
        <v>10.727289000000001</v>
      </c>
      <c r="N15">
        <v>11.624757000000001</v>
      </c>
      <c r="O15">
        <v>12.528551999999999</v>
      </c>
      <c r="P15">
        <v>13.324510999999999</v>
      </c>
      <c r="Q15">
        <v>14.085936</v>
      </c>
      <c r="R15">
        <v>14.815852</v>
      </c>
      <c r="S15">
        <v>15.503209</v>
      </c>
      <c r="T15">
        <v>16.118615999999999</v>
      </c>
      <c r="U15">
        <v>16.666022999999999</v>
      </c>
      <c r="V15">
        <v>17.161631</v>
      </c>
      <c r="W15">
        <v>17.60397</v>
      </c>
      <c r="X15">
        <v>17.994534999999999</v>
      </c>
      <c r="Y15">
        <v>18.353874000000001</v>
      </c>
      <c r="Z15">
        <v>18.674544999999998</v>
      </c>
      <c r="AA15">
        <v>18.990641</v>
      </c>
      <c r="AB15">
        <v>19.267234999999999</v>
      </c>
      <c r="AC15">
        <v>19.504135000000002</v>
      </c>
      <c r="AD15">
        <v>19.672283</v>
      </c>
      <c r="AE15" s="31">
        <v>6.5000000000000002E-2</v>
      </c>
    </row>
    <row r="16" spans="1:31">
      <c r="A16" t="s">
        <v>1396</v>
      </c>
      <c r="B16" t="s">
        <v>4906</v>
      </c>
      <c r="C16" t="s">
        <v>4905</v>
      </c>
      <c r="D16" t="s">
        <v>354</v>
      </c>
      <c r="E16">
        <v>1.3125230000000001</v>
      </c>
      <c r="F16">
        <v>1.150455</v>
      </c>
      <c r="G16">
        <v>1.0177609999999999</v>
      </c>
      <c r="H16">
        <v>1.0036480000000001</v>
      </c>
      <c r="I16">
        <v>0.98897199999999996</v>
      </c>
      <c r="J16">
        <v>0.97940199999999999</v>
      </c>
      <c r="K16">
        <v>0.947465</v>
      </c>
      <c r="L16">
        <v>0.91623100000000002</v>
      </c>
      <c r="M16">
        <v>0.899281</v>
      </c>
      <c r="N16">
        <v>0.88974200000000003</v>
      </c>
      <c r="O16">
        <v>0.88331199999999999</v>
      </c>
      <c r="P16">
        <v>0.86937500000000001</v>
      </c>
      <c r="Q16">
        <v>0.85492800000000002</v>
      </c>
      <c r="R16">
        <v>0.84004299999999998</v>
      </c>
      <c r="S16">
        <v>0.82554899999999998</v>
      </c>
      <c r="T16">
        <v>0.80738600000000005</v>
      </c>
      <c r="U16">
        <v>0.78869100000000003</v>
      </c>
      <c r="V16">
        <v>0.774339</v>
      </c>
      <c r="W16">
        <v>0.757938</v>
      </c>
      <c r="X16">
        <v>0.74149699999999996</v>
      </c>
      <c r="Y16">
        <v>0.72599599999999997</v>
      </c>
      <c r="Z16">
        <v>0.71118199999999998</v>
      </c>
      <c r="AA16">
        <v>0.70249600000000001</v>
      </c>
      <c r="AB16">
        <v>0.68354599999999999</v>
      </c>
      <c r="AC16">
        <v>0.67285899999999998</v>
      </c>
      <c r="AD16">
        <v>0.65710299999999999</v>
      </c>
      <c r="AE16" s="31">
        <v>-2.7E-2</v>
      </c>
    </row>
    <row r="17" spans="1:31">
      <c r="A17" t="s">
        <v>1393</v>
      </c>
      <c r="B17" t="s">
        <v>4904</v>
      </c>
      <c r="C17" t="s">
        <v>4903</v>
      </c>
      <c r="D17" t="s">
        <v>354</v>
      </c>
      <c r="E17">
        <v>0.479161</v>
      </c>
      <c r="F17">
        <v>0.638957</v>
      </c>
      <c r="G17">
        <v>0.886965</v>
      </c>
      <c r="H17">
        <v>1.066249</v>
      </c>
      <c r="I17">
        <v>1.0254179999999999</v>
      </c>
      <c r="J17">
        <v>0.91555500000000001</v>
      </c>
      <c r="K17">
        <v>0.82933299999999999</v>
      </c>
      <c r="L17">
        <v>0.76524800000000004</v>
      </c>
      <c r="M17">
        <v>0.73258199999999996</v>
      </c>
      <c r="N17">
        <v>0.71687100000000004</v>
      </c>
      <c r="O17">
        <v>0.71291099999999996</v>
      </c>
      <c r="P17">
        <v>0.70842799999999995</v>
      </c>
      <c r="Q17">
        <v>0.70607200000000003</v>
      </c>
      <c r="R17">
        <v>0.70644600000000002</v>
      </c>
      <c r="S17">
        <v>0.70938999999999997</v>
      </c>
      <c r="T17">
        <v>0.71233800000000003</v>
      </c>
      <c r="U17">
        <v>0.71331100000000003</v>
      </c>
      <c r="V17">
        <v>0.71318199999999998</v>
      </c>
      <c r="W17">
        <v>0.71209599999999995</v>
      </c>
      <c r="X17">
        <v>0.71056399999999997</v>
      </c>
      <c r="Y17">
        <v>0.70985799999999999</v>
      </c>
      <c r="Z17">
        <v>0.70766700000000005</v>
      </c>
      <c r="AA17">
        <v>0.70689999999999997</v>
      </c>
      <c r="AB17">
        <v>0.70579899999999995</v>
      </c>
      <c r="AC17">
        <v>0.70553500000000002</v>
      </c>
      <c r="AD17">
        <v>0.70328299999999999</v>
      </c>
      <c r="AE17" s="31">
        <v>1.4999999999999999E-2</v>
      </c>
    </row>
    <row r="18" spans="1:31">
      <c r="A18" t="s">
        <v>364</v>
      </c>
      <c r="B18" t="s">
        <v>4902</v>
      </c>
      <c r="C18" t="s">
        <v>4901</v>
      </c>
      <c r="D18" t="s">
        <v>354</v>
      </c>
      <c r="E18">
        <v>11.771685</v>
      </c>
      <c r="F18">
        <v>13.192207</v>
      </c>
      <c r="G18">
        <v>14.259005</v>
      </c>
      <c r="H18">
        <v>14.794222</v>
      </c>
      <c r="I18">
        <v>15.179325</v>
      </c>
      <c r="J18">
        <v>15.656218000000001</v>
      </c>
      <c r="K18">
        <v>16.245965999999999</v>
      </c>
      <c r="L18">
        <v>16.790687999999999</v>
      </c>
      <c r="M18">
        <v>17.408515999999999</v>
      </c>
      <c r="N18">
        <v>17.953082999999999</v>
      </c>
      <c r="O18">
        <v>18.495569</v>
      </c>
      <c r="P18">
        <v>18.896152000000001</v>
      </c>
      <c r="Q18">
        <v>19.274345</v>
      </c>
      <c r="R18">
        <v>19.632045999999999</v>
      </c>
      <c r="S18">
        <v>19.953135</v>
      </c>
      <c r="T18">
        <v>20.231071</v>
      </c>
      <c r="U18">
        <v>20.469916999999999</v>
      </c>
      <c r="V18">
        <v>20.659949999999998</v>
      </c>
      <c r="W18">
        <v>20.824348000000001</v>
      </c>
      <c r="X18">
        <v>20.960238</v>
      </c>
      <c r="Y18">
        <v>21.079535</v>
      </c>
      <c r="Z18">
        <v>21.182445999999999</v>
      </c>
      <c r="AA18">
        <v>21.326502000000001</v>
      </c>
      <c r="AB18">
        <v>21.441272999999999</v>
      </c>
      <c r="AC18">
        <v>21.545363999999999</v>
      </c>
      <c r="AD18">
        <v>21.591166000000001</v>
      </c>
      <c r="AE18" s="31">
        <v>2.5000000000000001E-2</v>
      </c>
    </row>
    <row r="19" spans="1:31">
      <c r="A19" t="s">
        <v>365</v>
      </c>
      <c r="B19" t="s">
        <v>4900</v>
      </c>
      <c r="C19" t="s">
        <v>4899</v>
      </c>
      <c r="D19" t="s">
        <v>354</v>
      </c>
      <c r="E19">
        <v>0.557195</v>
      </c>
      <c r="F19">
        <v>0.50223099999999998</v>
      </c>
      <c r="G19">
        <v>0.44773800000000002</v>
      </c>
      <c r="H19">
        <v>0.40218300000000001</v>
      </c>
      <c r="I19">
        <v>0.33950900000000001</v>
      </c>
      <c r="J19">
        <v>0.29961100000000002</v>
      </c>
      <c r="K19">
        <v>0.26202999999999999</v>
      </c>
      <c r="L19">
        <v>0.229022</v>
      </c>
      <c r="M19">
        <v>0.201594</v>
      </c>
      <c r="N19">
        <v>0.17352899999999999</v>
      </c>
      <c r="O19">
        <v>0.15495900000000001</v>
      </c>
      <c r="P19">
        <v>0.133801</v>
      </c>
      <c r="Q19">
        <v>0.12080200000000001</v>
      </c>
      <c r="R19">
        <v>0.112828</v>
      </c>
      <c r="S19">
        <v>0.103752</v>
      </c>
      <c r="T19">
        <v>9.7463999999999995E-2</v>
      </c>
      <c r="U19">
        <v>9.1558E-2</v>
      </c>
      <c r="V19">
        <v>8.6010000000000003E-2</v>
      </c>
      <c r="W19">
        <v>8.0797999999999995E-2</v>
      </c>
      <c r="X19">
        <v>7.5901999999999997E-2</v>
      </c>
      <c r="Y19">
        <v>7.1303000000000005E-2</v>
      </c>
      <c r="Z19">
        <v>6.6983000000000001E-2</v>
      </c>
      <c r="AA19">
        <v>6.2923999999999994E-2</v>
      </c>
      <c r="AB19">
        <v>5.9110999999999997E-2</v>
      </c>
      <c r="AC19">
        <v>5.5530000000000003E-2</v>
      </c>
      <c r="AD19">
        <v>5.2165000000000003E-2</v>
      </c>
      <c r="AE19" s="31">
        <v>-0.09</v>
      </c>
    </row>
    <row r="20" spans="1:31">
      <c r="A20" t="s">
        <v>366</v>
      </c>
      <c r="B20" t="s">
        <v>4898</v>
      </c>
      <c r="C20" t="s">
        <v>4897</v>
      </c>
      <c r="D20" t="s">
        <v>354</v>
      </c>
      <c r="E20">
        <v>1.4409E-2</v>
      </c>
      <c r="F20">
        <v>1.3492000000000001E-2</v>
      </c>
      <c r="G20">
        <v>1.2652E-2</v>
      </c>
      <c r="H20">
        <v>1.1868E-2</v>
      </c>
      <c r="I20">
        <v>1.1146E-2</v>
      </c>
      <c r="J20">
        <v>1.0468999999999999E-2</v>
      </c>
      <c r="K20">
        <v>9.8370000000000003E-3</v>
      </c>
      <c r="L20">
        <v>9.2499999999999995E-3</v>
      </c>
      <c r="M20">
        <v>8.6890000000000005E-3</v>
      </c>
      <c r="N20">
        <v>8.1639999999999994E-3</v>
      </c>
      <c r="O20">
        <v>7.672E-3</v>
      </c>
      <c r="P20">
        <v>7.208E-3</v>
      </c>
      <c r="Q20">
        <v>6.7799999999999996E-3</v>
      </c>
      <c r="R20">
        <v>6.3699999999999998E-3</v>
      </c>
      <c r="S20">
        <v>5.9839999999999997E-3</v>
      </c>
      <c r="T20">
        <v>5.6220000000000003E-3</v>
      </c>
      <c r="U20">
        <v>5.2830000000000004E-3</v>
      </c>
      <c r="V20">
        <v>4.9649999999999998E-3</v>
      </c>
      <c r="W20">
        <v>4.6639999999999997E-3</v>
      </c>
      <c r="X20">
        <v>4.385E-3</v>
      </c>
      <c r="Y20">
        <v>4.1209999999999997E-3</v>
      </c>
      <c r="Z20">
        <v>3.872E-3</v>
      </c>
      <c r="AA20">
        <v>3.6380000000000002E-3</v>
      </c>
      <c r="AB20">
        <v>3.418E-3</v>
      </c>
      <c r="AC20">
        <v>3.212E-3</v>
      </c>
      <c r="AD20">
        <v>3.0179999999999998E-3</v>
      </c>
      <c r="AE20" s="31">
        <v>-6.0999999999999999E-2</v>
      </c>
    </row>
    <row r="21" spans="1:31">
      <c r="A21" t="s">
        <v>367</v>
      </c>
      <c r="B21" t="s">
        <v>4896</v>
      </c>
      <c r="C21" t="s">
        <v>4895</v>
      </c>
      <c r="D21" t="s">
        <v>354</v>
      </c>
      <c r="E21">
        <v>9.0722999999999998E-2</v>
      </c>
      <c r="F21">
        <v>8.1726999999999994E-2</v>
      </c>
      <c r="G21">
        <v>7.5753000000000001E-2</v>
      </c>
      <c r="H21">
        <v>7.1155999999999997E-2</v>
      </c>
      <c r="I21">
        <v>6.6837999999999995E-2</v>
      </c>
      <c r="J21">
        <v>6.2782000000000004E-2</v>
      </c>
      <c r="K21">
        <v>5.8971999999999997E-2</v>
      </c>
      <c r="L21">
        <v>5.5392999999999998E-2</v>
      </c>
      <c r="M21">
        <v>5.2032000000000002E-2</v>
      </c>
      <c r="N21">
        <v>4.8874000000000001E-2</v>
      </c>
      <c r="O21">
        <v>4.5908999999999998E-2</v>
      </c>
      <c r="P21">
        <v>4.3124000000000003E-2</v>
      </c>
      <c r="Q21">
        <v>4.0509000000000003E-2</v>
      </c>
      <c r="R21">
        <v>3.8052000000000002E-2</v>
      </c>
      <c r="S21">
        <v>3.5744999999999999E-2</v>
      </c>
      <c r="T21">
        <v>3.3577999999999997E-2</v>
      </c>
      <c r="U21">
        <v>3.1542000000000001E-2</v>
      </c>
      <c r="V21">
        <v>2.963E-2</v>
      </c>
      <c r="W21">
        <v>2.7834000000000001E-2</v>
      </c>
      <c r="X21">
        <v>2.6145999999999999E-2</v>
      </c>
      <c r="Y21">
        <v>2.4562E-2</v>
      </c>
      <c r="Z21">
        <v>2.3073E-2</v>
      </c>
      <c r="AA21">
        <v>2.1673999999999999E-2</v>
      </c>
      <c r="AB21">
        <v>2.036E-2</v>
      </c>
      <c r="AC21">
        <v>1.9126000000000001E-2</v>
      </c>
      <c r="AD21">
        <v>1.7967E-2</v>
      </c>
      <c r="AE21" s="31">
        <v>-6.3E-2</v>
      </c>
    </row>
    <row r="22" spans="1:31">
      <c r="A22" t="s">
        <v>368</v>
      </c>
      <c r="B22" t="s">
        <v>4894</v>
      </c>
      <c r="C22" t="s">
        <v>4893</v>
      </c>
      <c r="D22" t="s">
        <v>354</v>
      </c>
      <c r="E22">
        <v>0.17419100000000001</v>
      </c>
      <c r="F22">
        <v>0.15456</v>
      </c>
      <c r="G22">
        <v>0.141566</v>
      </c>
      <c r="H22">
        <v>0.13206999999999999</v>
      </c>
      <c r="I22">
        <v>0.12400799999999999</v>
      </c>
      <c r="J22">
        <v>0.116442</v>
      </c>
      <c r="K22">
        <v>0.109344</v>
      </c>
      <c r="L22">
        <v>0.102696</v>
      </c>
      <c r="M22">
        <v>9.6481999999999998E-2</v>
      </c>
      <c r="N22">
        <v>9.0620999999999993E-2</v>
      </c>
      <c r="O22">
        <v>8.5125999999999993E-2</v>
      </c>
      <c r="P22">
        <v>7.9955999999999999E-2</v>
      </c>
      <c r="Q22">
        <v>7.5104000000000004E-2</v>
      </c>
      <c r="R22">
        <v>7.0544999999999997E-2</v>
      </c>
      <c r="S22">
        <v>6.6261E-2</v>
      </c>
      <c r="T22">
        <v>6.2239999999999997E-2</v>
      </c>
      <c r="U22">
        <v>5.8466999999999998E-2</v>
      </c>
      <c r="V22">
        <v>5.4927999999999998E-2</v>
      </c>
      <c r="W22">
        <v>5.1601000000000001E-2</v>
      </c>
      <c r="X22">
        <v>4.8476999999999999E-2</v>
      </c>
      <c r="Y22">
        <v>4.5540999999999998E-2</v>
      </c>
      <c r="Z22">
        <v>4.2777999999999997E-2</v>
      </c>
      <c r="AA22">
        <v>4.0189000000000002E-2</v>
      </c>
      <c r="AB22">
        <v>3.7752000000000001E-2</v>
      </c>
      <c r="AC22">
        <v>3.5465999999999998E-2</v>
      </c>
      <c r="AD22">
        <v>3.3316999999999999E-2</v>
      </c>
      <c r="AE22" s="31">
        <v>-6.4000000000000001E-2</v>
      </c>
    </row>
    <row r="23" spans="1:31">
      <c r="A23" t="s">
        <v>370</v>
      </c>
      <c r="B23" t="s">
        <v>4892</v>
      </c>
      <c r="C23" t="s">
        <v>4891</v>
      </c>
      <c r="D23" t="s">
        <v>354</v>
      </c>
      <c r="E23">
        <v>2.3255999999999999E-2</v>
      </c>
      <c r="F23">
        <v>2.1246000000000001E-2</v>
      </c>
      <c r="G23">
        <v>1.9595999999999999E-2</v>
      </c>
      <c r="H23">
        <v>1.8114000000000002E-2</v>
      </c>
      <c r="I23">
        <v>1.6687E-2</v>
      </c>
      <c r="J23">
        <v>1.529E-2</v>
      </c>
      <c r="K23">
        <v>1.3863E-2</v>
      </c>
      <c r="L23">
        <v>1.2396000000000001E-2</v>
      </c>
      <c r="M23">
        <v>1.0943E-2</v>
      </c>
      <c r="N23">
        <v>9.5060000000000006E-3</v>
      </c>
      <c r="O23">
        <v>8.1499999999999993E-3</v>
      </c>
      <c r="P23">
        <v>6.8849999999999996E-3</v>
      </c>
      <c r="Q23">
        <v>5.7520000000000002E-3</v>
      </c>
      <c r="R23">
        <v>4.7590000000000002E-3</v>
      </c>
      <c r="S23">
        <v>3.9199999999999999E-3</v>
      </c>
      <c r="T23">
        <v>3.2330000000000002E-3</v>
      </c>
      <c r="U23">
        <v>2.7049999999999999E-3</v>
      </c>
      <c r="V23">
        <v>2.313E-3</v>
      </c>
      <c r="W23">
        <v>2.0249999999999999E-3</v>
      </c>
      <c r="X23">
        <v>1.8220000000000001E-3</v>
      </c>
      <c r="Y23">
        <v>1.6050000000000001E-3</v>
      </c>
      <c r="Z23">
        <v>1.477E-3</v>
      </c>
      <c r="AA23">
        <v>1.4109999999999999E-3</v>
      </c>
      <c r="AB23">
        <v>1.2819999999999999E-3</v>
      </c>
      <c r="AC23">
        <v>1.209E-3</v>
      </c>
      <c r="AD23">
        <v>1.1479999999999999E-3</v>
      </c>
      <c r="AE23" s="31">
        <v>-0.113</v>
      </c>
    </row>
    <row r="24" spans="1:31">
      <c r="A24" t="s">
        <v>371</v>
      </c>
      <c r="B24" t="s">
        <v>4890</v>
      </c>
      <c r="C24" t="s">
        <v>4889</v>
      </c>
      <c r="D24" t="s">
        <v>354</v>
      </c>
      <c r="E24">
        <v>34.849570999999997</v>
      </c>
      <c r="F24">
        <v>33.702770000000001</v>
      </c>
      <c r="G24">
        <v>34.246296000000001</v>
      </c>
      <c r="H24">
        <v>34.249352000000002</v>
      </c>
      <c r="I24">
        <v>34.251747000000002</v>
      </c>
      <c r="J24">
        <v>34.383923000000003</v>
      </c>
      <c r="K24">
        <v>34.898620999999999</v>
      </c>
      <c r="L24">
        <v>35.478771000000002</v>
      </c>
      <c r="M24">
        <v>36.423641000000003</v>
      </c>
      <c r="N24">
        <v>37.463462999999997</v>
      </c>
      <c r="O24">
        <v>38.597042000000002</v>
      </c>
      <c r="P24">
        <v>39.520865999999998</v>
      </c>
      <c r="Q24">
        <v>40.447181999999998</v>
      </c>
      <c r="R24">
        <v>41.365932000000001</v>
      </c>
      <c r="S24">
        <v>42.274203999999997</v>
      </c>
      <c r="T24">
        <v>43.102867000000003</v>
      </c>
      <c r="U24">
        <v>43.889721000000002</v>
      </c>
      <c r="V24">
        <v>44.667343000000002</v>
      </c>
      <c r="W24">
        <v>45.303637999999999</v>
      </c>
      <c r="X24">
        <v>45.884666000000003</v>
      </c>
      <c r="Y24">
        <v>46.345317999999999</v>
      </c>
      <c r="Z24">
        <v>46.754745</v>
      </c>
      <c r="AA24">
        <v>47.933562999999999</v>
      </c>
      <c r="AB24">
        <v>48.298923000000002</v>
      </c>
      <c r="AC24">
        <v>48.620215999999999</v>
      </c>
      <c r="AD24">
        <v>48.798012</v>
      </c>
      <c r="AE24" s="31">
        <v>1.4E-2</v>
      </c>
    </row>
    <row r="25" spans="1:31">
      <c r="A25" t="s">
        <v>372</v>
      </c>
      <c r="B25" t="s">
        <v>4888</v>
      </c>
      <c r="C25" t="s">
        <v>4887</v>
      </c>
      <c r="D25" t="s">
        <v>354</v>
      </c>
      <c r="E25">
        <v>399.837311</v>
      </c>
      <c r="F25">
        <v>374.26748700000002</v>
      </c>
      <c r="G25">
        <v>349.08724999999998</v>
      </c>
      <c r="H25">
        <v>328.838348</v>
      </c>
      <c r="I25">
        <v>311.38958700000001</v>
      </c>
      <c r="J25">
        <v>297.91110200000003</v>
      </c>
      <c r="K25">
        <v>284.035461</v>
      </c>
      <c r="L25">
        <v>273.114441</v>
      </c>
      <c r="M25">
        <v>262.666473</v>
      </c>
      <c r="N25">
        <v>257.73776199999998</v>
      </c>
      <c r="O25">
        <v>250.419464</v>
      </c>
      <c r="P25">
        <v>240.676422</v>
      </c>
      <c r="Q25">
        <v>233.19811999999999</v>
      </c>
      <c r="R25">
        <v>227.596405</v>
      </c>
      <c r="S25">
        <v>221.994293</v>
      </c>
      <c r="T25">
        <v>216.724335</v>
      </c>
      <c r="U25">
        <v>212.51280199999999</v>
      </c>
      <c r="V25">
        <v>207.83381700000001</v>
      </c>
      <c r="W25">
        <v>205.012711</v>
      </c>
      <c r="X25">
        <v>200.29205300000001</v>
      </c>
      <c r="Y25">
        <v>197.01110800000001</v>
      </c>
      <c r="Z25">
        <v>193.38990799999999</v>
      </c>
      <c r="AA25">
        <v>190.90690599999999</v>
      </c>
      <c r="AB25">
        <v>186.118774</v>
      </c>
      <c r="AC25">
        <v>181.88574199999999</v>
      </c>
      <c r="AD25">
        <v>178.397614</v>
      </c>
      <c r="AE25" s="31">
        <v>-3.2000000000000001E-2</v>
      </c>
    </row>
    <row r="26" spans="1:31">
      <c r="A26" t="s">
        <v>335</v>
      </c>
    </row>
    <row r="27" spans="1:31">
      <c r="A27" t="s">
        <v>373</v>
      </c>
    </row>
    <row r="28" spans="1:31">
      <c r="A28" t="s">
        <v>358</v>
      </c>
      <c r="B28" t="s">
        <v>4886</v>
      </c>
      <c r="C28" t="s">
        <v>4885</v>
      </c>
      <c r="D28" t="s">
        <v>354</v>
      </c>
      <c r="E28">
        <v>992.38476600000001</v>
      </c>
      <c r="F28">
        <v>980.65118399999994</v>
      </c>
      <c r="G28">
        <v>966.05505400000004</v>
      </c>
      <c r="H28">
        <v>951.62829599999998</v>
      </c>
      <c r="I28">
        <v>945.06634499999996</v>
      </c>
      <c r="J28">
        <v>943.46093800000006</v>
      </c>
      <c r="K28">
        <v>947.07476799999995</v>
      </c>
      <c r="L28">
        <v>951.16101100000003</v>
      </c>
      <c r="M28">
        <v>952.70953399999996</v>
      </c>
      <c r="N28">
        <v>951.33654799999999</v>
      </c>
      <c r="O28">
        <v>949.19281000000001</v>
      </c>
      <c r="P28">
        <v>941.49945100000002</v>
      </c>
      <c r="Q28">
        <v>930.24401899999998</v>
      </c>
      <c r="R28">
        <v>919.21130400000004</v>
      </c>
      <c r="S28">
        <v>907.15026899999998</v>
      </c>
      <c r="T28">
        <v>895.52233899999999</v>
      </c>
      <c r="U28">
        <v>883.65808100000004</v>
      </c>
      <c r="V28">
        <v>870.01879899999994</v>
      </c>
      <c r="W28">
        <v>860.68408199999999</v>
      </c>
      <c r="X28">
        <v>847.22699</v>
      </c>
      <c r="Y28">
        <v>837.06182899999999</v>
      </c>
      <c r="Z28">
        <v>824.83154300000001</v>
      </c>
      <c r="AA28">
        <v>812.787598</v>
      </c>
      <c r="AB28">
        <v>799.48315400000001</v>
      </c>
      <c r="AC28">
        <v>785.90069600000004</v>
      </c>
      <c r="AD28">
        <v>772.47204599999998</v>
      </c>
      <c r="AE28" s="31">
        <v>-0.01</v>
      </c>
    </row>
    <row r="29" spans="1:31">
      <c r="A29" t="s">
        <v>359</v>
      </c>
      <c r="B29" t="s">
        <v>4884</v>
      </c>
      <c r="C29" t="s">
        <v>4883</v>
      </c>
      <c r="D29" t="s">
        <v>354</v>
      </c>
      <c r="E29">
        <v>9.6921160000000004</v>
      </c>
      <c r="F29">
        <v>10.830125000000001</v>
      </c>
      <c r="G29">
        <v>11.707248999999999</v>
      </c>
      <c r="H29">
        <v>12.3918</v>
      </c>
      <c r="I29">
        <v>12.985913999999999</v>
      </c>
      <c r="J29">
        <v>13.649815</v>
      </c>
      <c r="K29">
        <v>14.315697</v>
      </c>
      <c r="L29">
        <v>14.781343</v>
      </c>
      <c r="M29">
        <v>15.216294</v>
      </c>
      <c r="N29">
        <v>15.610752</v>
      </c>
      <c r="O29">
        <v>15.904405000000001</v>
      </c>
      <c r="P29">
        <v>16.117515999999998</v>
      </c>
      <c r="Q29">
        <v>16.268145000000001</v>
      </c>
      <c r="R29">
        <v>16.398809</v>
      </c>
      <c r="S29">
        <v>16.502013999999999</v>
      </c>
      <c r="T29">
        <v>16.562452</v>
      </c>
      <c r="U29">
        <v>16.593958000000001</v>
      </c>
      <c r="V29">
        <v>16.599543000000001</v>
      </c>
      <c r="W29">
        <v>16.58165</v>
      </c>
      <c r="X29">
        <v>16.547692999999999</v>
      </c>
      <c r="Y29">
        <v>16.491219999999998</v>
      </c>
      <c r="Z29">
        <v>16.431972999999999</v>
      </c>
      <c r="AA29">
        <v>16.357862000000001</v>
      </c>
      <c r="AB29">
        <v>16.254767999999999</v>
      </c>
      <c r="AC29">
        <v>16.148716</v>
      </c>
      <c r="AD29">
        <v>16.029382999999999</v>
      </c>
      <c r="AE29" s="31">
        <v>0.02</v>
      </c>
    </row>
    <row r="30" spans="1:31">
      <c r="A30" t="s">
        <v>374</v>
      </c>
      <c r="B30" t="s">
        <v>4882</v>
      </c>
      <c r="C30" t="s">
        <v>4881</v>
      </c>
      <c r="D30" t="s">
        <v>354</v>
      </c>
      <c r="E30">
        <v>1002.076904</v>
      </c>
      <c r="F30">
        <v>991.48132299999997</v>
      </c>
      <c r="G30">
        <v>977.76232900000002</v>
      </c>
      <c r="H30">
        <v>964.020081</v>
      </c>
      <c r="I30">
        <v>958.05224599999997</v>
      </c>
      <c r="J30">
        <v>957.11077899999998</v>
      </c>
      <c r="K30">
        <v>961.39044200000001</v>
      </c>
      <c r="L30">
        <v>965.94238299999995</v>
      </c>
      <c r="M30">
        <v>967.92584199999999</v>
      </c>
      <c r="N30">
        <v>966.94732699999997</v>
      </c>
      <c r="O30">
        <v>965.09722899999997</v>
      </c>
      <c r="P30">
        <v>957.61694299999999</v>
      </c>
      <c r="Q30">
        <v>946.51214600000003</v>
      </c>
      <c r="R30">
        <v>935.61010699999997</v>
      </c>
      <c r="S30">
        <v>923.65228300000001</v>
      </c>
      <c r="T30">
        <v>912.08477800000003</v>
      </c>
      <c r="U30">
        <v>900.25201400000003</v>
      </c>
      <c r="V30">
        <v>886.61834699999997</v>
      </c>
      <c r="W30">
        <v>877.26574700000003</v>
      </c>
      <c r="X30">
        <v>863.77465800000004</v>
      </c>
      <c r="Y30">
        <v>853.55304000000001</v>
      </c>
      <c r="Z30">
        <v>841.26348900000005</v>
      </c>
      <c r="AA30">
        <v>829.14544699999999</v>
      </c>
      <c r="AB30">
        <v>815.73791500000004</v>
      </c>
      <c r="AC30">
        <v>802.04943800000001</v>
      </c>
      <c r="AD30">
        <v>788.50140399999998</v>
      </c>
      <c r="AE30" s="31">
        <v>-0.01</v>
      </c>
    </row>
    <row r="31" spans="1:31">
      <c r="A31" t="s">
        <v>375</v>
      </c>
    </row>
    <row r="32" spans="1:31">
      <c r="A32" t="s">
        <v>362</v>
      </c>
      <c r="B32" t="s">
        <v>4880</v>
      </c>
      <c r="C32" t="s">
        <v>4879</v>
      </c>
      <c r="D32" t="s">
        <v>354</v>
      </c>
      <c r="E32">
        <v>116.058296</v>
      </c>
      <c r="F32">
        <v>99.068886000000006</v>
      </c>
      <c r="G32">
        <v>87.416320999999996</v>
      </c>
      <c r="H32">
        <v>77.116378999999995</v>
      </c>
      <c r="I32">
        <v>67.705330000000004</v>
      </c>
      <c r="J32">
        <v>59.246777000000002</v>
      </c>
      <c r="K32">
        <v>51.496727</v>
      </c>
      <c r="L32">
        <v>44.774718999999997</v>
      </c>
      <c r="M32">
        <v>38.131335999999997</v>
      </c>
      <c r="N32">
        <v>33.680531000000002</v>
      </c>
      <c r="O32">
        <v>29.492857000000001</v>
      </c>
      <c r="P32">
        <v>25.733979999999999</v>
      </c>
      <c r="Q32">
        <v>22.725743999999999</v>
      </c>
      <c r="R32">
        <v>19.795999999999999</v>
      </c>
      <c r="S32">
        <v>17.440109</v>
      </c>
      <c r="T32">
        <v>15.861821000000001</v>
      </c>
      <c r="U32">
        <v>14.549215</v>
      </c>
      <c r="V32">
        <v>13.280761999999999</v>
      </c>
      <c r="W32">
        <v>12.270536</v>
      </c>
      <c r="X32">
        <v>11.881163000000001</v>
      </c>
      <c r="Y32">
        <v>10.759788</v>
      </c>
      <c r="Z32">
        <v>10.211261</v>
      </c>
      <c r="AA32">
        <v>9.8227510000000002</v>
      </c>
      <c r="AB32">
        <v>9.8014130000000002</v>
      </c>
      <c r="AC32">
        <v>9.6008650000000006</v>
      </c>
      <c r="AD32">
        <v>9.2397550000000006</v>
      </c>
      <c r="AE32" s="31">
        <v>-9.6000000000000002E-2</v>
      </c>
    </row>
    <row r="33" spans="1:31">
      <c r="A33" t="s">
        <v>1402</v>
      </c>
      <c r="B33" t="s">
        <v>4878</v>
      </c>
      <c r="C33" t="s">
        <v>4877</v>
      </c>
      <c r="D33" t="s">
        <v>354</v>
      </c>
      <c r="E33">
        <v>2.5631999999999999E-2</v>
      </c>
      <c r="F33">
        <v>3.3099000000000003E-2</v>
      </c>
      <c r="G33">
        <v>3.9093999999999997E-2</v>
      </c>
      <c r="H33">
        <v>4.4304000000000003E-2</v>
      </c>
      <c r="I33">
        <v>5.0039E-2</v>
      </c>
      <c r="J33">
        <v>5.7119999999999997E-2</v>
      </c>
      <c r="K33">
        <v>6.4932000000000004E-2</v>
      </c>
      <c r="L33">
        <v>7.3521000000000003E-2</v>
      </c>
      <c r="M33">
        <v>8.2743999999999998E-2</v>
      </c>
      <c r="N33">
        <v>9.2174000000000006E-2</v>
      </c>
      <c r="O33">
        <v>0.102038</v>
      </c>
      <c r="P33">
        <v>0.111817</v>
      </c>
      <c r="Q33">
        <v>0.121686</v>
      </c>
      <c r="R33">
        <v>0.13164100000000001</v>
      </c>
      <c r="S33">
        <v>0.14168</v>
      </c>
      <c r="T33">
        <v>0.151724</v>
      </c>
      <c r="U33">
        <v>0.16136200000000001</v>
      </c>
      <c r="V33">
        <v>0.170657</v>
      </c>
      <c r="W33">
        <v>0.17965</v>
      </c>
      <c r="X33">
        <v>0.188358</v>
      </c>
      <c r="Y33">
        <v>0.19700999999999999</v>
      </c>
      <c r="Z33">
        <v>0.20508599999999999</v>
      </c>
      <c r="AA33">
        <v>0.212837</v>
      </c>
      <c r="AB33">
        <v>0.22007199999999999</v>
      </c>
      <c r="AC33">
        <v>0.226822</v>
      </c>
      <c r="AD33">
        <v>0.23285400000000001</v>
      </c>
      <c r="AE33" s="31">
        <v>9.1999999999999998E-2</v>
      </c>
    </row>
    <row r="34" spans="1:31">
      <c r="A34" t="s">
        <v>1400</v>
      </c>
      <c r="B34" t="s">
        <v>4876</v>
      </c>
      <c r="C34" t="s">
        <v>4875</v>
      </c>
      <c r="D34" t="s">
        <v>354</v>
      </c>
      <c r="E34">
        <v>0.80125100000000005</v>
      </c>
      <c r="F34">
        <v>2.0441530000000001</v>
      </c>
      <c r="G34">
        <v>3.9229590000000001</v>
      </c>
      <c r="H34">
        <v>5.9390999999999998</v>
      </c>
      <c r="I34">
        <v>7.7847289999999996</v>
      </c>
      <c r="J34">
        <v>9.0387419999999992</v>
      </c>
      <c r="K34">
        <v>9.8449530000000003</v>
      </c>
      <c r="L34">
        <v>10.241126</v>
      </c>
      <c r="M34">
        <v>10.816141</v>
      </c>
      <c r="N34">
        <v>11.549787999999999</v>
      </c>
      <c r="O34">
        <v>12.415865999999999</v>
      </c>
      <c r="P34">
        <v>13.278205</v>
      </c>
      <c r="Q34">
        <v>14.173598999999999</v>
      </c>
      <c r="R34">
        <v>15.100268</v>
      </c>
      <c r="S34">
        <v>16.028372000000001</v>
      </c>
      <c r="T34">
        <v>16.966301000000001</v>
      </c>
      <c r="U34">
        <v>17.882277999999999</v>
      </c>
      <c r="V34">
        <v>18.776275999999999</v>
      </c>
      <c r="W34">
        <v>19.647836999999999</v>
      </c>
      <c r="X34">
        <v>20.497261000000002</v>
      </c>
      <c r="Y34">
        <v>21.338899999999999</v>
      </c>
      <c r="Z34">
        <v>22.136576000000002</v>
      </c>
      <c r="AA34">
        <v>22.919193</v>
      </c>
      <c r="AB34">
        <v>23.657662999999999</v>
      </c>
      <c r="AC34">
        <v>24.369211</v>
      </c>
      <c r="AD34">
        <v>25.014306999999999</v>
      </c>
      <c r="AE34" s="31">
        <v>0.14799999999999999</v>
      </c>
    </row>
    <row r="35" spans="1:31">
      <c r="A35" t="s">
        <v>1398</v>
      </c>
      <c r="B35" t="s">
        <v>4874</v>
      </c>
      <c r="C35" t="s">
        <v>4873</v>
      </c>
      <c r="D35" t="s">
        <v>354</v>
      </c>
      <c r="E35">
        <v>3.2246739999999998</v>
      </c>
      <c r="F35">
        <v>5.4464439999999996</v>
      </c>
      <c r="G35">
        <v>8.1386260000000004</v>
      </c>
      <c r="H35">
        <v>11.081182</v>
      </c>
      <c r="I35">
        <v>13.569070999999999</v>
      </c>
      <c r="J35">
        <v>15.734654000000001</v>
      </c>
      <c r="K35">
        <v>17.156863999999999</v>
      </c>
      <c r="L35">
        <v>18.506675999999999</v>
      </c>
      <c r="M35">
        <v>20.122931999999999</v>
      </c>
      <c r="N35">
        <v>21.955296000000001</v>
      </c>
      <c r="O35">
        <v>23.948063000000001</v>
      </c>
      <c r="P35">
        <v>25.886917</v>
      </c>
      <c r="Q35">
        <v>27.847507</v>
      </c>
      <c r="R35">
        <v>29.828631999999999</v>
      </c>
      <c r="S35">
        <v>31.799444000000001</v>
      </c>
      <c r="T35">
        <v>33.749938999999998</v>
      </c>
      <c r="U35">
        <v>35.609893999999997</v>
      </c>
      <c r="V35">
        <v>37.388458</v>
      </c>
      <c r="W35">
        <v>39.091225000000001</v>
      </c>
      <c r="X35">
        <v>40.724826999999998</v>
      </c>
      <c r="Y35">
        <v>42.324883</v>
      </c>
      <c r="Z35">
        <v>43.815643000000001</v>
      </c>
      <c r="AA35">
        <v>45.251801</v>
      </c>
      <c r="AB35">
        <v>46.586982999999996</v>
      </c>
      <c r="AC35">
        <v>47.838512000000001</v>
      </c>
      <c r="AD35">
        <v>48.948810999999999</v>
      </c>
      <c r="AE35" s="31">
        <v>0.115</v>
      </c>
    </row>
    <row r="36" spans="1:31">
      <c r="A36" t="s">
        <v>1396</v>
      </c>
      <c r="B36" t="s">
        <v>4872</v>
      </c>
      <c r="C36" t="s">
        <v>4871</v>
      </c>
      <c r="D36" t="s">
        <v>354</v>
      </c>
      <c r="E36">
        <v>7.0265560000000002</v>
      </c>
      <c r="F36">
        <v>6.3580180000000004</v>
      </c>
      <c r="G36">
        <v>6.1133230000000003</v>
      </c>
      <c r="H36">
        <v>6.558999</v>
      </c>
      <c r="I36">
        <v>7.0332819999999998</v>
      </c>
      <c r="J36">
        <v>7.5578919999999998</v>
      </c>
      <c r="K36">
        <v>8.1500780000000006</v>
      </c>
      <c r="L36">
        <v>8.7554859999999994</v>
      </c>
      <c r="M36">
        <v>9.4053079999999998</v>
      </c>
      <c r="N36">
        <v>10.089022999999999</v>
      </c>
      <c r="O36">
        <v>10.819333</v>
      </c>
      <c r="P36">
        <v>11.465754</v>
      </c>
      <c r="Q36">
        <v>12.076231999999999</v>
      </c>
      <c r="R36">
        <v>12.664999999999999</v>
      </c>
      <c r="S36">
        <v>13.234165000000001</v>
      </c>
      <c r="T36">
        <v>13.742429</v>
      </c>
      <c r="U36">
        <v>14.186486</v>
      </c>
      <c r="V36">
        <v>14.582724000000001</v>
      </c>
      <c r="W36">
        <v>14.951872</v>
      </c>
      <c r="X36">
        <v>15.279242999999999</v>
      </c>
      <c r="Y36">
        <v>15.571376000000001</v>
      </c>
      <c r="Z36">
        <v>15.822120999999999</v>
      </c>
      <c r="AA36">
        <v>16.049232</v>
      </c>
      <c r="AB36">
        <v>16.236764999999998</v>
      </c>
      <c r="AC36">
        <v>16.394469999999998</v>
      </c>
      <c r="AD36">
        <v>16.494865000000001</v>
      </c>
      <c r="AE36" s="31">
        <v>3.5000000000000003E-2</v>
      </c>
    </row>
    <row r="37" spans="1:31">
      <c r="A37" t="s">
        <v>1393</v>
      </c>
      <c r="B37" t="s">
        <v>4870</v>
      </c>
      <c r="C37" t="s">
        <v>4869</v>
      </c>
      <c r="D37" t="s">
        <v>354</v>
      </c>
      <c r="E37">
        <v>0.85749900000000001</v>
      </c>
      <c r="F37">
        <v>3.1439539999999999</v>
      </c>
      <c r="G37">
        <v>6.4696059999999997</v>
      </c>
      <c r="H37">
        <v>10.24269</v>
      </c>
      <c r="I37">
        <v>10.588727</v>
      </c>
      <c r="J37">
        <v>10.112455000000001</v>
      </c>
      <c r="K37">
        <v>9.1700579999999992</v>
      </c>
      <c r="L37">
        <v>8.1245250000000002</v>
      </c>
      <c r="M37">
        <v>7.4255050000000002</v>
      </c>
      <c r="N37">
        <v>7.0131030000000001</v>
      </c>
      <c r="O37">
        <v>6.7348610000000004</v>
      </c>
      <c r="P37">
        <v>6.4755140000000004</v>
      </c>
      <c r="Q37">
        <v>6.2418839999999998</v>
      </c>
      <c r="R37">
        <v>6.0363420000000003</v>
      </c>
      <c r="S37">
        <v>5.8589120000000001</v>
      </c>
      <c r="T37">
        <v>5.6985659999999996</v>
      </c>
      <c r="U37">
        <v>5.5343210000000003</v>
      </c>
      <c r="V37">
        <v>5.3634230000000001</v>
      </c>
      <c r="W37">
        <v>5.1891220000000002</v>
      </c>
      <c r="X37">
        <v>5.0142509999999998</v>
      </c>
      <c r="Y37">
        <v>4.8511480000000002</v>
      </c>
      <c r="Z37">
        <v>4.6923750000000002</v>
      </c>
      <c r="AA37">
        <v>4.5500809999999996</v>
      </c>
      <c r="AB37">
        <v>4.4227819999999998</v>
      </c>
      <c r="AC37">
        <v>4.3136010000000002</v>
      </c>
      <c r="AD37">
        <v>4.2216170000000002</v>
      </c>
      <c r="AE37" s="31">
        <v>6.6000000000000003E-2</v>
      </c>
    </row>
    <row r="38" spans="1:31">
      <c r="A38" t="s">
        <v>364</v>
      </c>
      <c r="B38" t="s">
        <v>4868</v>
      </c>
      <c r="C38" t="s">
        <v>4867</v>
      </c>
      <c r="D38" t="s">
        <v>354</v>
      </c>
      <c r="E38">
        <v>36.217762</v>
      </c>
      <c r="F38">
        <v>53.245449000000001</v>
      </c>
      <c r="G38">
        <v>68.580665999999994</v>
      </c>
      <c r="H38">
        <v>83.286949000000007</v>
      </c>
      <c r="I38">
        <v>97.122878999999998</v>
      </c>
      <c r="J38">
        <v>110.44957700000001</v>
      </c>
      <c r="K38">
        <v>122.69136</v>
      </c>
      <c r="L38">
        <v>133.69426000000001</v>
      </c>
      <c r="M38">
        <v>143.78933699999999</v>
      </c>
      <c r="N38">
        <v>153.01417499999999</v>
      </c>
      <c r="O38">
        <v>161.44068899999999</v>
      </c>
      <c r="P38">
        <v>168.70204200000001</v>
      </c>
      <c r="Q38">
        <v>175.36134300000001</v>
      </c>
      <c r="R38">
        <v>181.484238</v>
      </c>
      <c r="S38">
        <v>187.781128</v>
      </c>
      <c r="T38">
        <v>193.412521</v>
      </c>
      <c r="U38">
        <v>198.24873400000001</v>
      </c>
      <c r="V38">
        <v>202.312408</v>
      </c>
      <c r="W38">
        <v>205.89103700000001</v>
      </c>
      <c r="X38">
        <v>209.13481100000001</v>
      </c>
      <c r="Y38">
        <v>212.116028</v>
      </c>
      <c r="Z38">
        <v>214.82531700000001</v>
      </c>
      <c r="AA38">
        <v>217.292404</v>
      </c>
      <c r="AB38">
        <v>219.412567</v>
      </c>
      <c r="AC38">
        <v>221.348343</v>
      </c>
      <c r="AD38">
        <v>222.83637999999999</v>
      </c>
      <c r="AE38" s="31">
        <v>7.4999999999999997E-2</v>
      </c>
    </row>
    <row r="39" spans="1:31">
      <c r="A39" t="s">
        <v>365</v>
      </c>
      <c r="B39" t="s">
        <v>4866</v>
      </c>
      <c r="C39" t="s">
        <v>4865</v>
      </c>
      <c r="D39" t="s">
        <v>354</v>
      </c>
      <c r="E39">
        <v>0.31072300000000003</v>
      </c>
      <c r="F39">
        <v>0.28125099999999997</v>
      </c>
      <c r="G39">
        <v>0.25334499999999999</v>
      </c>
      <c r="H39">
        <v>0.23973800000000001</v>
      </c>
      <c r="I39">
        <v>0.26134299999999999</v>
      </c>
      <c r="J39">
        <v>0.24481700000000001</v>
      </c>
      <c r="K39">
        <v>0.228987</v>
      </c>
      <c r="L39">
        <v>0.213896</v>
      </c>
      <c r="M39">
        <v>0.19967399999999999</v>
      </c>
      <c r="N39">
        <v>0.18634300000000001</v>
      </c>
      <c r="O39">
        <v>0.102702</v>
      </c>
      <c r="P39">
        <v>9.5297000000000007E-2</v>
      </c>
      <c r="Q39">
        <v>8.9349999999999999E-2</v>
      </c>
      <c r="R39">
        <v>7.8773999999999997E-2</v>
      </c>
      <c r="S39">
        <v>7.4088000000000001E-2</v>
      </c>
      <c r="T39">
        <v>6.9681000000000007E-2</v>
      </c>
      <c r="U39">
        <v>6.5536999999999998E-2</v>
      </c>
      <c r="V39">
        <v>6.164E-2</v>
      </c>
      <c r="W39">
        <v>5.7974999999999999E-2</v>
      </c>
      <c r="X39">
        <v>5.4528E-2</v>
      </c>
      <c r="Y39">
        <v>5.1285999999999998E-2</v>
      </c>
      <c r="Z39">
        <v>4.8237000000000002E-2</v>
      </c>
      <c r="AA39">
        <v>4.5369E-2</v>
      </c>
      <c r="AB39">
        <v>4.2672000000000002E-2</v>
      </c>
      <c r="AC39">
        <v>4.0134999999999997E-2</v>
      </c>
      <c r="AD39">
        <v>3.7748999999999998E-2</v>
      </c>
      <c r="AE39" s="31">
        <v>-8.1000000000000003E-2</v>
      </c>
    </row>
    <row r="40" spans="1:31">
      <c r="A40" t="s">
        <v>366</v>
      </c>
      <c r="B40" t="s">
        <v>4864</v>
      </c>
      <c r="C40" t="s">
        <v>4863</v>
      </c>
      <c r="D40" t="s">
        <v>354</v>
      </c>
      <c r="E40">
        <v>0.19020200000000001</v>
      </c>
      <c r="F40">
        <v>0.17829400000000001</v>
      </c>
      <c r="G40">
        <v>0.16738900000000001</v>
      </c>
      <c r="H40">
        <v>0.15717999999999999</v>
      </c>
      <c r="I40">
        <v>0.14779300000000001</v>
      </c>
      <c r="J40">
        <v>0.13896600000000001</v>
      </c>
      <c r="K40">
        <v>0.13072400000000001</v>
      </c>
      <c r="L40">
        <v>0.12306599999999999</v>
      </c>
      <c r="M40">
        <v>0.115728</v>
      </c>
      <c r="N40">
        <v>0.10885599999999999</v>
      </c>
      <c r="O40">
        <v>0.10241</v>
      </c>
      <c r="P40">
        <v>9.6329999999999999E-2</v>
      </c>
      <c r="Q40">
        <v>9.0709999999999999E-2</v>
      </c>
      <c r="R40">
        <v>8.5323999999999997E-2</v>
      </c>
      <c r="S40">
        <v>8.0246999999999999E-2</v>
      </c>
      <c r="T40">
        <v>7.5476000000000001E-2</v>
      </c>
      <c r="U40">
        <v>7.1008000000000002E-2</v>
      </c>
      <c r="V40">
        <v>6.6798999999999997E-2</v>
      </c>
      <c r="W40">
        <v>6.2831999999999999E-2</v>
      </c>
      <c r="X40">
        <v>5.9130000000000002E-2</v>
      </c>
      <c r="Y40">
        <v>5.5640000000000002E-2</v>
      </c>
      <c r="Z40">
        <v>5.2330000000000002E-2</v>
      </c>
      <c r="AA40">
        <v>4.9223999999999997E-2</v>
      </c>
      <c r="AB40">
        <v>4.6299E-2</v>
      </c>
      <c r="AC40">
        <v>4.3567000000000002E-2</v>
      </c>
      <c r="AD40">
        <v>4.0977E-2</v>
      </c>
      <c r="AE40" s="31">
        <v>-0.06</v>
      </c>
    </row>
    <row r="41" spans="1:31">
      <c r="A41" t="s">
        <v>367</v>
      </c>
      <c r="B41" t="s">
        <v>4862</v>
      </c>
      <c r="C41" t="s">
        <v>4861</v>
      </c>
      <c r="D41" t="s">
        <v>354</v>
      </c>
      <c r="E41">
        <v>0.49126900000000001</v>
      </c>
      <c r="F41">
        <v>0.45320899999999997</v>
      </c>
      <c r="G41">
        <v>0.41815799999999997</v>
      </c>
      <c r="H41">
        <v>0.39324100000000001</v>
      </c>
      <c r="I41">
        <v>0.36981000000000003</v>
      </c>
      <c r="J41">
        <v>0.34777599999999997</v>
      </c>
      <c r="K41">
        <v>0.32705600000000001</v>
      </c>
      <c r="L41">
        <v>0.30757000000000001</v>
      </c>
      <c r="M41">
        <v>0.289246</v>
      </c>
      <c r="N41">
        <v>0.27201500000000001</v>
      </c>
      <c r="O41">
        <v>0.25580999999999998</v>
      </c>
      <c r="P41">
        <v>0.24057999999999999</v>
      </c>
      <c r="Q41">
        <v>0.22625700000000001</v>
      </c>
      <c r="R41">
        <v>0.21278900000000001</v>
      </c>
      <c r="S41">
        <v>0.200123</v>
      </c>
      <c r="T41">
        <v>0.18821199999999999</v>
      </c>
      <c r="U41">
        <v>0.177012</v>
      </c>
      <c r="V41">
        <v>0.16647899999999999</v>
      </c>
      <c r="W41">
        <v>0.15657299999999999</v>
      </c>
      <c r="X41">
        <v>0.147258</v>
      </c>
      <c r="Y41">
        <v>0.13849600000000001</v>
      </c>
      <c r="Z41">
        <v>0.13025700000000001</v>
      </c>
      <c r="AA41">
        <v>0.12250800000000001</v>
      </c>
      <c r="AB41">
        <v>0.115219</v>
      </c>
      <c r="AC41">
        <v>0.108365</v>
      </c>
      <c r="AD41">
        <v>0.10191799999999999</v>
      </c>
      <c r="AE41" s="31">
        <v>-6.0999999999999999E-2</v>
      </c>
    </row>
    <row r="42" spans="1:31">
      <c r="A42" t="s">
        <v>368</v>
      </c>
      <c r="B42" t="s">
        <v>4860</v>
      </c>
      <c r="C42" t="s">
        <v>4859</v>
      </c>
      <c r="D42" t="s">
        <v>354</v>
      </c>
      <c r="E42">
        <v>0.44331900000000002</v>
      </c>
      <c r="F42">
        <v>0.416875</v>
      </c>
      <c r="G42">
        <v>0.39160299999999998</v>
      </c>
      <c r="H42">
        <v>0.36797200000000002</v>
      </c>
      <c r="I42">
        <v>0.34591100000000002</v>
      </c>
      <c r="J42">
        <v>0.325187</v>
      </c>
      <c r="K42">
        <v>0.30571799999999999</v>
      </c>
      <c r="L42">
        <v>0.28746899999999997</v>
      </c>
      <c r="M42">
        <v>0.27039099999999999</v>
      </c>
      <c r="N42">
        <v>0.25426100000000001</v>
      </c>
      <c r="O42">
        <v>0.239123</v>
      </c>
      <c r="P42">
        <v>0.22486500000000001</v>
      </c>
      <c r="Q42">
        <v>0.21146799999999999</v>
      </c>
      <c r="R42">
        <v>0.19886400000000001</v>
      </c>
      <c r="S42">
        <v>0.18700800000000001</v>
      </c>
      <c r="T42">
        <v>0.175867</v>
      </c>
      <c r="U42">
        <v>0.16540199999999999</v>
      </c>
      <c r="V42">
        <v>0.15557399999999999</v>
      </c>
      <c r="W42">
        <v>0.14632200000000001</v>
      </c>
      <c r="X42">
        <v>0.137629</v>
      </c>
      <c r="Y42">
        <v>0.12944600000000001</v>
      </c>
      <c r="Z42">
        <v>0.121736</v>
      </c>
      <c r="AA42">
        <v>0.11450399999999999</v>
      </c>
      <c r="AB42">
        <v>0.10768999999999999</v>
      </c>
      <c r="AC42">
        <v>0.10129000000000001</v>
      </c>
      <c r="AD42">
        <v>9.5265000000000002E-2</v>
      </c>
      <c r="AE42" s="31">
        <v>-0.06</v>
      </c>
    </row>
    <row r="43" spans="1:31">
      <c r="A43" t="s">
        <v>370</v>
      </c>
      <c r="B43" t="s">
        <v>4858</v>
      </c>
      <c r="C43" t="s">
        <v>4857</v>
      </c>
      <c r="D43" t="s">
        <v>354</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117</v>
      </c>
    </row>
    <row r="44" spans="1:31">
      <c r="A44" t="s">
        <v>376</v>
      </c>
      <c r="B44" t="s">
        <v>4856</v>
      </c>
      <c r="C44" t="s">
        <v>4855</v>
      </c>
      <c r="D44" t="s">
        <v>354</v>
      </c>
      <c r="E44">
        <v>165.647186</v>
      </c>
      <c r="F44">
        <v>170.66963200000001</v>
      </c>
      <c r="G44">
        <v>181.91107199999999</v>
      </c>
      <c r="H44">
        <v>195.42770400000001</v>
      </c>
      <c r="I44">
        <v>204.978928</v>
      </c>
      <c r="J44">
        <v>213.25393700000001</v>
      </c>
      <c r="K44">
        <v>219.567474</v>
      </c>
      <c r="L44">
        <v>225.10232500000001</v>
      </c>
      <c r="M44">
        <v>230.648346</v>
      </c>
      <c r="N44">
        <v>238.21556100000001</v>
      </c>
      <c r="O44">
        <v>245.653763</v>
      </c>
      <c r="P44">
        <v>252.311295</v>
      </c>
      <c r="Q44">
        <v>259.16580199999999</v>
      </c>
      <c r="R44">
        <v>265.61788899999999</v>
      </c>
      <c r="S44">
        <v>272.82525600000002</v>
      </c>
      <c r="T44">
        <v>280.09252900000001</v>
      </c>
      <c r="U44">
        <v>286.65124500000002</v>
      </c>
      <c r="V44">
        <v>292.32519500000001</v>
      </c>
      <c r="W44">
        <v>297.64501999999999</v>
      </c>
      <c r="X44">
        <v>303.118469</v>
      </c>
      <c r="Y44">
        <v>307.53402699999998</v>
      </c>
      <c r="Z44">
        <v>312.06094400000001</v>
      </c>
      <c r="AA44">
        <v>316.42990099999997</v>
      </c>
      <c r="AB44">
        <v>320.65011600000003</v>
      </c>
      <c r="AC44">
        <v>324.38516199999998</v>
      </c>
      <c r="AD44">
        <v>327.26455700000002</v>
      </c>
      <c r="AE44" s="31">
        <v>2.8000000000000001E-2</v>
      </c>
    </row>
    <row r="45" spans="1:31">
      <c r="A45" t="s">
        <v>377</v>
      </c>
      <c r="B45" t="s">
        <v>4854</v>
      </c>
      <c r="C45" t="s">
        <v>4853</v>
      </c>
      <c r="D45" t="s">
        <v>354</v>
      </c>
      <c r="E45">
        <v>1167.724121</v>
      </c>
      <c r="F45">
        <v>1162.151001</v>
      </c>
      <c r="G45">
        <v>1159.6733400000001</v>
      </c>
      <c r="H45">
        <v>1159.447754</v>
      </c>
      <c r="I45">
        <v>1163.0311280000001</v>
      </c>
      <c r="J45">
        <v>1170.364746</v>
      </c>
      <c r="K45">
        <v>1180.9578859999999</v>
      </c>
      <c r="L45">
        <v>1191.044678</v>
      </c>
      <c r="M45">
        <v>1198.5742190000001</v>
      </c>
      <c r="N45">
        <v>1205.162842</v>
      </c>
      <c r="O45">
        <v>1210.7509769999999</v>
      </c>
      <c r="P45">
        <v>1209.9282229999999</v>
      </c>
      <c r="Q45">
        <v>1205.6779790000001</v>
      </c>
      <c r="R45">
        <v>1201.2280270000001</v>
      </c>
      <c r="S45">
        <v>1196.477539</v>
      </c>
      <c r="T45">
        <v>1192.177246</v>
      </c>
      <c r="U45">
        <v>1186.9033199999999</v>
      </c>
      <c r="V45">
        <v>1178.9436040000001</v>
      </c>
      <c r="W45">
        <v>1174.9107670000001</v>
      </c>
      <c r="X45">
        <v>1166.8930660000001</v>
      </c>
      <c r="Y45">
        <v>1161.0870359999999</v>
      </c>
      <c r="Z45">
        <v>1153.3244629999999</v>
      </c>
      <c r="AA45">
        <v>1145.575317</v>
      </c>
      <c r="AB45">
        <v>1136.388062</v>
      </c>
      <c r="AC45">
        <v>1126.4345699999999</v>
      </c>
      <c r="AD45">
        <v>1115.765991</v>
      </c>
      <c r="AE45" s="31">
        <v>-2E-3</v>
      </c>
    </row>
    <row r="46" spans="1:31">
      <c r="A46" t="s">
        <v>300</v>
      </c>
      <c r="B46" t="s">
        <v>4852</v>
      </c>
      <c r="C46" t="s">
        <v>4851</v>
      </c>
      <c r="D46" t="s">
        <v>354</v>
      </c>
      <c r="E46">
        <v>1567.5614009999999</v>
      </c>
      <c r="F46">
        <v>1536.418457</v>
      </c>
      <c r="G46">
        <v>1508.76062</v>
      </c>
      <c r="H46">
        <v>1488.2861330000001</v>
      </c>
      <c r="I46">
        <v>1474.420654</v>
      </c>
      <c r="J46">
        <v>1468.275879</v>
      </c>
      <c r="K46">
        <v>1464.993408</v>
      </c>
      <c r="L46">
        <v>1464.1591800000001</v>
      </c>
      <c r="M46">
        <v>1461.2407229999999</v>
      </c>
      <c r="N46">
        <v>1462.900635</v>
      </c>
      <c r="O46">
        <v>1461.1704099999999</v>
      </c>
      <c r="P46">
        <v>1450.6046140000001</v>
      </c>
      <c r="Q46">
        <v>1438.8760990000001</v>
      </c>
      <c r="R46">
        <v>1428.8244629999999</v>
      </c>
      <c r="S46">
        <v>1418.471802</v>
      </c>
      <c r="T46">
        <v>1408.901611</v>
      </c>
      <c r="U46">
        <v>1399.416138</v>
      </c>
      <c r="V46">
        <v>1386.777466</v>
      </c>
      <c r="W46">
        <v>1379.923462</v>
      </c>
      <c r="X46">
        <v>1367.1850589999999</v>
      </c>
      <c r="Y46">
        <v>1358.0981449999999</v>
      </c>
      <c r="Z46">
        <v>1346.7143550000001</v>
      </c>
      <c r="AA46">
        <v>1336.482178</v>
      </c>
      <c r="AB46">
        <v>1322.506836</v>
      </c>
      <c r="AC46">
        <v>1308.3203120000001</v>
      </c>
      <c r="AD46">
        <v>1294.1635739999999</v>
      </c>
      <c r="AE46" s="31">
        <v>-8.0000000000000002E-3</v>
      </c>
    </row>
    <row r="47" spans="1:31" s="29" customFormat="1">
      <c r="A47" s="29" t="s">
        <v>313</v>
      </c>
      <c r="B47" s="192" t="s">
        <v>4850</v>
      </c>
      <c r="C47" s="29" t="s">
        <v>4849</v>
      </c>
      <c r="D47" s="29" t="s">
        <v>354</v>
      </c>
      <c r="E47" s="29">
        <v>430.31478900000002</v>
      </c>
      <c r="F47" s="29">
        <v>431.99420199999997</v>
      </c>
      <c r="G47" s="29">
        <v>439.75924700000002</v>
      </c>
      <c r="H47" s="29">
        <v>444.37383999999997</v>
      </c>
      <c r="I47" s="29">
        <v>450.47885100000002</v>
      </c>
      <c r="J47" s="29">
        <v>459.62789900000001</v>
      </c>
      <c r="K47" s="29">
        <v>469.021545</v>
      </c>
      <c r="L47" s="29">
        <v>477.55084199999999</v>
      </c>
      <c r="M47" s="29">
        <v>482.39944500000001</v>
      </c>
      <c r="N47" s="29">
        <v>484.59655800000002</v>
      </c>
      <c r="O47" s="29">
        <v>484.55404700000003</v>
      </c>
      <c r="P47" s="29">
        <v>482.26388500000002</v>
      </c>
      <c r="Q47" s="29">
        <v>476.899292</v>
      </c>
      <c r="R47" s="29">
        <v>470.00622600000003</v>
      </c>
      <c r="S47" s="29">
        <v>461.42474399999998</v>
      </c>
      <c r="T47" s="29">
        <v>450.49127199999998</v>
      </c>
      <c r="U47" s="29">
        <v>436.71731599999998</v>
      </c>
      <c r="V47" s="29">
        <v>421.35363799999999</v>
      </c>
      <c r="W47" s="29">
        <v>403.00817899999998</v>
      </c>
      <c r="X47" s="29">
        <v>384.60253899999998</v>
      </c>
      <c r="Y47" s="29">
        <v>366.05471799999998</v>
      </c>
      <c r="Z47" s="29">
        <v>348.33401500000002</v>
      </c>
      <c r="AA47" s="29">
        <v>330.67190599999998</v>
      </c>
      <c r="AB47" s="29">
        <v>312.79342700000001</v>
      </c>
      <c r="AC47" s="29">
        <v>295.65902699999998</v>
      </c>
      <c r="AD47" s="29">
        <v>278.78872699999999</v>
      </c>
      <c r="AE47" s="193">
        <v>-1.7000000000000001E-2</v>
      </c>
    </row>
    <row r="48" spans="1:31" s="171" customFormat="1">
      <c r="A48" s="171" t="s">
        <v>327</v>
      </c>
      <c r="B48" s="209" t="s">
        <v>4848</v>
      </c>
      <c r="C48" s="171" t="s">
        <v>4847</v>
      </c>
      <c r="D48" s="171" t="s">
        <v>354</v>
      </c>
      <c r="E48" s="171">
        <v>311.76980600000002</v>
      </c>
      <c r="F48" s="171">
        <v>302.84677099999999</v>
      </c>
      <c r="G48" s="171">
        <v>295.282532</v>
      </c>
      <c r="H48" s="171">
        <v>284.12289399999997</v>
      </c>
      <c r="I48" s="171">
        <v>273.33200099999999</v>
      </c>
      <c r="J48" s="171">
        <v>263.18548600000003</v>
      </c>
      <c r="K48" s="171">
        <v>252.71478300000001</v>
      </c>
      <c r="L48" s="171">
        <v>242.80041499999999</v>
      </c>
      <c r="M48" s="171">
        <v>232.41868600000001</v>
      </c>
      <c r="N48" s="171">
        <v>221.81929</v>
      </c>
      <c r="O48" s="171">
        <v>211.04371599999999</v>
      </c>
      <c r="P48" s="171">
        <v>200.631653</v>
      </c>
      <c r="Q48" s="171">
        <v>190.54954499999999</v>
      </c>
      <c r="R48" s="171">
        <v>180.765244</v>
      </c>
      <c r="S48" s="171">
        <v>171.317307</v>
      </c>
      <c r="T48" s="171">
        <v>162.18695099999999</v>
      </c>
      <c r="U48" s="171">
        <v>151.780991</v>
      </c>
      <c r="V48" s="171">
        <v>141.89901699999999</v>
      </c>
      <c r="W48" s="171">
        <v>132.659637</v>
      </c>
      <c r="X48" s="171">
        <v>123.550522</v>
      </c>
      <c r="Y48" s="171">
        <v>115.300591</v>
      </c>
      <c r="Z48" s="171">
        <v>107.494034</v>
      </c>
      <c r="AA48" s="171">
        <v>100.738998</v>
      </c>
      <c r="AB48" s="171">
        <v>93.896202000000002</v>
      </c>
      <c r="AC48" s="171">
        <v>87.316695999999993</v>
      </c>
      <c r="AD48" s="171">
        <v>81.053711000000007</v>
      </c>
      <c r="AE48" s="207">
        <v>-5.1999999999999998E-2</v>
      </c>
    </row>
    <row r="49" spans="1:31">
      <c r="A49" t="s">
        <v>308</v>
      </c>
      <c r="B49" s="1" t="s">
        <v>4846</v>
      </c>
      <c r="C49" t="s">
        <v>4845</v>
      </c>
      <c r="D49" t="s">
        <v>354</v>
      </c>
      <c r="E49">
        <v>1.3860000000000001E-3</v>
      </c>
      <c r="F49">
        <v>1.7340000000000001E-3</v>
      </c>
      <c r="G49">
        <v>2.1779999999999998E-3</v>
      </c>
      <c r="H49">
        <v>2.6220000000000002E-3</v>
      </c>
      <c r="I49">
        <v>3.101E-3</v>
      </c>
      <c r="J49">
        <v>3.607E-3</v>
      </c>
      <c r="K49">
        <v>4.1289999999999999E-3</v>
      </c>
      <c r="L49">
        <v>4.6480000000000002E-3</v>
      </c>
      <c r="M49">
        <v>5.1500000000000001E-3</v>
      </c>
      <c r="N49">
        <v>5.6239999999999997E-3</v>
      </c>
      <c r="O49">
        <v>6.0879999999999997E-3</v>
      </c>
      <c r="P49">
        <v>6.5370000000000003E-3</v>
      </c>
      <c r="Q49">
        <v>6.9680000000000002E-3</v>
      </c>
      <c r="R49">
        <v>7.3660000000000002E-3</v>
      </c>
      <c r="S49">
        <v>7.7510000000000001E-3</v>
      </c>
      <c r="T49">
        <v>8.1089999999999999E-3</v>
      </c>
      <c r="U49">
        <v>8.4220000000000007E-3</v>
      </c>
      <c r="V49">
        <v>8.7030000000000007E-3</v>
      </c>
      <c r="W49">
        <v>8.9320000000000007E-3</v>
      </c>
      <c r="X49">
        <v>9.1260000000000004E-3</v>
      </c>
      <c r="Y49">
        <v>9.2980000000000007E-3</v>
      </c>
      <c r="Z49">
        <v>9.4610000000000007E-3</v>
      </c>
      <c r="AA49">
        <v>9.6139999999999993E-3</v>
      </c>
      <c r="AB49">
        <v>9.7540000000000005E-3</v>
      </c>
      <c r="AC49">
        <v>9.9019999999999993E-3</v>
      </c>
      <c r="AD49">
        <v>1.0042000000000001E-2</v>
      </c>
      <c r="AE49" s="31">
        <v>8.2000000000000003E-2</v>
      </c>
    </row>
    <row r="50" spans="1:31">
      <c r="A50" t="s">
        <v>307</v>
      </c>
      <c r="B50" s="1" t="s">
        <v>4844</v>
      </c>
      <c r="C50" t="s">
        <v>4843</v>
      </c>
      <c r="D50" t="s">
        <v>354</v>
      </c>
      <c r="E50">
        <v>1.178113</v>
      </c>
      <c r="F50">
        <v>1.5472809999999999</v>
      </c>
      <c r="G50">
        <v>1.8097110000000001</v>
      </c>
      <c r="H50">
        <v>2.0191170000000001</v>
      </c>
      <c r="I50">
        <v>2.1613449999999998</v>
      </c>
      <c r="J50">
        <v>2.3156859999999999</v>
      </c>
      <c r="K50">
        <v>2.5067620000000002</v>
      </c>
      <c r="L50">
        <v>2.7361439999999999</v>
      </c>
      <c r="M50">
        <v>2.9940310000000001</v>
      </c>
      <c r="N50">
        <v>3.2815240000000001</v>
      </c>
      <c r="O50">
        <v>3.645858</v>
      </c>
      <c r="P50">
        <v>4.0616950000000003</v>
      </c>
      <c r="Q50">
        <v>4.5389270000000002</v>
      </c>
      <c r="R50">
        <v>5.1159730000000003</v>
      </c>
      <c r="S50">
        <v>5.8672800000000001</v>
      </c>
      <c r="T50">
        <v>6.7891320000000004</v>
      </c>
      <c r="U50">
        <v>7.8431540000000002</v>
      </c>
      <c r="V50">
        <v>8.9811739999999993</v>
      </c>
      <c r="W50">
        <v>10.202794000000001</v>
      </c>
      <c r="X50">
        <v>11.561724</v>
      </c>
      <c r="Y50">
        <v>13.043818999999999</v>
      </c>
      <c r="Z50">
        <v>14.607543</v>
      </c>
      <c r="AA50">
        <v>16.231421000000001</v>
      </c>
      <c r="AB50">
        <v>17.897175000000001</v>
      </c>
      <c r="AC50">
        <v>19.676445000000001</v>
      </c>
      <c r="AD50">
        <v>21.462858000000001</v>
      </c>
      <c r="AE50" s="31">
        <v>0.123</v>
      </c>
    </row>
    <row r="51" spans="1:31" s="29" customFormat="1">
      <c r="A51" s="29" t="s">
        <v>378</v>
      </c>
      <c r="B51" s="192" t="s">
        <v>4842</v>
      </c>
      <c r="C51" s="29" t="s">
        <v>4841</v>
      </c>
      <c r="D51" s="29" t="s">
        <v>354</v>
      </c>
      <c r="E51" s="29">
        <v>124.0504</v>
      </c>
      <c r="F51" s="29">
        <v>127.98329200000001</v>
      </c>
      <c r="G51" s="29">
        <v>132.42047099999999</v>
      </c>
      <c r="H51" s="29">
        <v>134.62095600000001</v>
      </c>
      <c r="I51" s="29">
        <v>136.97676100000001</v>
      </c>
      <c r="J51" s="29">
        <v>139.56570400000001</v>
      </c>
      <c r="K51" s="29">
        <v>141.753311</v>
      </c>
      <c r="L51" s="29">
        <v>144.12571700000001</v>
      </c>
      <c r="M51" s="29">
        <v>145.09046900000001</v>
      </c>
      <c r="N51" s="29">
        <v>146.57414199999999</v>
      </c>
      <c r="O51" s="29">
        <v>148.00708</v>
      </c>
      <c r="P51" s="29">
        <v>149.696335</v>
      </c>
      <c r="Q51" s="29">
        <v>152.00503499999999</v>
      </c>
      <c r="R51" s="29">
        <v>154.75353999999999</v>
      </c>
      <c r="S51" s="29">
        <v>157.64820900000001</v>
      </c>
      <c r="T51" s="29">
        <v>160.55050700000001</v>
      </c>
      <c r="U51" s="29">
        <v>162.88964799999999</v>
      </c>
      <c r="V51" s="29">
        <v>165.34399400000001</v>
      </c>
      <c r="W51" s="29">
        <v>166.41990699999999</v>
      </c>
      <c r="X51" s="29">
        <v>167.12643399999999</v>
      </c>
      <c r="Y51" s="29">
        <v>167.63995399999999</v>
      </c>
      <c r="Z51" s="29">
        <v>167.598083</v>
      </c>
      <c r="AA51" s="29">
        <v>167.77328499999999</v>
      </c>
      <c r="AB51" s="29">
        <v>167.51556400000001</v>
      </c>
      <c r="AC51" s="29">
        <v>167.39416499999999</v>
      </c>
      <c r="AD51" s="29">
        <v>166.99020400000001</v>
      </c>
      <c r="AE51" s="193">
        <v>1.2E-2</v>
      </c>
    </row>
    <row r="52" spans="1:31">
      <c r="A52" t="s">
        <v>379</v>
      </c>
      <c r="B52" s="1" t="s">
        <v>4840</v>
      </c>
      <c r="C52" t="s">
        <v>4839</v>
      </c>
      <c r="D52" t="s">
        <v>354</v>
      </c>
      <c r="E52">
        <v>4.2475040000000002</v>
      </c>
      <c r="F52">
        <v>6.0982200000000004</v>
      </c>
      <c r="G52">
        <v>8.04617</v>
      </c>
      <c r="H52">
        <v>9.8948970000000003</v>
      </c>
      <c r="I52">
        <v>11.79557</v>
      </c>
      <c r="J52">
        <v>13.756105</v>
      </c>
      <c r="K52">
        <v>15.731505</v>
      </c>
      <c r="L52">
        <v>17.701426999999999</v>
      </c>
      <c r="M52">
        <v>19.563534000000001</v>
      </c>
      <c r="N52">
        <v>21.345057000000001</v>
      </c>
      <c r="O52">
        <v>23.085975999999999</v>
      </c>
      <c r="P52">
        <v>24.752065999999999</v>
      </c>
      <c r="Q52">
        <v>26.374490999999999</v>
      </c>
      <c r="R52">
        <v>27.907536</v>
      </c>
      <c r="S52">
        <v>29.364346000000001</v>
      </c>
      <c r="T52">
        <v>30.675039000000002</v>
      </c>
      <c r="U52">
        <v>31.772675</v>
      </c>
      <c r="V52">
        <v>32.700218</v>
      </c>
      <c r="W52">
        <v>33.413364000000001</v>
      </c>
      <c r="X52">
        <v>34.011718999999999</v>
      </c>
      <c r="Y52">
        <v>34.523254000000001</v>
      </c>
      <c r="Z52">
        <v>35.050784999999998</v>
      </c>
      <c r="AA52">
        <v>35.549961000000003</v>
      </c>
      <c r="AB52">
        <v>36.062302000000003</v>
      </c>
      <c r="AC52">
        <v>36.747284000000001</v>
      </c>
      <c r="AD52">
        <v>37.557620999999997</v>
      </c>
      <c r="AE52" s="31">
        <v>9.0999999999999998E-2</v>
      </c>
    </row>
    <row r="53" spans="1:31">
      <c r="A53" t="s">
        <v>380</v>
      </c>
      <c r="B53" s="1" t="s">
        <v>4838</v>
      </c>
      <c r="C53" t="s">
        <v>4837</v>
      </c>
      <c r="D53" t="s">
        <v>354</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117</v>
      </c>
    </row>
    <row r="54" spans="1:31">
      <c r="A54" t="s">
        <v>381</v>
      </c>
      <c r="B54" s="1" t="s">
        <v>4836</v>
      </c>
      <c r="C54" t="s">
        <v>4835</v>
      </c>
      <c r="D54" t="s">
        <v>354</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117</v>
      </c>
    </row>
    <row r="55" spans="1:31" s="213" customFormat="1">
      <c r="A55" s="213" t="s">
        <v>382</v>
      </c>
      <c r="B55" s="183" t="s">
        <v>4834</v>
      </c>
      <c r="C55" s="213" t="s">
        <v>4833</v>
      </c>
      <c r="D55" s="213" t="s">
        <v>354</v>
      </c>
      <c r="E55" s="213">
        <v>0</v>
      </c>
      <c r="F55" s="213">
        <v>0</v>
      </c>
      <c r="G55" s="213">
        <v>0</v>
      </c>
      <c r="H55" s="213">
        <v>0</v>
      </c>
      <c r="I55" s="213">
        <v>0</v>
      </c>
      <c r="J55" s="213">
        <v>0</v>
      </c>
      <c r="K55" s="213">
        <v>0</v>
      </c>
      <c r="L55" s="213">
        <v>0</v>
      </c>
      <c r="M55" s="213">
        <v>0</v>
      </c>
      <c r="N55" s="213">
        <v>0</v>
      </c>
      <c r="O55" s="213">
        <v>0</v>
      </c>
      <c r="P55" s="213">
        <v>0</v>
      </c>
      <c r="Q55" s="213">
        <v>0</v>
      </c>
      <c r="R55" s="213">
        <v>0</v>
      </c>
      <c r="S55" s="213">
        <v>0</v>
      </c>
      <c r="T55" s="213">
        <v>0</v>
      </c>
      <c r="U55" s="213">
        <v>0</v>
      </c>
      <c r="V55" s="213">
        <v>0</v>
      </c>
      <c r="W55" s="213">
        <v>0</v>
      </c>
      <c r="X55" s="213">
        <v>0</v>
      </c>
      <c r="Y55" s="213">
        <v>0</v>
      </c>
      <c r="Z55" s="213">
        <v>0</v>
      </c>
      <c r="AA55" s="213">
        <v>0</v>
      </c>
      <c r="AB55" s="213">
        <v>0</v>
      </c>
      <c r="AC55" s="213">
        <v>0</v>
      </c>
      <c r="AD55" s="213">
        <v>0</v>
      </c>
      <c r="AE55" s="213" t="s">
        <v>117</v>
      </c>
    </row>
    <row r="56" spans="1:31" s="213" customFormat="1">
      <c r="A56" s="213" t="s">
        <v>3288</v>
      </c>
      <c r="B56" s="183" t="s">
        <v>4832</v>
      </c>
      <c r="C56" s="213" t="s">
        <v>4831</v>
      </c>
      <c r="D56" s="213" t="s">
        <v>354</v>
      </c>
      <c r="E56" s="213">
        <v>0</v>
      </c>
      <c r="F56" s="213">
        <v>0</v>
      </c>
      <c r="G56" s="213">
        <v>0</v>
      </c>
      <c r="H56" s="213">
        <v>0</v>
      </c>
      <c r="I56" s="213">
        <v>0</v>
      </c>
      <c r="J56" s="213">
        <v>0</v>
      </c>
      <c r="K56" s="213">
        <v>0</v>
      </c>
      <c r="L56" s="213">
        <v>0</v>
      </c>
      <c r="M56" s="213">
        <v>0</v>
      </c>
      <c r="N56" s="213">
        <v>0</v>
      </c>
      <c r="O56" s="213">
        <v>0</v>
      </c>
      <c r="P56" s="213">
        <v>0</v>
      </c>
      <c r="Q56" s="213">
        <v>0</v>
      </c>
      <c r="R56" s="213">
        <v>0</v>
      </c>
      <c r="S56" s="213">
        <v>0</v>
      </c>
      <c r="T56" s="213">
        <v>0</v>
      </c>
      <c r="U56" s="213">
        <v>0</v>
      </c>
      <c r="V56" s="213">
        <v>0</v>
      </c>
      <c r="W56" s="213">
        <v>0</v>
      </c>
      <c r="X56" s="213">
        <v>0</v>
      </c>
      <c r="Y56" s="213">
        <v>0</v>
      </c>
      <c r="Z56" s="213">
        <v>0</v>
      </c>
      <c r="AA56" s="213">
        <v>0</v>
      </c>
      <c r="AB56" s="213">
        <v>0</v>
      </c>
      <c r="AC56" s="213">
        <v>0</v>
      </c>
      <c r="AD56" s="213">
        <v>0</v>
      </c>
      <c r="AE56" s="213" t="s">
        <v>117</v>
      </c>
    </row>
    <row r="57" spans="1:31">
      <c r="A57" t="s">
        <v>3285</v>
      </c>
      <c r="B57" s="1" t="s">
        <v>4830</v>
      </c>
      <c r="C57" t="s">
        <v>4829</v>
      </c>
      <c r="D57" t="s">
        <v>354</v>
      </c>
      <c r="E57">
        <v>0.17601700000000001</v>
      </c>
      <c r="F57">
        <v>0.45981499999999997</v>
      </c>
      <c r="G57">
        <v>0.86753499999999995</v>
      </c>
      <c r="H57">
        <v>1.606036</v>
      </c>
      <c r="I57">
        <v>2.7500149999999999</v>
      </c>
      <c r="J57">
        <v>4.6111649999999997</v>
      </c>
      <c r="K57">
        <v>7.3806919999999998</v>
      </c>
      <c r="L57">
        <v>11.285777</v>
      </c>
      <c r="M57">
        <v>17.041606999999999</v>
      </c>
      <c r="N57">
        <v>24.643789000000002</v>
      </c>
      <c r="O57">
        <v>34.534992000000003</v>
      </c>
      <c r="P57">
        <v>46.732498</v>
      </c>
      <c r="Q57">
        <v>61.249366999999999</v>
      </c>
      <c r="R57">
        <v>77.129729999999995</v>
      </c>
      <c r="S57">
        <v>94.540756000000002</v>
      </c>
      <c r="T57">
        <v>113.28555299999999</v>
      </c>
      <c r="U57">
        <v>133.60176100000001</v>
      </c>
      <c r="V57">
        <v>154.813919</v>
      </c>
      <c r="W57">
        <v>176.03466800000001</v>
      </c>
      <c r="X57">
        <v>197.38417100000001</v>
      </c>
      <c r="Y57">
        <v>218.28466800000001</v>
      </c>
      <c r="Z57">
        <v>238.59475699999999</v>
      </c>
      <c r="AA57">
        <v>259.10458399999999</v>
      </c>
      <c r="AB57">
        <v>279.395264</v>
      </c>
      <c r="AC57">
        <v>299.70388800000001</v>
      </c>
      <c r="AD57">
        <v>318.992096</v>
      </c>
      <c r="AE57" s="31">
        <v>0.35</v>
      </c>
    </row>
    <row r="58" spans="1:31" s="213" customFormat="1">
      <c r="A58" s="213" t="s">
        <v>3282</v>
      </c>
      <c r="B58" s="183" t="s">
        <v>4828</v>
      </c>
      <c r="C58" s="213" t="s">
        <v>4827</v>
      </c>
      <c r="D58" s="213" t="s">
        <v>354</v>
      </c>
      <c r="E58" s="213">
        <v>0</v>
      </c>
      <c r="F58" s="213">
        <v>0</v>
      </c>
      <c r="G58" s="213">
        <v>0</v>
      </c>
      <c r="H58" s="213">
        <v>0</v>
      </c>
      <c r="I58" s="213">
        <v>0</v>
      </c>
      <c r="J58" s="213">
        <v>0</v>
      </c>
      <c r="K58" s="213">
        <v>0</v>
      </c>
      <c r="L58" s="213">
        <v>0</v>
      </c>
      <c r="M58" s="213">
        <v>0</v>
      </c>
      <c r="N58" s="213">
        <v>0</v>
      </c>
      <c r="O58" s="213">
        <v>0</v>
      </c>
      <c r="P58" s="213">
        <v>0</v>
      </c>
      <c r="Q58" s="213">
        <v>0</v>
      </c>
      <c r="R58" s="213">
        <v>0</v>
      </c>
      <c r="S58" s="213">
        <v>0</v>
      </c>
      <c r="T58" s="213">
        <v>0</v>
      </c>
      <c r="U58" s="213">
        <v>0</v>
      </c>
      <c r="V58" s="213">
        <v>0</v>
      </c>
      <c r="W58" s="213">
        <v>0</v>
      </c>
      <c r="X58" s="213">
        <v>0</v>
      </c>
      <c r="Y58" s="213">
        <v>0</v>
      </c>
      <c r="Z58" s="213">
        <v>0</v>
      </c>
      <c r="AA58" s="213">
        <v>0</v>
      </c>
      <c r="AB58" s="213">
        <v>0</v>
      </c>
      <c r="AC58" s="213">
        <v>0</v>
      </c>
      <c r="AD58" s="213">
        <v>0</v>
      </c>
      <c r="AE58" s="213" t="s">
        <v>117</v>
      </c>
    </row>
    <row r="59" spans="1:31">
      <c r="A59" t="s">
        <v>383</v>
      </c>
      <c r="B59" s="1" t="s">
        <v>4826</v>
      </c>
      <c r="C59" t="s">
        <v>4825</v>
      </c>
      <c r="D59" t="s">
        <v>354</v>
      </c>
      <c r="E59">
        <v>871.73803699999996</v>
      </c>
      <c r="F59">
        <v>870.93127400000003</v>
      </c>
      <c r="G59">
        <v>878.18780500000003</v>
      </c>
      <c r="H59">
        <v>876.64031999999997</v>
      </c>
      <c r="I59">
        <v>877.49761999999998</v>
      </c>
      <c r="J59">
        <v>883.06561299999998</v>
      </c>
      <c r="K59">
        <v>889.11273200000005</v>
      </c>
      <c r="L59">
        <v>896.20495600000004</v>
      </c>
      <c r="M59">
        <v>899.512878</v>
      </c>
      <c r="N59">
        <v>902.26593000000003</v>
      </c>
      <c r="O59">
        <v>904.87780799999996</v>
      </c>
      <c r="P59">
        <v>908.14465299999995</v>
      </c>
      <c r="Q59">
        <v>911.62365699999998</v>
      </c>
      <c r="R59">
        <v>915.68566899999996</v>
      </c>
      <c r="S59">
        <v>920.17040999999995</v>
      </c>
      <c r="T59">
        <v>923.98657200000002</v>
      </c>
      <c r="U59">
        <v>924.61395300000004</v>
      </c>
      <c r="V59">
        <v>925.10070800000005</v>
      </c>
      <c r="W59">
        <v>921.74755900000002</v>
      </c>
      <c r="X59">
        <v>918.246216</v>
      </c>
      <c r="Y59">
        <v>914.85632299999997</v>
      </c>
      <c r="Z59">
        <v>911.68872099999999</v>
      </c>
      <c r="AA59">
        <v>910.07971199999997</v>
      </c>
      <c r="AB59">
        <v>907.56976299999997</v>
      </c>
      <c r="AC59">
        <v>906.50732400000004</v>
      </c>
      <c r="AD59">
        <v>904.85522500000002</v>
      </c>
      <c r="AE59" s="31">
        <v>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F3F81-2619-4C7C-9F2A-139213B1EB60}">
  <dimension ref="A1:AE51"/>
  <sheetViews>
    <sheetView workbookViewId="0"/>
  </sheetViews>
  <sheetFormatPr defaultRowHeight="15"/>
  <cols>
    <col min="1" max="1" width="31.42578125" customWidth="1"/>
    <col min="2" max="2" width="64.7109375" hidden="1" customWidth="1"/>
    <col min="3" max="3" width="9.42578125" customWidth="1"/>
    <col min="4" max="4" width="12" bestFit="1" customWidth="1"/>
  </cols>
  <sheetData>
    <row r="1" spans="1:31">
      <c r="A1" t="s">
        <v>384</v>
      </c>
    </row>
    <row r="2" spans="1:31">
      <c r="A2" t="s">
        <v>5177</v>
      </c>
    </row>
    <row r="3" spans="1:31">
      <c r="A3" t="s">
        <v>5176</v>
      </c>
    </row>
    <row r="4" spans="1:31">
      <c r="A4" t="s">
        <v>302</v>
      </c>
    </row>
    <row r="5" spans="1:31">
      <c r="B5" t="s">
        <v>303</v>
      </c>
      <c r="C5" t="s">
        <v>351</v>
      </c>
      <c r="D5" t="s">
        <v>352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4196</v>
      </c>
    </row>
    <row r="6" spans="1:31" s="1" customFormat="1">
      <c r="A6" s="1" t="s">
        <v>356</v>
      </c>
    </row>
    <row r="7" spans="1:31">
      <c r="A7" t="s">
        <v>357</v>
      </c>
    </row>
    <row r="8" spans="1:31">
      <c r="A8" t="s">
        <v>358</v>
      </c>
      <c r="B8" t="s">
        <v>5175</v>
      </c>
      <c r="C8" t="s">
        <v>5174</v>
      </c>
      <c r="D8" t="s">
        <v>387</v>
      </c>
      <c r="E8">
        <v>81.430267000000001</v>
      </c>
      <c r="F8">
        <v>76.890822999999997</v>
      </c>
      <c r="G8">
        <v>71.970993000000007</v>
      </c>
      <c r="H8">
        <v>67.921088999999995</v>
      </c>
      <c r="I8">
        <v>64.808014</v>
      </c>
      <c r="J8">
        <v>62.461823000000003</v>
      </c>
      <c r="K8">
        <v>60.352088999999999</v>
      </c>
      <c r="L8">
        <v>58.345897999999998</v>
      </c>
      <c r="M8">
        <v>56.505558000000001</v>
      </c>
      <c r="N8">
        <v>54.746814999999998</v>
      </c>
      <c r="O8">
        <v>53.085583</v>
      </c>
      <c r="P8">
        <v>51.379188999999997</v>
      </c>
      <c r="Q8">
        <v>49.829754000000001</v>
      </c>
      <c r="R8">
        <v>48.426186000000001</v>
      </c>
      <c r="S8">
        <v>47.121178</v>
      </c>
      <c r="T8">
        <v>45.871108999999997</v>
      </c>
      <c r="U8">
        <v>44.655296</v>
      </c>
      <c r="V8">
        <v>43.480578999999999</v>
      </c>
      <c r="W8">
        <v>42.336857000000002</v>
      </c>
      <c r="X8">
        <v>41.240662</v>
      </c>
      <c r="Y8">
        <v>40.215598999999997</v>
      </c>
      <c r="Z8">
        <v>39.231304000000002</v>
      </c>
      <c r="AA8">
        <v>38.317055000000003</v>
      </c>
      <c r="AB8">
        <v>37.424652000000002</v>
      </c>
      <c r="AC8">
        <v>36.553452</v>
      </c>
      <c r="AD8">
        <v>35.659367000000003</v>
      </c>
      <c r="AE8" s="31">
        <v>-3.2000000000000001E-2</v>
      </c>
    </row>
    <row r="9" spans="1:31">
      <c r="A9" t="s">
        <v>359</v>
      </c>
      <c r="B9" t="s">
        <v>5173</v>
      </c>
      <c r="C9" t="s">
        <v>5172</v>
      </c>
      <c r="D9" t="s">
        <v>387</v>
      </c>
      <c r="E9">
        <v>0.226383</v>
      </c>
      <c r="F9">
        <v>0.19944799999999999</v>
      </c>
      <c r="G9">
        <v>0.17438699999999999</v>
      </c>
      <c r="H9">
        <v>0.15098500000000001</v>
      </c>
      <c r="I9">
        <v>0.12939800000000001</v>
      </c>
      <c r="J9">
        <v>0.109968</v>
      </c>
      <c r="K9">
        <v>9.2751E-2</v>
      </c>
      <c r="L9">
        <v>7.7730999999999995E-2</v>
      </c>
      <c r="M9">
        <v>6.5012E-2</v>
      </c>
      <c r="N9">
        <v>5.4496999999999997E-2</v>
      </c>
      <c r="O9">
        <v>4.6012999999999998E-2</v>
      </c>
      <c r="P9">
        <v>3.9314000000000002E-2</v>
      </c>
      <c r="Q9">
        <v>3.4090000000000002E-2</v>
      </c>
      <c r="R9">
        <v>3.0082999999999999E-2</v>
      </c>
      <c r="S9">
        <v>2.6991000000000001E-2</v>
      </c>
      <c r="T9">
        <v>2.4417999999999999E-2</v>
      </c>
      <c r="U9">
        <v>2.2158000000000001E-2</v>
      </c>
      <c r="V9">
        <v>2.0163E-2</v>
      </c>
      <c r="W9">
        <v>1.8380000000000001E-2</v>
      </c>
      <c r="X9">
        <v>1.6764999999999999E-2</v>
      </c>
      <c r="Y9">
        <v>1.5296000000000001E-2</v>
      </c>
      <c r="Z9">
        <v>1.3958999999999999E-2</v>
      </c>
      <c r="AA9">
        <v>1.2742E-2</v>
      </c>
      <c r="AB9">
        <v>1.1634E-2</v>
      </c>
      <c r="AC9">
        <v>1.0624E-2</v>
      </c>
      <c r="AD9">
        <v>9.7050000000000001E-3</v>
      </c>
      <c r="AE9" s="31">
        <v>-0.11799999999999999</v>
      </c>
    </row>
    <row r="10" spans="1:31">
      <c r="A10" t="s">
        <v>360</v>
      </c>
      <c r="B10" t="s">
        <v>5171</v>
      </c>
      <c r="C10" t="s">
        <v>5170</v>
      </c>
      <c r="D10" t="s">
        <v>387</v>
      </c>
      <c r="E10">
        <v>81.656647000000007</v>
      </c>
      <c r="F10">
        <v>77.090271000000001</v>
      </c>
      <c r="G10">
        <v>72.145377999999994</v>
      </c>
      <c r="H10">
        <v>68.072074999999998</v>
      </c>
      <c r="I10">
        <v>64.937415999999999</v>
      </c>
      <c r="J10">
        <v>62.571789000000003</v>
      </c>
      <c r="K10">
        <v>60.444839000000002</v>
      </c>
      <c r="L10">
        <v>58.423630000000003</v>
      </c>
      <c r="M10">
        <v>56.570568000000002</v>
      </c>
      <c r="N10">
        <v>54.801310999999998</v>
      </c>
      <c r="O10">
        <v>53.131596000000002</v>
      </c>
      <c r="P10">
        <v>51.418503000000001</v>
      </c>
      <c r="Q10">
        <v>49.863846000000002</v>
      </c>
      <c r="R10">
        <v>48.456268000000001</v>
      </c>
      <c r="S10">
        <v>47.14817</v>
      </c>
      <c r="T10">
        <v>45.895527000000001</v>
      </c>
      <c r="U10">
        <v>44.677455999999999</v>
      </c>
      <c r="V10">
        <v>43.500743999999997</v>
      </c>
      <c r="W10">
        <v>42.355235999999998</v>
      </c>
      <c r="X10">
        <v>41.257427</v>
      </c>
      <c r="Y10">
        <v>40.230896000000001</v>
      </c>
      <c r="Z10">
        <v>39.245261999999997</v>
      </c>
      <c r="AA10">
        <v>38.329796000000002</v>
      </c>
      <c r="AB10">
        <v>37.436287</v>
      </c>
      <c r="AC10">
        <v>36.564075000000003</v>
      </c>
      <c r="AD10">
        <v>35.669071000000002</v>
      </c>
      <c r="AE10" s="31">
        <v>-3.3000000000000002E-2</v>
      </c>
    </row>
    <row r="11" spans="1:31">
      <c r="A11" t="s">
        <v>361</v>
      </c>
    </row>
    <row r="12" spans="1:31">
      <c r="A12" t="s">
        <v>362</v>
      </c>
      <c r="B12" t="s">
        <v>5169</v>
      </c>
      <c r="C12" t="s">
        <v>5168</v>
      </c>
      <c r="D12" t="s">
        <v>387</v>
      </c>
      <c r="E12">
        <v>2.7600739999999999</v>
      </c>
      <c r="F12">
        <v>2.2337500000000001</v>
      </c>
      <c r="G12">
        <v>1.9149499999999999</v>
      </c>
      <c r="H12">
        <v>1.640979</v>
      </c>
      <c r="I12">
        <v>1.4012629999999999</v>
      </c>
      <c r="J12">
        <v>1.1919550000000001</v>
      </c>
      <c r="K12">
        <v>1.0125219999999999</v>
      </c>
      <c r="L12">
        <v>0.86182499999999995</v>
      </c>
      <c r="M12">
        <v>0.74045399999999995</v>
      </c>
      <c r="N12">
        <v>0.64316799999999996</v>
      </c>
      <c r="O12">
        <v>0.56685799999999997</v>
      </c>
      <c r="P12">
        <v>0.50846000000000002</v>
      </c>
      <c r="Q12">
        <v>0.46231899999999998</v>
      </c>
      <c r="R12">
        <v>0.42546200000000001</v>
      </c>
      <c r="S12">
        <v>0.39624500000000001</v>
      </c>
      <c r="T12">
        <v>0.372361</v>
      </c>
      <c r="U12">
        <v>0.35239100000000001</v>
      </c>
      <c r="V12">
        <v>0.33537299999999998</v>
      </c>
      <c r="W12">
        <v>0.320851</v>
      </c>
      <c r="X12">
        <v>0.30832999999999999</v>
      </c>
      <c r="Y12">
        <v>0.29730400000000001</v>
      </c>
      <c r="Z12">
        <v>0.28738799999999998</v>
      </c>
      <c r="AA12">
        <v>0.27857300000000002</v>
      </c>
      <c r="AB12">
        <v>0.27093299999999998</v>
      </c>
      <c r="AC12">
        <v>0.26388299999999998</v>
      </c>
      <c r="AD12">
        <v>0.257382</v>
      </c>
      <c r="AE12" s="31">
        <v>-9.0999999999999998E-2</v>
      </c>
    </row>
    <row r="13" spans="1:31">
      <c r="A13" t="s">
        <v>1402</v>
      </c>
      <c r="B13" t="s">
        <v>5167</v>
      </c>
      <c r="C13" t="s">
        <v>5166</v>
      </c>
      <c r="D13" t="s">
        <v>387</v>
      </c>
      <c r="E13">
        <v>0.17866399999999999</v>
      </c>
      <c r="F13">
        <v>0.18451300000000001</v>
      </c>
      <c r="G13">
        <v>0.18490000000000001</v>
      </c>
      <c r="H13">
        <v>0.179928</v>
      </c>
      <c r="I13">
        <v>0.17632900000000001</v>
      </c>
      <c r="J13">
        <v>0.176623</v>
      </c>
      <c r="K13">
        <v>0.17802499999999999</v>
      </c>
      <c r="L13">
        <v>0.18146399999999999</v>
      </c>
      <c r="M13">
        <v>0.18618399999999999</v>
      </c>
      <c r="N13">
        <v>0.192305</v>
      </c>
      <c r="O13">
        <v>0.200158</v>
      </c>
      <c r="P13">
        <v>0.20849000000000001</v>
      </c>
      <c r="Q13">
        <v>0.217478</v>
      </c>
      <c r="R13">
        <v>0.227134</v>
      </c>
      <c r="S13">
        <v>0.237007</v>
      </c>
      <c r="T13">
        <v>0.24676999999999999</v>
      </c>
      <c r="U13">
        <v>0.25557999999999997</v>
      </c>
      <c r="V13">
        <v>0.26368999999999998</v>
      </c>
      <c r="W13">
        <v>0.271152</v>
      </c>
      <c r="X13">
        <v>0.27779300000000001</v>
      </c>
      <c r="Y13">
        <v>0.28434599999999999</v>
      </c>
      <c r="Z13">
        <v>0.28996699999999997</v>
      </c>
      <c r="AA13">
        <v>0.29537000000000002</v>
      </c>
      <c r="AB13">
        <v>0.300288</v>
      </c>
      <c r="AC13">
        <v>0.30453799999999998</v>
      </c>
      <c r="AD13">
        <v>0.30771199999999999</v>
      </c>
      <c r="AE13" s="31">
        <v>2.1999999999999999E-2</v>
      </c>
    </row>
    <row r="14" spans="1:31">
      <c r="A14" t="s">
        <v>1400</v>
      </c>
      <c r="B14" t="s">
        <v>5165</v>
      </c>
      <c r="C14" t="s">
        <v>5164</v>
      </c>
      <c r="D14" t="s">
        <v>387</v>
      </c>
      <c r="E14">
        <v>0.71263500000000002</v>
      </c>
      <c r="F14">
        <v>0.86419800000000002</v>
      </c>
      <c r="G14">
        <v>1.1857359999999999</v>
      </c>
      <c r="H14">
        <v>1.409656</v>
      </c>
      <c r="I14">
        <v>1.53366</v>
      </c>
      <c r="J14">
        <v>1.5446340000000001</v>
      </c>
      <c r="K14">
        <v>1.5709310000000001</v>
      </c>
      <c r="L14">
        <v>1.60239</v>
      </c>
      <c r="M14">
        <v>1.6811229999999999</v>
      </c>
      <c r="N14">
        <v>1.7801849999999999</v>
      </c>
      <c r="O14">
        <v>1.8958999999999999</v>
      </c>
      <c r="P14">
        <v>1.996977</v>
      </c>
      <c r="Q14">
        <v>2.0982229999999999</v>
      </c>
      <c r="R14">
        <v>2.1976290000000001</v>
      </c>
      <c r="S14">
        <v>2.2928739999999999</v>
      </c>
      <c r="T14">
        <v>2.3745129999999999</v>
      </c>
      <c r="U14">
        <v>2.451819</v>
      </c>
      <c r="V14">
        <v>2.5255190000000001</v>
      </c>
      <c r="W14">
        <v>2.5935890000000001</v>
      </c>
      <c r="X14">
        <v>2.6550129999999998</v>
      </c>
      <c r="Y14">
        <v>2.70695</v>
      </c>
      <c r="Z14">
        <v>2.7584369999999998</v>
      </c>
      <c r="AA14">
        <v>2.8117529999999999</v>
      </c>
      <c r="AB14">
        <v>2.858838</v>
      </c>
      <c r="AC14">
        <v>2.9010669999999998</v>
      </c>
      <c r="AD14">
        <v>2.9327030000000001</v>
      </c>
      <c r="AE14" s="31">
        <v>5.8000000000000003E-2</v>
      </c>
    </row>
    <row r="15" spans="1:31">
      <c r="A15" t="s">
        <v>1398</v>
      </c>
      <c r="B15" t="s">
        <v>5163</v>
      </c>
      <c r="C15" t="s">
        <v>5162</v>
      </c>
      <c r="D15" t="s">
        <v>387</v>
      </c>
      <c r="E15">
        <v>3.9527960000000002</v>
      </c>
      <c r="F15">
        <v>4.5460570000000002</v>
      </c>
      <c r="G15">
        <v>5.333164</v>
      </c>
      <c r="H15">
        <v>5.9182889999999997</v>
      </c>
      <c r="I15">
        <v>6.763452</v>
      </c>
      <c r="J15">
        <v>7.6441489999999996</v>
      </c>
      <c r="K15">
        <v>8.5882609999999993</v>
      </c>
      <c r="L15">
        <v>9.4880139999999997</v>
      </c>
      <c r="M15">
        <v>10.409840000000001</v>
      </c>
      <c r="N15">
        <v>11.276294999999999</v>
      </c>
      <c r="O15">
        <v>12.146246</v>
      </c>
      <c r="P15">
        <v>12.913501999999999</v>
      </c>
      <c r="Q15">
        <v>13.647614000000001</v>
      </c>
      <c r="R15">
        <v>14.350970999999999</v>
      </c>
      <c r="S15">
        <v>15.013216</v>
      </c>
      <c r="T15">
        <v>15.606446</v>
      </c>
      <c r="U15">
        <v>16.131933</v>
      </c>
      <c r="V15">
        <v>16.606263999999999</v>
      </c>
      <c r="W15">
        <v>17.027069000000001</v>
      </c>
      <c r="X15">
        <v>17.397478</v>
      </c>
      <c r="Y15">
        <v>17.738201</v>
      </c>
      <c r="Z15">
        <v>18.037312</v>
      </c>
      <c r="AA15">
        <v>18.330342999999999</v>
      </c>
      <c r="AB15">
        <v>18.584419</v>
      </c>
      <c r="AC15">
        <v>18.801786</v>
      </c>
      <c r="AD15">
        <v>18.949629000000002</v>
      </c>
      <c r="AE15" s="31">
        <v>6.5000000000000002E-2</v>
      </c>
    </row>
    <row r="16" spans="1:31">
      <c r="A16" t="s">
        <v>1396</v>
      </c>
      <c r="B16" t="s">
        <v>5161</v>
      </c>
      <c r="C16" t="s">
        <v>5160</v>
      </c>
      <c r="D16" t="s">
        <v>387</v>
      </c>
      <c r="E16">
        <v>0.51268800000000003</v>
      </c>
      <c r="F16">
        <v>0.445882</v>
      </c>
      <c r="G16">
        <v>0.39179000000000003</v>
      </c>
      <c r="H16">
        <v>0.38426500000000002</v>
      </c>
      <c r="I16">
        <v>0.37635200000000002</v>
      </c>
      <c r="J16">
        <v>0.37056499999999998</v>
      </c>
      <c r="K16">
        <v>0.35606900000000002</v>
      </c>
      <c r="L16">
        <v>0.342026</v>
      </c>
      <c r="M16">
        <v>0.333619</v>
      </c>
      <c r="N16">
        <v>0.32821400000000001</v>
      </c>
      <c r="O16">
        <v>0.324208</v>
      </c>
      <c r="P16">
        <v>0.31773699999999999</v>
      </c>
      <c r="Q16">
        <v>0.31159300000000001</v>
      </c>
      <c r="R16">
        <v>0.30531799999999998</v>
      </c>
      <c r="S16">
        <v>0.29919099999999998</v>
      </c>
      <c r="T16">
        <v>0.29197899999999999</v>
      </c>
      <c r="U16">
        <v>0.28536</v>
      </c>
      <c r="V16">
        <v>0.27944400000000003</v>
      </c>
      <c r="W16">
        <v>0.27391100000000002</v>
      </c>
      <c r="X16">
        <v>0.26826800000000001</v>
      </c>
      <c r="Y16">
        <v>0.26201400000000002</v>
      </c>
      <c r="Z16">
        <v>0.25653799999999999</v>
      </c>
      <c r="AA16">
        <v>0.251693</v>
      </c>
      <c r="AB16">
        <v>0.24688099999999999</v>
      </c>
      <c r="AC16">
        <v>0.24193000000000001</v>
      </c>
      <c r="AD16">
        <v>0.236619</v>
      </c>
      <c r="AE16" s="31">
        <v>-0.03</v>
      </c>
    </row>
    <row r="17" spans="1:31">
      <c r="A17" t="s">
        <v>1393</v>
      </c>
      <c r="B17" t="s">
        <v>5159</v>
      </c>
      <c r="C17" t="s">
        <v>5158</v>
      </c>
      <c r="D17" t="s">
        <v>387</v>
      </c>
      <c r="E17">
        <v>0.27100099999999999</v>
      </c>
      <c r="F17">
        <v>0.36241800000000002</v>
      </c>
      <c r="G17">
        <v>0.50768000000000002</v>
      </c>
      <c r="H17">
        <v>0.61428000000000005</v>
      </c>
      <c r="I17">
        <v>0.58589000000000002</v>
      </c>
      <c r="J17">
        <v>0.52126899999999998</v>
      </c>
      <c r="K17">
        <v>0.47136699999999998</v>
      </c>
      <c r="L17">
        <v>0.43528699999999998</v>
      </c>
      <c r="M17">
        <v>0.41706199999999999</v>
      </c>
      <c r="N17">
        <v>0.40843600000000002</v>
      </c>
      <c r="O17">
        <v>0.40653499999999998</v>
      </c>
      <c r="P17">
        <v>0.40450399999999997</v>
      </c>
      <c r="Q17">
        <v>0.40385700000000002</v>
      </c>
      <c r="R17">
        <v>0.40477200000000002</v>
      </c>
      <c r="S17">
        <v>0.40715000000000001</v>
      </c>
      <c r="T17">
        <v>0.40963899999999998</v>
      </c>
      <c r="U17">
        <v>0.41070600000000002</v>
      </c>
      <c r="V17">
        <v>0.411076</v>
      </c>
      <c r="W17">
        <v>0.41089900000000001</v>
      </c>
      <c r="X17">
        <v>0.41004000000000002</v>
      </c>
      <c r="Y17">
        <v>0.40983000000000003</v>
      </c>
      <c r="Z17">
        <v>0.40870899999999999</v>
      </c>
      <c r="AA17">
        <v>0.40839300000000001</v>
      </c>
      <c r="AB17">
        <v>0.407941</v>
      </c>
      <c r="AC17">
        <v>0.407694</v>
      </c>
      <c r="AD17">
        <v>0.40649200000000002</v>
      </c>
      <c r="AE17" s="31">
        <v>1.6E-2</v>
      </c>
    </row>
    <row r="18" spans="1:31">
      <c r="A18" t="s">
        <v>364</v>
      </c>
      <c r="B18" t="s">
        <v>5157</v>
      </c>
      <c r="C18" t="s">
        <v>5156</v>
      </c>
      <c r="D18" t="s">
        <v>387</v>
      </c>
      <c r="E18">
        <v>4.4875069999999999</v>
      </c>
      <c r="F18">
        <v>5.0415929999999998</v>
      </c>
      <c r="G18">
        <v>5.4621170000000001</v>
      </c>
      <c r="H18">
        <v>5.6743670000000002</v>
      </c>
      <c r="I18">
        <v>5.8187170000000004</v>
      </c>
      <c r="J18">
        <v>6.0021909999999998</v>
      </c>
      <c r="K18">
        <v>6.2267549999999998</v>
      </c>
      <c r="L18">
        <v>6.4426800000000002</v>
      </c>
      <c r="M18">
        <v>6.6719290000000004</v>
      </c>
      <c r="N18">
        <v>6.8836820000000003</v>
      </c>
      <c r="O18">
        <v>7.0835470000000003</v>
      </c>
      <c r="P18">
        <v>7.2348699999999999</v>
      </c>
      <c r="Q18">
        <v>7.3761520000000003</v>
      </c>
      <c r="R18">
        <v>7.5100040000000003</v>
      </c>
      <c r="S18">
        <v>7.6315210000000002</v>
      </c>
      <c r="T18">
        <v>7.7344020000000002</v>
      </c>
      <c r="U18">
        <v>7.8192329999999997</v>
      </c>
      <c r="V18">
        <v>7.8895989999999996</v>
      </c>
      <c r="W18">
        <v>7.9436229999999997</v>
      </c>
      <c r="X18">
        <v>7.9863920000000004</v>
      </c>
      <c r="Y18">
        <v>8.0265369999999994</v>
      </c>
      <c r="Z18">
        <v>8.0610560000000007</v>
      </c>
      <c r="AA18">
        <v>8.100187</v>
      </c>
      <c r="AB18">
        <v>8.1326680000000007</v>
      </c>
      <c r="AC18">
        <v>8.1571999999999996</v>
      </c>
      <c r="AD18">
        <v>8.1631549999999997</v>
      </c>
      <c r="AE18" s="31">
        <v>2.4E-2</v>
      </c>
    </row>
    <row r="19" spans="1:31">
      <c r="A19" t="s">
        <v>370</v>
      </c>
      <c r="B19" t="s">
        <v>5155</v>
      </c>
      <c r="C19" t="s">
        <v>5154</v>
      </c>
      <c r="D19" t="s">
        <v>387</v>
      </c>
      <c r="E19">
        <v>1.2982E-2</v>
      </c>
      <c r="F19">
        <v>1.1873999999999999E-2</v>
      </c>
      <c r="G19">
        <v>1.0966999999999999E-2</v>
      </c>
      <c r="H19">
        <v>1.0144E-2</v>
      </c>
      <c r="I19">
        <v>9.3509999999999999E-3</v>
      </c>
      <c r="J19">
        <v>8.5780000000000006E-3</v>
      </c>
      <c r="K19">
        <v>7.7879999999999998E-3</v>
      </c>
      <c r="L19">
        <v>6.9750000000000003E-3</v>
      </c>
      <c r="M19">
        <v>6.1700000000000001E-3</v>
      </c>
      <c r="N19">
        <v>5.372E-3</v>
      </c>
      <c r="O19">
        <v>4.6179999999999997E-3</v>
      </c>
      <c r="P19">
        <v>3.9139999999999999E-3</v>
      </c>
      <c r="Q19">
        <v>3.2820000000000002E-3</v>
      </c>
      <c r="R19">
        <v>2.7269999999999998E-3</v>
      </c>
      <c r="S19">
        <v>2.2569999999999999E-3</v>
      </c>
      <c r="T19">
        <v>1.872E-3</v>
      </c>
      <c r="U19">
        <v>1.5770000000000001E-3</v>
      </c>
      <c r="V19">
        <v>1.3550000000000001E-3</v>
      </c>
      <c r="W19">
        <v>1.1850000000000001E-3</v>
      </c>
      <c r="X19">
        <v>1.0549999999999999E-3</v>
      </c>
      <c r="Y19">
        <v>9.5799999999999998E-4</v>
      </c>
      <c r="Z19">
        <v>8.8699999999999998E-4</v>
      </c>
      <c r="AA19">
        <v>8.3299999999999997E-4</v>
      </c>
      <c r="AB19">
        <v>7.8700000000000005E-4</v>
      </c>
      <c r="AC19">
        <v>7.4600000000000003E-4</v>
      </c>
      <c r="AD19">
        <v>7.0899999999999999E-4</v>
      </c>
      <c r="AE19" s="31">
        <v>-0.11</v>
      </c>
    </row>
    <row r="20" spans="1:31">
      <c r="A20" t="s">
        <v>371</v>
      </c>
      <c r="B20" t="s">
        <v>5153</v>
      </c>
      <c r="C20" t="s">
        <v>5152</v>
      </c>
      <c r="D20" t="s">
        <v>387</v>
      </c>
      <c r="E20">
        <v>13.061911</v>
      </c>
      <c r="F20">
        <v>13.846887000000001</v>
      </c>
      <c r="G20">
        <v>15.132989999999999</v>
      </c>
      <c r="H20">
        <v>15.959448999999999</v>
      </c>
      <c r="I20">
        <v>16.779371000000001</v>
      </c>
      <c r="J20">
        <v>17.563133000000001</v>
      </c>
      <c r="K20">
        <v>18.504324</v>
      </c>
      <c r="L20">
        <v>19.443825</v>
      </c>
      <c r="M20">
        <v>20.521242000000001</v>
      </c>
      <c r="N20">
        <v>21.585425999999998</v>
      </c>
      <c r="O20">
        <v>22.689727999999999</v>
      </c>
      <c r="P20">
        <v>23.644877999999999</v>
      </c>
      <c r="Q20">
        <v>24.573035999999998</v>
      </c>
      <c r="R20">
        <v>25.473061000000001</v>
      </c>
      <c r="S20">
        <v>26.325457</v>
      </c>
      <c r="T20">
        <v>27.081195999999998</v>
      </c>
      <c r="U20">
        <v>27.749205</v>
      </c>
      <c r="V20">
        <v>28.350470999999999</v>
      </c>
      <c r="W20">
        <v>28.878126000000002</v>
      </c>
      <c r="X20">
        <v>29.338049000000002</v>
      </c>
      <c r="Y20">
        <v>29.757785999999999</v>
      </c>
      <c r="Z20">
        <v>30.130026000000001</v>
      </c>
      <c r="AA20">
        <v>30.505085000000001</v>
      </c>
      <c r="AB20">
        <v>30.829004000000001</v>
      </c>
      <c r="AC20">
        <v>31.103505999999999</v>
      </c>
      <c r="AD20">
        <v>31.277573</v>
      </c>
      <c r="AE20" s="31">
        <v>3.5999999999999997E-2</v>
      </c>
    </row>
    <row r="21" spans="1:31">
      <c r="A21" t="s">
        <v>385</v>
      </c>
      <c r="B21" t="s">
        <v>5151</v>
      </c>
      <c r="C21" t="s">
        <v>5150</v>
      </c>
      <c r="D21" t="s">
        <v>387</v>
      </c>
      <c r="E21">
        <v>94.718558999999999</v>
      </c>
      <c r="F21">
        <v>90.937156999999999</v>
      </c>
      <c r="G21">
        <v>87.278366000000005</v>
      </c>
      <c r="H21">
        <v>84.031525000000002</v>
      </c>
      <c r="I21">
        <v>81.716789000000006</v>
      </c>
      <c r="J21">
        <v>80.134917999999999</v>
      </c>
      <c r="K21">
        <v>78.949164999999994</v>
      </c>
      <c r="L21">
        <v>77.867455000000007</v>
      </c>
      <c r="M21">
        <v>77.091812000000004</v>
      </c>
      <c r="N21">
        <v>76.386734000000004</v>
      </c>
      <c r="O21">
        <v>75.82132</v>
      </c>
      <c r="P21">
        <v>75.063384999999997</v>
      </c>
      <c r="Q21">
        <v>74.436881999999997</v>
      </c>
      <c r="R21">
        <v>73.929328999999996</v>
      </c>
      <c r="S21">
        <v>73.473624999999998</v>
      </c>
      <c r="T21">
        <v>72.976723000000007</v>
      </c>
      <c r="U21">
        <v>72.426659000000001</v>
      </c>
      <c r="V21">
        <v>71.851212000000004</v>
      </c>
      <c r="W21">
        <v>71.233360000000005</v>
      </c>
      <c r="X21">
        <v>70.595473999999996</v>
      </c>
      <c r="Y21">
        <v>69.988677999999993</v>
      </c>
      <c r="Z21">
        <v>69.375290000000007</v>
      </c>
      <c r="AA21">
        <v>68.834885</v>
      </c>
      <c r="AB21">
        <v>68.265288999999996</v>
      </c>
      <c r="AC21">
        <v>67.667580000000001</v>
      </c>
      <c r="AD21">
        <v>66.946640000000002</v>
      </c>
      <c r="AE21" s="31">
        <v>-1.4E-2</v>
      </c>
    </row>
    <row r="22" spans="1:31" s="1" customFormat="1">
      <c r="A22" s="1" t="s">
        <v>335</v>
      </c>
    </row>
    <row r="23" spans="1:31" s="1" customFormat="1">
      <c r="A23" s="1" t="s">
        <v>373</v>
      </c>
    </row>
    <row r="24" spans="1:31">
      <c r="A24" t="s">
        <v>358</v>
      </c>
      <c r="B24" t="s">
        <v>5149</v>
      </c>
      <c r="C24" t="s">
        <v>5148</v>
      </c>
      <c r="D24" t="s">
        <v>387</v>
      </c>
      <c r="E24">
        <v>167.00500500000001</v>
      </c>
      <c r="F24">
        <v>166.531937</v>
      </c>
      <c r="G24">
        <v>165.52387999999999</v>
      </c>
      <c r="H24">
        <v>164.682739</v>
      </c>
      <c r="I24">
        <v>165.50878900000001</v>
      </c>
      <c r="J24">
        <v>167.487762</v>
      </c>
      <c r="K24">
        <v>170.07295199999999</v>
      </c>
      <c r="L24">
        <v>172.575424</v>
      </c>
      <c r="M24">
        <v>174.15362500000001</v>
      </c>
      <c r="N24">
        <v>174.95210299999999</v>
      </c>
      <c r="O24">
        <v>175.10659799999999</v>
      </c>
      <c r="P24">
        <v>174.54852299999999</v>
      </c>
      <c r="Q24">
        <v>173.693512</v>
      </c>
      <c r="R24">
        <v>172.61067199999999</v>
      </c>
      <c r="S24">
        <v>171.078903</v>
      </c>
      <c r="T24">
        <v>169.39399700000001</v>
      </c>
      <c r="U24">
        <v>167.561249</v>
      </c>
      <c r="V24">
        <v>165.583099</v>
      </c>
      <c r="W24">
        <v>163.53587300000001</v>
      </c>
      <c r="X24">
        <v>161.45813000000001</v>
      </c>
      <c r="Y24">
        <v>159.35067699999999</v>
      </c>
      <c r="Z24">
        <v>157.22135900000001</v>
      </c>
      <c r="AA24">
        <v>155.019012</v>
      </c>
      <c r="AB24">
        <v>152.751587</v>
      </c>
      <c r="AC24">
        <v>150.37882999999999</v>
      </c>
      <c r="AD24">
        <v>147.860748</v>
      </c>
      <c r="AE24" s="31">
        <v>-5.0000000000000001E-3</v>
      </c>
    </row>
    <row r="25" spans="1:31">
      <c r="A25" t="s">
        <v>359</v>
      </c>
      <c r="B25" t="s">
        <v>5147</v>
      </c>
      <c r="C25" t="s">
        <v>5146</v>
      </c>
      <c r="D25" t="s">
        <v>387</v>
      </c>
      <c r="E25">
        <v>1.9142520000000001</v>
      </c>
      <c r="F25">
        <v>2.1664249999999998</v>
      </c>
      <c r="G25">
        <v>2.3634539999999999</v>
      </c>
      <c r="H25">
        <v>2.5211440000000001</v>
      </c>
      <c r="I25">
        <v>2.6683490000000001</v>
      </c>
      <c r="J25">
        <v>2.816802</v>
      </c>
      <c r="K25">
        <v>2.9531559999999999</v>
      </c>
      <c r="L25">
        <v>3.0733700000000002</v>
      </c>
      <c r="M25">
        <v>3.1749390000000002</v>
      </c>
      <c r="N25">
        <v>3.2649270000000001</v>
      </c>
      <c r="O25">
        <v>3.3388849999999999</v>
      </c>
      <c r="P25">
        <v>3.3924439999999998</v>
      </c>
      <c r="Q25">
        <v>3.4358520000000001</v>
      </c>
      <c r="R25">
        <v>3.4723470000000001</v>
      </c>
      <c r="S25">
        <v>3.5003860000000002</v>
      </c>
      <c r="T25">
        <v>3.5184150000000001</v>
      </c>
      <c r="U25">
        <v>3.5295679999999998</v>
      </c>
      <c r="V25">
        <v>3.5352790000000001</v>
      </c>
      <c r="W25">
        <v>3.5357919999999998</v>
      </c>
      <c r="X25">
        <v>3.5311840000000001</v>
      </c>
      <c r="Y25">
        <v>3.520197</v>
      </c>
      <c r="Z25">
        <v>3.5090979999999998</v>
      </c>
      <c r="AA25">
        <v>3.4950890000000001</v>
      </c>
      <c r="AB25">
        <v>3.479079</v>
      </c>
      <c r="AC25">
        <v>3.4576799999999999</v>
      </c>
      <c r="AD25">
        <v>3.43228</v>
      </c>
      <c r="AE25" s="31">
        <v>2.4E-2</v>
      </c>
    </row>
    <row r="26" spans="1:31">
      <c r="A26" t="s">
        <v>374</v>
      </c>
      <c r="B26" t="s">
        <v>5145</v>
      </c>
      <c r="C26" t="s">
        <v>5144</v>
      </c>
      <c r="D26" t="s">
        <v>387</v>
      </c>
      <c r="E26">
        <v>168.91925000000001</v>
      </c>
      <c r="F26">
        <v>168.698364</v>
      </c>
      <c r="G26">
        <v>167.88732899999999</v>
      </c>
      <c r="H26">
        <v>167.20388800000001</v>
      </c>
      <c r="I26">
        <v>168.17713900000001</v>
      </c>
      <c r="J26">
        <v>170.304565</v>
      </c>
      <c r="K26">
        <v>173.02610799999999</v>
      </c>
      <c r="L26">
        <v>175.648788</v>
      </c>
      <c r="M26">
        <v>177.32856799999999</v>
      </c>
      <c r="N26">
        <v>178.217026</v>
      </c>
      <c r="O26">
        <v>178.44548</v>
      </c>
      <c r="P26">
        <v>177.94096400000001</v>
      </c>
      <c r="Q26">
        <v>177.12936400000001</v>
      </c>
      <c r="R26">
        <v>176.083023</v>
      </c>
      <c r="S26">
        <v>174.579285</v>
      </c>
      <c r="T26">
        <v>172.91241500000001</v>
      </c>
      <c r="U26">
        <v>171.09082000000001</v>
      </c>
      <c r="V26">
        <v>169.11837800000001</v>
      </c>
      <c r="W26">
        <v>167.07167100000001</v>
      </c>
      <c r="X26">
        <v>164.98931899999999</v>
      </c>
      <c r="Y26">
        <v>162.87088</v>
      </c>
      <c r="Z26">
        <v>160.73045300000001</v>
      </c>
      <c r="AA26">
        <v>158.51409899999999</v>
      </c>
      <c r="AB26">
        <v>156.23066700000001</v>
      </c>
      <c r="AC26">
        <v>153.83651699999999</v>
      </c>
      <c r="AD26">
        <v>151.29302999999999</v>
      </c>
      <c r="AE26" s="31">
        <v>-4.0000000000000001E-3</v>
      </c>
    </row>
    <row r="27" spans="1:31" s="1" customFormat="1">
      <c r="A27" s="1" t="s">
        <v>375</v>
      </c>
    </row>
    <row r="28" spans="1:31">
      <c r="A28" t="s">
        <v>362</v>
      </c>
      <c r="B28" t="s">
        <v>5143</v>
      </c>
      <c r="C28" t="s">
        <v>5142</v>
      </c>
      <c r="D28" t="s">
        <v>387</v>
      </c>
      <c r="E28">
        <v>17.296944</v>
      </c>
      <c r="F28">
        <v>14.764518000000001</v>
      </c>
      <c r="G28">
        <v>12.998991999999999</v>
      </c>
      <c r="H28">
        <v>11.457039999999999</v>
      </c>
      <c r="I28">
        <v>10.064844000000001</v>
      </c>
      <c r="J28">
        <v>8.8010359999999999</v>
      </c>
      <c r="K28">
        <v>7.6723160000000004</v>
      </c>
      <c r="L28">
        <v>6.6780140000000001</v>
      </c>
      <c r="M28">
        <v>5.8100550000000002</v>
      </c>
      <c r="N28">
        <v>5.0605960000000003</v>
      </c>
      <c r="O28">
        <v>4.4202969999999997</v>
      </c>
      <c r="P28">
        <v>3.8783159999999999</v>
      </c>
      <c r="Q28">
        <v>3.4259119999999998</v>
      </c>
      <c r="R28">
        <v>3.0538219999999998</v>
      </c>
      <c r="S28">
        <v>2.7440009999999999</v>
      </c>
      <c r="T28">
        <v>2.4838939999999998</v>
      </c>
      <c r="U28">
        <v>2.267417</v>
      </c>
      <c r="V28">
        <v>2.0876549999999998</v>
      </c>
      <c r="W28">
        <v>1.939886</v>
      </c>
      <c r="X28">
        <v>1.8172140000000001</v>
      </c>
      <c r="Y28">
        <v>1.7133929999999999</v>
      </c>
      <c r="Z28">
        <v>1.6252949999999999</v>
      </c>
      <c r="AA28">
        <v>1.5502290000000001</v>
      </c>
      <c r="AB28">
        <v>1.484383</v>
      </c>
      <c r="AC28">
        <v>1.4249719999999999</v>
      </c>
      <c r="AD28">
        <v>1.3713489999999999</v>
      </c>
      <c r="AE28" s="31">
        <v>-9.6000000000000002E-2</v>
      </c>
    </row>
    <row r="29" spans="1:31">
      <c r="A29" t="s">
        <v>1402</v>
      </c>
      <c r="B29" t="s">
        <v>5141</v>
      </c>
      <c r="C29" t="s">
        <v>5140</v>
      </c>
      <c r="D29" t="s">
        <v>387</v>
      </c>
      <c r="E29">
        <v>1.6740000000000001E-2</v>
      </c>
      <c r="F29">
        <v>2.0895E-2</v>
      </c>
      <c r="G29">
        <v>2.4788000000000001E-2</v>
      </c>
      <c r="H29">
        <v>2.8171999999999999E-2</v>
      </c>
      <c r="I29">
        <v>3.1891999999999997E-2</v>
      </c>
      <c r="J29">
        <v>3.6473999999999999E-2</v>
      </c>
      <c r="K29">
        <v>4.1522999999999997E-2</v>
      </c>
      <c r="L29">
        <v>4.7069E-2</v>
      </c>
      <c r="M29">
        <v>5.3018999999999997E-2</v>
      </c>
      <c r="N29">
        <v>5.9102000000000002E-2</v>
      </c>
      <c r="O29">
        <v>6.5460000000000004E-2</v>
      </c>
      <c r="P29">
        <v>7.1761000000000005E-2</v>
      </c>
      <c r="Q29">
        <v>7.8118999999999994E-2</v>
      </c>
      <c r="R29">
        <v>8.4530999999999995E-2</v>
      </c>
      <c r="S29">
        <v>9.0995999999999994E-2</v>
      </c>
      <c r="T29">
        <v>9.7462999999999994E-2</v>
      </c>
      <c r="U29">
        <v>0.103668</v>
      </c>
      <c r="V29">
        <v>0.109651</v>
      </c>
      <c r="W29">
        <v>0.115441</v>
      </c>
      <c r="X29">
        <v>0.121047</v>
      </c>
      <c r="Y29">
        <v>0.12661600000000001</v>
      </c>
      <c r="Z29">
        <v>0.13181499999999999</v>
      </c>
      <c r="AA29">
        <v>0.13680500000000001</v>
      </c>
      <c r="AB29">
        <v>0.14147999999999999</v>
      </c>
      <c r="AC29">
        <v>0.14585300000000001</v>
      </c>
      <c r="AD29">
        <v>0.14973400000000001</v>
      </c>
      <c r="AE29" s="31">
        <v>9.1999999999999998E-2</v>
      </c>
    </row>
    <row r="30" spans="1:31">
      <c r="A30" t="s">
        <v>1400</v>
      </c>
      <c r="B30" t="s">
        <v>5139</v>
      </c>
      <c r="C30" t="s">
        <v>5138</v>
      </c>
      <c r="D30" t="s">
        <v>387</v>
      </c>
      <c r="E30">
        <v>0.53218200000000004</v>
      </c>
      <c r="F30">
        <v>1.3081199999999999</v>
      </c>
      <c r="G30">
        <v>2.4345300000000001</v>
      </c>
      <c r="H30">
        <v>3.6659259999999998</v>
      </c>
      <c r="I30">
        <v>4.7672220000000003</v>
      </c>
      <c r="J30">
        <v>5.488067</v>
      </c>
      <c r="K30">
        <v>5.9544740000000003</v>
      </c>
      <c r="L30">
        <v>6.1994189999999998</v>
      </c>
      <c r="M30">
        <v>6.5614319999999999</v>
      </c>
      <c r="N30">
        <v>7.021039</v>
      </c>
      <c r="O30">
        <v>7.563466</v>
      </c>
      <c r="P30">
        <v>8.1044280000000004</v>
      </c>
      <c r="Q30">
        <v>8.6677549999999997</v>
      </c>
      <c r="R30">
        <v>9.2514920000000007</v>
      </c>
      <c r="S30">
        <v>9.835426</v>
      </c>
      <c r="T30">
        <v>10.426372000000001</v>
      </c>
      <c r="U30">
        <v>11.004276000000001</v>
      </c>
      <c r="V30">
        <v>11.569582</v>
      </c>
      <c r="W30">
        <v>12.1212</v>
      </c>
      <c r="X30">
        <v>12.660157999999999</v>
      </c>
      <c r="Y30">
        <v>13.194995</v>
      </c>
      <c r="Z30">
        <v>13.701971</v>
      </c>
      <c r="AA30">
        <v>14.200227999999999</v>
      </c>
      <c r="AB30">
        <v>14.670595</v>
      </c>
      <c r="AC30">
        <v>15.123021</v>
      </c>
      <c r="AD30">
        <v>15.532781999999999</v>
      </c>
      <c r="AE30" s="31">
        <v>0.14399999999999999</v>
      </c>
    </row>
    <row r="31" spans="1:31">
      <c r="A31" t="s">
        <v>1398</v>
      </c>
      <c r="B31" t="s">
        <v>5137</v>
      </c>
      <c r="C31" t="s">
        <v>5136</v>
      </c>
      <c r="D31" t="s">
        <v>387</v>
      </c>
      <c r="E31">
        <v>2.2525520000000001</v>
      </c>
      <c r="F31">
        <v>3.813396</v>
      </c>
      <c r="G31">
        <v>5.6479229999999996</v>
      </c>
      <c r="H31">
        <v>7.6287919999999998</v>
      </c>
      <c r="I31">
        <v>9.3221399999999992</v>
      </c>
      <c r="J31">
        <v>10.806817000000001</v>
      </c>
      <c r="K31">
        <v>11.812588</v>
      </c>
      <c r="L31">
        <v>12.773016999999999</v>
      </c>
      <c r="M31">
        <v>13.919634</v>
      </c>
      <c r="N31">
        <v>15.213635999999999</v>
      </c>
      <c r="O31">
        <v>16.616240000000001</v>
      </c>
      <c r="P31">
        <v>17.980879000000002</v>
      </c>
      <c r="Q31">
        <v>19.361295999999999</v>
      </c>
      <c r="R31">
        <v>20.754852</v>
      </c>
      <c r="S31">
        <v>22.139523000000001</v>
      </c>
      <c r="T31">
        <v>23.509962000000002</v>
      </c>
      <c r="U31">
        <v>24.815746000000001</v>
      </c>
      <c r="V31">
        <v>26.064253000000001</v>
      </c>
      <c r="W31">
        <v>27.258573999999999</v>
      </c>
      <c r="X31">
        <v>28.403348999999999</v>
      </c>
      <c r="Y31">
        <v>29.523624000000002</v>
      </c>
      <c r="Z31">
        <v>30.562677000000001</v>
      </c>
      <c r="AA31">
        <v>31.561146000000001</v>
      </c>
      <c r="AB31">
        <v>32.485695</v>
      </c>
      <c r="AC31">
        <v>33.349339000000001</v>
      </c>
      <c r="AD31">
        <v>34.106440999999997</v>
      </c>
      <c r="AE31" s="31">
        <v>0.115</v>
      </c>
    </row>
    <row r="32" spans="1:31">
      <c r="A32" t="s">
        <v>1396</v>
      </c>
      <c r="B32" t="s">
        <v>5135</v>
      </c>
      <c r="C32" t="s">
        <v>5134</v>
      </c>
      <c r="D32" t="s">
        <v>387</v>
      </c>
      <c r="E32">
        <v>2.0657860000000001</v>
      </c>
      <c r="F32">
        <v>1.862412</v>
      </c>
      <c r="G32">
        <v>1.795018</v>
      </c>
      <c r="H32">
        <v>1.9327970000000001</v>
      </c>
      <c r="I32">
        <v>2.0793599999999999</v>
      </c>
      <c r="J32">
        <v>2.2394180000000001</v>
      </c>
      <c r="K32">
        <v>2.4202859999999999</v>
      </c>
      <c r="L32">
        <v>2.6063149999999999</v>
      </c>
      <c r="M32">
        <v>2.807439</v>
      </c>
      <c r="N32">
        <v>3.0191940000000002</v>
      </c>
      <c r="O32">
        <v>3.2469459999999999</v>
      </c>
      <c r="P32">
        <v>3.4499300000000002</v>
      </c>
      <c r="Q32">
        <v>3.643313</v>
      </c>
      <c r="R32">
        <v>3.8307699999999998</v>
      </c>
      <c r="S32">
        <v>4.012562</v>
      </c>
      <c r="T32">
        <v>4.1749219999999996</v>
      </c>
      <c r="U32">
        <v>4.3151109999999999</v>
      </c>
      <c r="V32">
        <v>4.4395119999999997</v>
      </c>
      <c r="W32">
        <v>4.5536000000000003</v>
      </c>
      <c r="X32">
        <v>4.6548299999999996</v>
      </c>
      <c r="Y32">
        <v>4.7452290000000001</v>
      </c>
      <c r="Z32">
        <v>4.8218870000000003</v>
      </c>
      <c r="AA32">
        <v>4.8910150000000003</v>
      </c>
      <c r="AB32">
        <v>4.946625</v>
      </c>
      <c r="AC32">
        <v>4.9924179999999998</v>
      </c>
      <c r="AD32">
        <v>5.0208810000000001</v>
      </c>
      <c r="AE32" s="31">
        <v>3.5999999999999997E-2</v>
      </c>
    </row>
    <row r="33" spans="1:31">
      <c r="A33" t="s">
        <v>1393</v>
      </c>
      <c r="B33" t="s">
        <v>5133</v>
      </c>
      <c r="C33" t="s">
        <v>5132</v>
      </c>
      <c r="D33" t="s">
        <v>387</v>
      </c>
      <c r="E33">
        <v>0.35441299999999998</v>
      </c>
      <c r="F33">
        <v>1.111755</v>
      </c>
      <c r="G33">
        <v>2.2391079999999999</v>
      </c>
      <c r="H33">
        <v>3.4980720000000001</v>
      </c>
      <c r="I33">
        <v>3.629696</v>
      </c>
      <c r="J33">
        <v>3.4786060000000001</v>
      </c>
      <c r="K33">
        <v>3.1869960000000002</v>
      </c>
      <c r="L33">
        <v>2.8573300000000001</v>
      </c>
      <c r="M33">
        <v>2.6432509999999998</v>
      </c>
      <c r="N33">
        <v>2.5225230000000001</v>
      </c>
      <c r="O33">
        <v>2.4475980000000002</v>
      </c>
      <c r="P33">
        <v>2.3775849999999998</v>
      </c>
      <c r="Q33">
        <v>2.3157420000000002</v>
      </c>
      <c r="R33">
        <v>2.2622779999999998</v>
      </c>
      <c r="S33">
        <v>2.218045</v>
      </c>
      <c r="T33">
        <v>2.1787580000000002</v>
      </c>
      <c r="U33">
        <v>2.135726</v>
      </c>
      <c r="V33">
        <v>2.0886420000000001</v>
      </c>
      <c r="W33">
        <v>2.038926</v>
      </c>
      <c r="X33">
        <v>1.9878880000000001</v>
      </c>
      <c r="Y33">
        <v>1.940509</v>
      </c>
      <c r="Z33">
        <v>1.8923220000000001</v>
      </c>
      <c r="AA33">
        <v>1.8487899999999999</v>
      </c>
      <c r="AB33">
        <v>1.8083739999999999</v>
      </c>
      <c r="AC33">
        <v>1.7734840000000001</v>
      </c>
      <c r="AD33">
        <v>1.7414700000000001</v>
      </c>
      <c r="AE33" s="31">
        <v>6.6000000000000003E-2</v>
      </c>
    </row>
    <row r="34" spans="1:31">
      <c r="A34" t="s">
        <v>364</v>
      </c>
      <c r="B34" t="s">
        <v>5131</v>
      </c>
      <c r="C34" t="s">
        <v>5130</v>
      </c>
      <c r="D34" t="s">
        <v>387</v>
      </c>
      <c r="E34">
        <v>9.3962810000000001</v>
      </c>
      <c r="F34">
        <v>13.724565999999999</v>
      </c>
      <c r="G34">
        <v>17.591308999999999</v>
      </c>
      <c r="H34">
        <v>21.208586</v>
      </c>
      <c r="I34">
        <v>24.637710999999999</v>
      </c>
      <c r="J34">
        <v>27.933847</v>
      </c>
      <c r="K34">
        <v>30.972721</v>
      </c>
      <c r="L34">
        <v>33.684638999999997</v>
      </c>
      <c r="M34">
        <v>36.163272999999997</v>
      </c>
      <c r="N34">
        <v>38.406624000000001</v>
      </c>
      <c r="O34">
        <v>40.450417000000002</v>
      </c>
      <c r="P34">
        <v>42.204661999999999</v>
      </c>
      <c r="Q34">
        <v>43.815319000000002</v>
      </c>
      <c r="R34">
        <v>45.291004000000001</v>
      </c>
      <c r="S34">
        <v>46.867516000000002</v>
      </c>
      <c r="T34">
        <v>48.284927000000003</v>
      </c>
      <c r="U34">
        <v>49.472735999999998</v>
      </c>
      <c r="V34">
        <v>50.450096000000002</v>
      </c>
      <c r="W34">
        <v>51.305461999999999</v>
      </c>
      <c r="X34">
        <v>52.074863000000001</v>
      </c>
      <c r="Y34">
        <v>52.778255000000001</v>
      </c>
      <c r="Z34">
        <v>53.402828</v>
      </c>
      <c r="AA34">
        <v>53.957889999999999</v>
      </c>
      <c r="AB34">
        <v>54.428584999999998</v>
      </c>
      <c r="AC34">
        <v>54.827736000000002</v>
      </c>
      <c r="AD34">
        <v>55.124062000000002</v>
      </c>
      <c r="AE34" s="31">
        <v>7.2999999999999995E-2</v>
      </c>
    </row>
    <row r="35" spans="1:31">
      <c r="A35" t="s">
        <v>370</v>
      </c>
      <c r="B35" t="s">
        <v>5129</v>
      </c>
      <c r="C35" t="s">
        <v>5128</v>
      </c>
      <c r="D35" t="s">
        <v>387</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117</v>
      </c>
    </row>
    <row r="36" spans="1:31">
      <c r="A36" t="s">
        <v>376</v>
      </c>
      <c r="B36" t="s">
        <v>5127</v>
      </c>
      <c r="C36" t="s">
        <v>5126</v>
      </c>
      <c r="D36" t="s">
        <v>387</v>
      </c>
      <c r="E36">
        <v>32.101089000000002</v>
      </c>
      <c r="F36">
        <v>36.779460999999998</v>
      </c>
      <c r="G36">
        <v>42.894505000000002</v>
      </c>
      <c r="H36">
        <v>49.572166000000003</v>
      </c>
      <c r="I36">
        <v>54.676399000000004</v>
      </c>
      <c r="J36">
        <v>58.919105999999999</v>
      </c>
      <c r="K36">
        <v>62.187522999999999</v>
      </c>
      <c r="L36">
        <v>64.964675999999997</v>
      </c>
      <c r="M36">
        <v>68.069678999999994</v>
      </c>
      <c r="N36">
        <v>71.407425000000003</v>
      </c>
      <c r="O36">
        <v>74.908698999999999</v>
      </c>
      <c r="P36">
        <v>78.159835999999999</v>
      </c>
      <c r="Q36">
        <v>81.394210999999999</v>
      </c>
      <c r="R36">
        <v>84.610320999999999</v>
      </c>
      <c r="S36">
        <v>87.984802000000002</v>
      </c>
      <c r="T36">
        <v>91.228470000000002</v>
      </c>
      <c r="U36">
        <v>94.182570999999996</v>
      </c>
      <c r="V36">
        <v>96.873260000000002</v>
      </c>
      <c r="W36">
        <v>99.393173000000004</v>
      </c>
      <c r="X36">
        <v>101.775879</v>
      </c>
      <c r="Y36">
        <v>104.07579</v>
      </c>
      <c r="Z36">
        <v>106.188812</v>
      </c>
      <c r="AA36">
        <v>108.193161</v>
      </c>
      <c r="AB36">
        <v>110.010002</v>
      </c>
      <c r="AC36">
        <v>111.678467</v>
      </c>
      <c r="AD36">
        <v>113.085892</v>
      </c>
      <c r="AE36" s="31">
        <v>5.1999999999999998E-2</v>
      </c>
    </row>
    <row r="37" spans="1:31">
      <c r="A37" t="s">
        <v>386</v>
      </c>
      <c r="B37" t="s">
        <v>5125</v>
      </c>
      <c r="C37" t="s">
        <v>5124</v>
      </c>
      <c r="D37" t="s">
        <v>387</v>
      </c>
      <c r="E37">
        <v>201.02034</v>
      </c>
      <c r="F37">
        <v>205.47782900000001</v>
      </c>
      <c r="G37">
        <v>210.78183000000001</v>
      </c>
      <c r="H37">
        <v>216.776062</v>
      </c>
      <c r="I37">
        <v>222.85354599999999</v>
      </c>
      <c r="J37">
        <v>229.22366299999999</v>
      </c>
      <c r="K37">
        <v>235.21362300000001</v>
      </c>
      <c r="L37">
        <v>240.61346399999999</v>
      </c>
      <c r="M37">
        <v>245.39825400000001</v>
      </c>
      <c r="N37">
        <v>249.62445099999999</v>
      </c>
      <c r="O37">
        <v>253.354187</v>
      </c>
      <c r="P37">
        <v>256.10079999999999</v>
      </c>
      <c r="Q37">
        <v>258.52355999999997</v>
      </c>
      <c r="R37">
        <v>260.69335899999999</v>
      </c>
      <c r="S37">
        <v>262.56408699999997</v>
      </c>
      <c r="T37">
        <v>264.14086900000001</v>
      </c>
      <c r="U37">
        <v>265.27337599999998</v>
      </c>
      <c r="V37">
        <v>265.99163800000002</v>
      </c>
      <c r="W37">
        <v>266.46484400000003</v>
      </c>
      <c r="X37">
        <v>266.765198</v>
      </c>
      <c r="Y37">
        <v>266.94665500000002</v>
      </c>
      <c r="Z37">
        <v>266.91924999999998</v>
      </c>
      <c r="AA37">
        <v>266.70727499999998</v>
      </c>
      <c r="AB37">
        <v>266.24066199999999</v>
      </c>
      <c r="AC37">
        <v>265.51498400000003</v>
      </c>
      <c r="AD37">
        <v>264.37890599999997</v>
      </c>
      <c r="AE37" s="31">
        <v>1.0999999999999999E-2</v>
      </c>
    </row>
    <row r="38" spans="1:31">
      <c r="A38" t="s">
        <v>300</v>
      </c>
      <c r="B38" t="s">
        <v>5123</v>
      </c>
      <c r="C38" t="s">
        <v>5122</v>
      </c>
      <c r="D38" t="s">
        <v>387</v>
      </c>
      <c r="E38">
        <v>295.73889200000002</v>
      </c>
      <c r="F38">
        <v>296.41497800000002</v>
      </c>
      <c r="G38">
        <v>298.060181</v>
      </c>
      <c r="H38">
        <v>300.80758700000001</v>
      </c>
      <c r="I38">
        <v>304.57034299999998</v>
      </c>
      <c r="J38">
        <v>309.35858200000001</v>
      </c>
      <c r="K38">
        <v>314.162781</v>
      </c>
      <c r="L38">
        <v>318.48092700000001</v>
      </c>
      <c r="M38">
        <v>322.49005099999999</v>
      </c>
      <c r="N38">
        <v>326.011169</v>
      </c>
      <c r="O38">
        <v>329.17550699999998</v>
      </c>
      <c r="P38">
        <v>331.16418499999997</v>
      </c>
      <c r="Q38">
        <v>332.96044899999998</v>
      </c>
      <c r="R38">
        <v>334.622681</v>
      </c>
      <c r="S38">
        <v>336.03771999999998</v>
      </c>
      <c r="T38">
        <v>337.11758400000002</v>
      </c>
      <c r="U38">
        <v>337.70004299999999</v>
      </c>
      <c r="V38">
        <v>337.84283399999998</v>
      </c>
      <c r="W38">
        <v>337.69821200000001</v>
      </c>
      <c r="X38">
        <v>337.360657</v>
      </c>
      <c r="Y38">
        <v>336.93533300000001</v>
      </c>
      <c r="Z38">
        <v>336.294556</v>
      </c>
      <c r="AA38">
        <v>335.54217499999999</v>
      </c>
      <c r="AB38">
        <v>334.50595099999998</v>
      </c>
      <c r="AC38">
        <v>333.18255599999998</v>
      </c>
      <c r="AD38">
        <v>331.32556199999999</v>
      </c>
      <c r="AE38" s="31">
        <v>5.0000000000000001E-3</v>
      </c>
    </row>
    <row r="39" spans="1:31" s="211" customFormat="1">
      <c r="A39" s="210" t="s">
        <v>313</v>
      </c>
      <c r="B39" s="211" t="s">
        <v>5121</v>
      </c>
      <c r="C39" s="211" t="s">
        <v>5120</v>
      </c>
      <c r="D39" s="211" t="s">
        <v>387</v>
      </c>
      <c r="E39" s="211">
        <v>45.668312</v>
      </c>
      <c r="F39" s="211">
        <v>46.357264999999998</v>
      </c>
      <c r="G39" s="211">
        <v>47.821770000000001</v>
      </c>
      <c r="H39" s="211">
        <v>49.201450000000001</v>
      </c>
      <c r="I39" s="211">
        <v>50.608902</v>
      </c>
      <c r="J39" s="211">
        <v>52.265681999999998</v>
      </c>
      <c r="K39" s="211">
        <v>53.900599999999997</v>
      </c>
      <c r="L39" s="211">
        <v>55.446601999999999</v>
      </c>
      <c r="M39" s="211">
        <v>56.751739999999998</v>
      </c>
      <c r="N39" s="211">
        <v>57.897007000000002</v>
      </c>
      <c r="O39" s="211">
        <v>58.775993</v>
      </c>
      <c r="P39" s="211">
        <v>59.366371000000001</v>
      </c>
      <c r="Q39" s="211">
        <v>59.652434999999997</v>
      </c>
      <c r="R39" s="211">
        <v>59.769196000000001</v>
      </c>
      <c r="S39" s="211">
        <v>59.593322999999998</v>
      </c>
      <c r="T39" s="211">
        <v>59.095073999999997</v>
      </c>
      <c r="U39" s="211">
        <v>58.264912000000002</v>
      </c>
      <c r="V39" s="211">
        <v>57.170940000000002</v>
      </c>
      <c r="W39" s="211">
        <v>55.749290000000002</v>
      </c>
      <c r="X39" s="211">
        <v>54.215336000000001</v>
      </c>
      <c r="Y39" s="211">
        <v>52.587597000000002</v>
      </c>
      <c r="Z39" s="211">
        <v>50.900329999999997</v>
      </c>
      <c r="AA39" s="211">
        <v>49.229762999999998</v>
      </c>
      <c r="AB39" s="211">
        <v>47.421149999999997</v>
      </c>
      <c r="AC39" s="211">
        <v>45.628104999999998</v>
      </c>
      <c r="AD39" s="211">
        <v>43.816947999999996</v>
      </c>
      <c r="AE39" s="212">
        <v>-2E-3</v>
      </c>
    </row>
    <row r="40" spans="1:31" s="224" customFormat="1">
      <c r="A40" s="181" t="s">
        <v>327</v>
      </c>
      <c r="B40" s="224" t="s">
        <v>5119</v>
      </c>
      <c r="C40" s="224" t="s">
        <v>5118</v>
      </c>
      <c r="D40" s="224" t="s">
        <v>387</v>
      </c>
      <c r="E40" s="224">
        <v>32.412315</v>
      </c>
      <c r="F40" s="224">
        <v>31.964763999999999</v>
      </c>
      <c r="G40" s="224">
        <v>31.725176000000001</v>
      </c>
      <c r="H40" s="224">
        <v>31.199442000000001</v>
      </c>
      <c r="I40" s="224">
        <v>30.602293</v>
      </c>
      <c r="J40" s="224">
        <v>29.997312999999998</v>
      </c>
      <c r="K40" s="224">
        <v>29.296707000000001</v>
      </c>
      <c r="L40" s="224">
        <v>28.616931999999998</v>
      </c>
      <c r="M40" s="224">
        <v>27.912497999999999</v>
      </c>
      <c r="N40" s="224">
        <v>27.191734</v>
      </c>
      <c r="O40" s="224">
        <v>26.445685999999998</v>
      </c>
      <c r="P40" s="224">
        <v>25.670007999999999</v>
      </c>
      <c r="Q40" s="224">
        <v>24.881304</v>
      </c>
      <c r="R40" s="224">
        <v>24.046313999999999</v>
      </c>
      <c r="S40" s="224">
        <v>23.183928999999999</v>
      </c>
      <c r="T40" s="224">
        <v>22.276710999999999</v>
      </c>
      <c r="U40" s="224">
        <v>21.341470999999999</v>
      </c>
      <c r="V40" s="224">
        <v>20.396567999999998</v>
      </c>
      <c r="W40" s="224">
        <v>19.460270000000001</v>
      </c>
      <c r="X40" s="224">
        <v>18.568922000000001</v>
      </c>
      <c r="Y40" s="224">
        <v>17.698269</v>
      </c>
      <c r="Z40" s="224">
        <v>16.864875999999999</v>
      </c>
      <c r="AA40" s="224">
        <v>16.068259999999999</v>
      </c>
      <c r="AB40" s="224">
        <v>15.288949000000001</v>
      </c>
      <c r="AC40" s="224">
        <v>14.518247000000001</v>
      </c>
      <c r="AD40" s="224">
        <v>13.765950999999999</v>
      </c>
      <c r="AE40" s="225">
        <v>-3.4000000000000002E-2</v>
      </c>
    </row>
    <row r="41" spans="1:31" s="1" customFormat="1">
      <c r="A41" t="s">
        <v>308</v>
      </c>
      <c r="B41" s="1" t="s">
        <v>5117</v>
      </c>
      <c r="C41" s="1" t="s">
        <v>5116</v>
      </c>
      <c r="D41" s="1" t="s">
        <v>387</v>
      </c>
      <c r="E41" s="1">
        <v>1.2999999999999999E-4</v>
      </c>
      <c r="F41" s="1">
        <v>1.6200000000000001E-4</v>
      </c>
      <c r="G41" s="1">
        <v>2.04E-4</v>
      </c>
      <c r="H41" s="1">
        <v>2.4800000000000001E-4</v>
      </c>
      <c r="I41" s="1">
        <v>2.9500000000000001E-4</v>
      </c>
      <c r="J41" s="1">
        <v>3.4299999999999999E-4</v>
      </c>
      <c r="K41" s="1">
        <v>3.9399999999999998E-4</v>
      </c>
      <c r="L41" s="1">
        <v>4.44E-4</v>
      </c>
      <c r="M41" s="1">
        <v>4.9399999999999997E-4</v>
      </c>
      <c r="N41" s="1">
        <v>5.4199999999999995E-4</v>
      </c>
      <c r="O41" s="1">
        <v>5.9100000000000005E-4</v>
      </c>
      <c r="P41" s="1">
        <v>6.3900000000000003E-4</v>
      </c>
      <c r="Q41" s="1">
        <v>6.8499999999999995E-4</v>
      </c>
      <c r="R41" s="1">
        <v>7.2999999999999996E-4</v>
      </c>
      <c r="S41" s="1">
        <v>7.7200000000000001E-4</v>
      </c>
      <c r="T41" s="1">
        <v>8.1300000000000003E-4</v>
      </c>
      <c r="U41" s="1">
        <v>8.5099999999999998E-4</v>
      </c>
      <c r="V41" s="1">
        <v>8.8500000000000004E-4</v>
      </c>
      <c r="W41" s="1">
        <v>9.1500000000000001E-4</v>
      </c>
      <c r="X41" s="1">
        <v>9.3999999999999997E-4</v>
      </c>
      <c r="Y41" s="1">
        <v>9.6500000000000004E-4</v>
      </c>
      <c r="Z41" s="1">
        <v>9.8900000000000008E-4</v>
      </c>
      <c r="AA41" s="1">
        <v>1.01E-3</v>
      </c>
      <c r="AB41" s="1">
        <v>1.0300000000000001E-3</v>
      </c>
      <c r="AC41" s="1">
        <v>1.049E-3</v>
      </c>
      <c r="AD41" s="1">
        <v>1.0679999999999999E-3</v>
      </c>
      <c r="AE41" s="200">
        <v>8.7999999999999995E-2</v>
      </c>
    </row>
    <row r="42" spans="1:31" s="1" customFormat="1">
      <c r="A42" t="s">
        <v>307</v>
      </c>
      <c r="B42" s="1" t="s">
        <v>5115</v>
      </c>
      <c r="C42" s="1" t="s">
        <v>5114</v>
      </c>
      <c r="D42" s="1" t="s">
        <v>387</v>
      </c>
      <c r="E42" s="1">
        <v>9.6806000000000003E-2</v>
      </c>
      <c r="F42" s="1">
        <v>0.13337499999999999</v>
      </c>
      <c r="G42" s="1">
        <v>0.16139800000000001</v>
      </c>
      <c r="H42" s="1">
        <v>0.18407000000000001</v>
      </c>
      <c r="I42" s="1">
        <v>0.19942299999999999</v>
      </c>
      <c r="J42" s="1">
        <v>0.214668</v>
      </c>
      <c r="K42" s="1">
        <v>0.230737</v>
      </c>
      <c r="L42" s="1">
        <v>0.25209700000000002</v>
      </c>
      <c r="M42" s="1">
        <v>0.27643600000000002</v>
      </c>
      <c r="N42" s="1">
        <v>0.30591200000000002</v>
      </c>
      <c r="O42" s="1">
        <v>0.34505599999999997</v>
      </c>
      <c r="P42" s="1">
        <v>0.38989400000000002</v>
      </c>
      <c r="Q42" s="1">
        <v>0.447687</v>
      </c>
      <c r="R42" s="1">
        <v>0.52021499999999998</v>
      </c>
      <c r="S42" s="1">
        <v>0.60428800000000005</v>
      </c>
      <c r="T42" s="1">
        <v>0.70905499999999999</v>
      </c>
      <c r="U42" s="1">
        <v>0.82494000000000001</v>
      </c>
      <c r="V42" s="1">
        <v>0.95457599999999998</v>
      </c>
      <c r="W42" s="1">
        <v>1.094177</v>
      </c>
      <c r="X42" s="1">
        <v>1.245317</v>
      </c>
      <c r="Y42" s="1">
        <v>1.410852</v>
      </c>
      <c r="Z42" s="1">
        <v>1.5939490000000001</v>
      </c>
      <c r="AA42" s="1">
        <v>1.7852859999999999</v>
      </c>
      <c r="AB42" s="1">
        <v>1.9818480000000001</v>
      </c>
      <c r="AC42" s="1">
        <v>2.18215</v>
      </c>
      <c r="AD42" s="1">
        <v>2.3912279999999999</v>
      </c>
      <c r="AE42" s="200">
        <v>0.13700000000000001</v>
      </c>
    </row>
    <row r="43" spans="1:31" s="211" customFormat="1">
      <c r="A43" s="210" t="s">
        <v>378</v>
      </c>
      <c r="B43" s="211" t="s">
        <v>5113</v>
      </c>
      <c r="C43" s="211" t="s">
        <v>5112</v>
      </c>
      <c r="D43" s="211" t="s">
        <v>387</v>
      </c>
      <c r="E43" s="211">
        <v>11.853073999999999</v>
      </c>
      <c r="F43" s="211">
        <v>11.366961</v>
      </c>
      <c r="G43" s="211">
        <v>10.910501</v>
      </c>
      <c r="H43" s="211">
        <v>10.293333000000001</v>
      </c>
      <c r="I43" s="211">
        <v>9.6379160000000006</v>
      </c>
      <c r="J43" s="211">
        <v>8.958888</v>
      </c>
      <c r="K43" s="211">
        <v>8.2078600000000002</v>
      </c>
      <c r="L43" s="211">
        <v>7.4868730000000001</v>
      </c>
      <c r="M43" s="211">
        <v>6.6811090000000002</v>
      </c>
      <c r="N43" s="211">
        <v>5.9732500000000002</v>
      </c>
      <c r="O43" s="211">
        <v>5.2751440000000001</v>
      </c>
      <c r="P43" s="211">
        <v>4.6475499999999998</v>
      </c>
      <c r="Q43" s="211">
        <v>4.1049889999999998</v>
      </c>
      <c r="R43" s="211">
        <v>3.6560220000000001</v>
      </c>
      <c r="S43" s="211">
        <v>3.2610459999999999</v>
      </c>
      <c r="T43" s="211">
        <v>2.9248989999999999</v>
      </c>
      <c r="U43" s="211">
        <v>2.624898</v>
      </c>
      <c r="V43" s="211">
        <v>2.4160499999999998</v>
      </c>
      <c r="W43" s="211">
        <v>2.2309199999999998</v>
      </c>
      <c r="X43" s="211">
        <v>2.0466850000000001</v>
      </c>
      <c r="Y43" s="211">
        <v>1.9097980000000001</v>
      </c>
      <c r="Z43" s="211">
        <v>1.752048</v>
      </c>
      <c r="AA43" s="211">
        <v>1.607774</v>
      </c>
      <c r="AB43" s="211">
        <v>1.4493100000000001</v>
      </c>
      <c r="AC43" s="211">
        <v>1.2856019999999999</v>
      </c>
      <c r="AD43" s="211">
        <v>1.12114</v>
      </c>
      <c r="AE43" s="212">
        <v>-0.09</v>
      </c>
    </row>
    <row r="44" spans="1:31" s="1" customFormat="1">
      <c r="A44" t="s">
        <v>379</v>
      </c>
      <c r="B44" s="1" t="s">
        <v>5111</v>
      </c>
      <c r="C44" s="1" t="s">
        <v>5110</v>
      </c>
      <c r="D44" s="1" t="s">
        <v>387</v>
      </c>
      <c r="E44" s="1">
        <v>1.3474390000000001</v>
      </c>
      <c r="F44" s="1">
        <v>1.901772</v>
      </c>
      <c r="G44" s="1">
        <v>2.4978120000000001</v>
      </c>
      <c r="H44" s="1">
        <v>3.0878030000000001</v>
      </c>
      <c r="I44" s="1">
        <v>3.6859540000000002</v>
      </c>
      <c r="J44" s="1">
        <v>4.2954939999999997</v>
      </c>
      <c r="K44" s="1">
        <v>4.9019240000000002</v>
      </c>
      <c r="L44" s="1">
        <v>5.5046210000000002</v>
      </c>
      <c r="M44" s="1">
        <v>6.0878379999999996</v>
      </c>
      <c r="N44" s="1">
        <v>6.6608349999999996</v>
      </c>
      <c r="O44" s="1">
        <v>7.2249759999999998</v>
      </c>
      <c r="P44" s="1">
        <v>7.7656689999999999</v>
      </c>
      <c r="Q44" s="1">
        <v>8.2985559999999996</v>
      </c>
      <c r="R44" s="1">
        <v>8.8137810000000005</v>
      </c>
      <c r="S44" s="1">
        <v>9.2997530000000008</v>
      </c>
      <c r="T44" s="1">
        <v>9.7925749999999994</v>
      </c>
      <c r="U44" s="1">
        <v>10.228865000000001</v>
      </c>
      <c r="V44" s="1">
        <v>10.568204</v>
      </c>
      <c r="W44" s="1">
        <v>10.84966</v>
      </c>
      <c r="X44" s="1">
        <v>11.118406</v>
      </c>
      <c r="Y44" s="1">
        <v>11.402348999999999</v>
      </c>
      <c r="Z44" s="1">
        <v>11.707549</v>
      </c>
      <c r="AA44" s="1">
        <v>12.009741999999999</v>
      </c>
      <c r="AB44" s="1">
        <v>12.305374</v>
      </c>
      <c r="AC44" s="1">
        <v>12.649692</v>
      </c>
      <c r="AD44" s="1">
        <v>13.06096</v>
      </c>
      <c r="AE44" s="200">
        <v>9.5000000000000001E-2</v>
      </c>
    </row>
    <row r="45" spans="1:31" s="1" customFormat="1">
      <c r="A45" t="s">
        <v>380</v>
      </c>
      <c r="B45" s="1" t="s">
        <v>5109</v>
      </c>
      <c r="C45" s="1" t="s">
        <v>5108</v>
      </c>
      <c r="D45" s="1" t="s">
        <v>387</v>
      </c>
      <c r="E45" s="1">
        <v>0</v>
      </c>
      <c r="F45" s="1">
        <v>0</v>
      </c>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c r="Z45" s="1">
        <v>0</v>
      </c>
      <c r="AA45" s="1">
        <v>0</v>
      </c>
      <c r="AB45" s="1">
        <v>0</v>
      </c>
      <c r="AC45" s="1">
        <v>0</v>
      </c>
      <c r="AD45" s="1">
        <v>0</v>
      </c>
      <c r="AE45" s="200" t="s">
        <v>117</v>
      </c>
    </row>
    <row r="46" spans="1:31" s="1" customFormat="1">
      <c r="A46" t="s">
        <v>381</v>
      </c>
      <c r="B46" s="1" t="s">
        <v>5107</v>
      </c>
      <c r="C46" s="1" t="s">
        <v>5106</v>
      </c>
      <c r="D46" s="1" t="s">
        <v>387</v>
      </c>
      <c r="E46" s="1">
        <v>0</v>
      </c>
      <c r="F46" s="1">
        <v>0</v>
      </c>
      <c r="G46" s="1">
        <v>0</v>
      </c>
      <c r="H46" s="1">
        <v>0</v>
      </c>
      <c r="I46" s="1">
        <v>0</v>
      </c>
      <c r="J46" s="1">
        <v>0</v>
      </c>
      <c r="K46" s="1">
        <v>0</v>
      </c>
      <c r="L46" s="1">
        <v>0</v>
      </c>
      <c r="M46" s="1">
        <v>0</v>
      </c>
      <c r="N46" s="1">
        <v>0</v>
      </c>
      <c r="O46" s="1">
        <v>0</v>
      </c>
      <c r="P46" s="1">
        <v>0</v>
      </c>
      <c r="Q46" s="1">
        <v>0</v>
      </c>
      <c r="R46" s="1">
        <v>0</v>
      </c>
      <c r="S46" s="1">
        <v>0</v>
      </c>
      <c r="T46" s="1">
        <v>0</v>
      </c>
      <c r="U46" s="1">
        <v>0</v>
      </c>
      <c r="V46" s="1">
        <v>0</v>
      </c>
      <c r="W46" s="1">
        <v>0</v>
      </c>
      <c r="X46" s="1">
        <v>0</v>
      </c>
      <c r="Y46" s="1">
        <v>0</v>
      </c>
      <c r="Z46" s="1">
        <v>0</v>
      </c>
      <c r="AA46" s="1">
        <v>0</v>
      </c>
      <c r="AB46" s="1">
        <v>0</v>
      </c>
      <c r="AC46" s="1">
        <v>0</v>
      </c>
      <c r="AD46" s="1">
        <v>0</v>
      </c>
      <c r="AE46" s="1" t="s">
        <v>117</v>
      </c>
    </row>
    <row r="47" spans="1:31" s="1" customFormat="1">
      <c r="A47" s="1" t="s">
        <v>382</v>
      </c>
      <c r="B47" s="1" t="s">
        <v>5105</v>
      </c>
      <c r="C47" s="1" t="s">
        <v>5104</v>
      </c>
      <c r="D47" s="1" t="s">
        <v>387</v>
      </c>
      <c r="E47" s="1">
        <v>0</v>
      </c>
      <c r="F47" s="1">
        <v>0</v>
      </c>
      <c r="G47" s="1">
        <v>0</v>
      </c>
      <c r="H47" s="1">
        <v>0</v>
      </c>
      <c r="I47" s="1">
        <v>0</v>
      </c>
      <c r="J47" s="1">
        <v>0</v>
      </c>
      <c r="K47" s="1">
        <v>0</v>
      </c>
      <c r="L47" s="1">
        <v>0</v>
      </c>
      <c r="M47" s="1">
        <v>0</v>
      </c>
      <c r="N47" s="1">
        <v>0</v>
      </c>
      <c r="O47" s="1">
        <v>0</v>
      </c>
      <c r="P47" s="1">
        <v>0</v>
      </c>
      <c r="Q47" s="1">
        <v>0</v>
      </c>
      <c r="R47" s="1">
        <v>0</v>
      </c>
      <c r="S47" s="1">
        <v>0</v>
      </c>
      <c r="T47" s="1">
        <v>0</v>
      </c>
      <c r="U47" s="1">
        <v>0</v>
      </c>
      <c r="V47" s="1">
        <v>0</v>
      </c>
      <c r="W47" s="1">
        <v>0</v>
      </c>
      <c r="X47" s="1">
        <v>0</v>
      </c>
      <c r="Y47" s="1">
        <v>0</v>
      </c>
      <c r="Z47" s="1">
        <v>0</v>
      </c>
      <c r="AA47" s="1">
        <v>0</v>
      </c>
      <c r="AB47" s="1">
        <v>0</v>
      </c>
      <c r="AC47" s="1">
        <v>0</v>
      </c>
      <c r="AD47" s="1">
        <v>0</v>
      </c>
      <c r="AE47" s="1" t="s">
        <v>117</v>
      </c>
    </row>
    <row r="48" spans="1:31" s="1" customFormat="1">
      <c r="A48" s="1" t="s">
        <v>3288</v>
      </c>
      <c r="B48" s="1" t="s">
        <v>5103</v>
      </c>
      <c r="C48" s="1" t="s">
        <v>5102</v>
      </c>
      <c r="D48" s="1" t="s">
        <v>387</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c r="AD48" s="1">
        <v>0</v>
      </c>
      <c r="AE48" s="1" t="s">
        <v>117</v>
      </c>
    </row>
    <row r="49" spans="1:31" s="211" customFormat="1">
      <c r="A49" s="210" t="s">
        <v>3285</v>
      </c>
      <c r="B49" s="211" t="s">
        <v>5101</v>
      </c>
      <c r="C49" s="211" t="s">
        <v>5100</v>
      </c>
      <c r="D49" s="211" t="s">
        <v>387</v>
      </c>
      <c r="E49" s="211">
        <v>2.0056999999999998E-2</v>
      </c>
      <c r="F49" s="211">
        <v>5.4696000000000002E-2</v>
      </c>
      <c r="G49" s="211">
        <v>0.104488</v>
      </c>
      <c r="H49" s="211">
        <v>0.173875</v>
      </c>
      <c r="I49" s="211">
        <v>0.27503499999999997</v>
      </c>
      <c r="J49" s="211">
        <v>0.43381799999999998</v>
      </c>
      <c r="K49" s="211">
        <v>0.65872200000000003</v>
      </c>
      <c r="L49" s="211">
        <v>1.0080100000000001</v>
      </c>
      <c r="M49" s="211">
        <v>1.5284869999999999</v>
      </c>
      <c r="N49" s="211">
        <v>2.2142390000000001</v>
      </c>
      <c r="O49" s="211">
        <v>3.2344349999999999</v>
      </c>
      <c r="P49" s="211">
        <v>4.5384260000000003</v>
      </c>
      <c r="Q49" s="211">
        <v>6.1679190000000004</v>
      </c>
      <c r="R49" s="211">
        <v>8.0348419999999994</v>
      </c>
      <c r="S49" s="211">
        <v>10.154251</v>
      </c>
      <c r="T49" s="211">
        <v>12.487011000000001</v>
      </c>
      <c r="U49" s="211">
        <v>15.073817999999999</v>
      </c>
      <c r="V49" s="211">
        <v>17.865134999999999</v>
      </c>
      <c r="W49" s="211">
        <v>20.622091000000001</v>
      </c>
      <c r="X49" s="211">
        <v>23.400600000000001</v>
      </c>
      <c r="Y49" s="211">
        <v>26.256392999999999</v>
      </c>
      <c r="Z49" s="211">
        <v>29.085794</v>
      </c>
      <c r="AA49" s="211">
        <v>31.802050000000001</v>
      </c>
      <c r="AB49" s="211">
        <v>34.500720999999999</v>
      </c>
      <c r="AC49" s="211">
        <v>37.228282999999998</v>
      </c>
      <c r="AD49" s="211">
        <v>39.879288000000003</v>
      </c>
      <c r="AE49" s="212">
        <v>0.35499999999999998</v>
      </c>
    </row>
    <row r="50" spans="1:31" s="1" customFormat="1">
      <c r="A50" s="1" t="s">
        <v>3282</v>
      </c>
      <c r="B50" s="1" t="s">
        <v>5099</v>
      </c>
      <c r="C50" s="1" t="s">
        <v>5098</v>
      </c>
      <c r="D50" s="1" t="s">
        <v>387</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c r="Z50" s="1">
        <v>0</v>
      </c>
      <c r="AA50" s="1">
        <v>0</v>
      </c>
      <c r="AB50" s="1">
        <v>0</v>
      </c>
      <c r="AC50" s="1">
        <v>0</v>
      </c>
      <c r="AD50" s="1">
        <v>0</v>
      </c>
      <c r="AE50" s="1" t="s">
        <v>117</v>
      </c>
    </row>
    <row r="51" spans="1:31" s="1" customFormat="1">
      <c r="A51" s="1" t="s">
        <v>383</v>
      </c>
      <c r="B51" s="1" t="s">
        <v>5097</v>
      </c>
      <c r="C51" s="1" t="s">
        <v>5096</v>
      </c>
      <c r="D51" s="1" t="s">
        <v>387</v>
      </c>
      <c r="E51" s="1">
        <v>91.398139999999998</v>
      </c>
      <c r="F51" s="1">
        <v>91.778992000000002</v>
      </c>
      <c r="G51" s="1">
        <v>93.221351999999996</v>
      </c>
      <c r="H51" s="1">
        <v>94.140213000000003</v>
      </c>
      <c r="I51" s="1">
        <v>95.009818999999993</v>
      </c>
      <c r="J51" s="1">
        <v>96.166199000000006</v>
      </c>
      <c r="K51" s="1">
        <v>97.196952999999993</v>
      </c>
      <c r="L51" s="1">
        <v>98.315582000000006</v>
      </c>
      <c r="M51" s="1">
        <v>99.238602</v>
      </c>
      <c r="N51" s="1">
        <v>100.243523</v>
      </c>
      <c r="O51" s="1">
        <v>101.30188</v>
      </c>
      <c r="P51" s="1">
        <v>102.378563</v>
      </c>
      <c r="Q51" s="1">
        <v>103.553574</v>
      </c>
      <c r="R51" s="1">
        <v>104.841103</v>
      </c>
      <c r="S51" s="1">
        <v>106.097359</v>
      </c>
      <c r="T51" s="1">
        <v>107.28613300000001</v>
      </c>
      <c r="U51" s="1">
        <v>108.359756</v>
      </c>
      <c r="V51" s="1">
        <v>109.37236</v>
      </c>
      <c r="W51" s="1">
        <v>110.00733200000001</v>
      </c>
      <c r="X51" s="1">
        <v>110.59620700000001</v>
      </c>
      <c r="Y51" s="1">
        <v>111.266228</v>
      </c>
      <c r="Z51" s="1">
        <v>111.90553300000001</v>
      </c>
      <c r="AA51" s="1">
        <v>112.50387600000001</v>
      </c>
      <c r="AB51" s="1">
        <v>112.94838</v>
      </c>
      <c r="AC51" s="1">
        <v>113.493134</v>
      </c>
      <c r="AD51" s="1">
        <v>114.03658299999999</v>
      </c>
      <c r="AE51" s="200">
        <v>8.9999999999999993E-3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DE98-41E2-4D64-B7B1-A79077D2A6EA}">
  <dimension ref="A1:AE309"/>
  <sheetViews>
    <sheetView topLeftCell="A49" workbookViewId="0"/>
  </sheetViews>
  <sheetFormatPr defaultRowHeight="15"/>
  <cols>
    <col min="1" max="1" width="22.5703125" customWidth="1"/>
    <col min="2" max="2" width="29.7109375" customWidth="1"/>
    <col min="3" max="3" width="88" hidden="1" customWidth="1"/>
    <col min="4" max="4" width="9.28515625" customWidth="1"/>
    <col min="5" max="5" width="9.85546875" customWidth="1"/>
  </cols>
  <sheetData>
    <row r="1" spans="1:31">
      <c r="A1" t="s">
        <v>388</v>
      </c>
    </row>
    <row r="2" spans="1:31">
      <c r="A2" t="s">
        <v>4824</v>
      </c>
    </row>
    <row r="3" spans="1:31">
      <c r="A3" t="s">
        <v>4823</v>
      </c>
    </row>
    <row r="4" spans="1:31">
      <c r="A4" t="s">
        <v>302</v>
      </c>
    </row>
    <row r="5" spans="1:31">
      <c r="B5" t="s">
        <v>303</v>
      </c>
      <c r="C5" t="s">
        <v>351</v>
      </c>
      <c r="D5" t="s">
        <v>352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4196</v>
      </c>
    </row>
    <row r="6" spans="1:31">
      <c r="A6" t="s">
        <v>216</v>
      </c>
    </row>
    <row r="7" spans="1:31">
      <c r="A7" t="s">
        <v>389</v>
      </c>
    </row>
    <row r="8" spans="1:31">
      <c r="A8" t="s">
        <v>341</v>
      </c>
    </row>
    <row r="9" spans="1:31">
      <c r="A9" t="s">
        <v>327</v>
      </c>
      <c r="B9" t="s">
        <v>4822</v>
      </c>
      <c r="C9" t="s">
        <v>4821</v>
      </c>
      <c r="D9" t="s">
        <v>387</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s="31">
        <v>-2.1999999999999999E-2</v>
      </c>
    </row>
    <row r="10" spans="1:31" s="181" customFormat="1">
      <c r="A10" s="181" t="s">
        <v>313</v>
      </c>
      <c r="B10" s="181" t="s">
        <v>4820</v>
      </c>
      <c r="C10" s="181" t="s">
        <v>4819</v>
      </c>
      <c r="D10" s="181" t="s">
        <v>387</v>
      </c>
      <c r="E10" s="181">
        <v>27.328077</v>
      </c>
      <c r="F10" s="181">
        <v>28.272638000000001</v>
      </c>
      <c r="G10" s="181">
        <v>29.206049</v>
      </c>
      <c r="H10" s="181">
        <v>30.198536000000001</v>
      </c>
      <c r="I10" s="181">
        <v>31.257954000000002</v>
      </c>
      <c r="J10" s="181">
        <v>32.472884999999998</v>
      </c>
      <c r="K10" s="181">
        <v>33.565792000000002</v>
      </c>
      <c r="L10" s="181">
        <v>34.629910000000002</v>
      </c>
      <c r="M10" s="181">
        <v>35.530155000000001</v>
      </c>
      <c r="N10" s="181">
        <v>36.361716999999999</v>
      </c>
      <c r="O10" s="181">
        <v>37.028927000000003</v>
      </c>
      <c r="P10" s="181">
        <v>37.488135999999997</v>
      </c>
      <c r="Q10" s="181">
        <v>37.843646999999997</v>
      </c>
      <c r="R10" s="181">
        <v>38.147227999999998</v>
      </c>
      <c r="S10" s="181">
        <v>38.407978</v>
      </c>
      <c r="T10" s="181">
        <v>38.634765999999999</v>
      </c>
      <c r="U10" s="181">
        <v>38.685001</v>
      </c>
      <c r="V10" s="181">
        <v>38.508476000000002</v>
      </c>
      <c r="W10" s="181">
        <v>38.076014999999998</v>
      </c>
      <c r="X10" s="181">
        <v>37.432986999999997</v>
      </c>
      <c r="Y10" s="181">
        <v>36.696804</v>
      </c>
      <c r="Z10" s="181">
        <v>35.933998000000003</v>
      </c>
      <c r="AA10" s="181">
        <v>35.163811000000003</v>
      </c>
      <c r="AB10" s="181">
        <v>34.305832000000002</v>
      </c>
      <c r="AC10" s="181">
        <v>33.493918999999998</v>
      </c>
      <c r="AD10" s="181">
        <v>32.678134999999997</v>
      </c>
      <c r="AE10" s="188">
        <v>7.0000000000000001E-3</v>
      </c>
    </row>
    <row r="11" spans="1:31">
      <c r="A11" t="s">
        <v>308</v>
      </c>
      <c r="B11" t="s">
        <v>4818</v>
      </c>
      <c r="C11" t="s">
        <v>4817</v>
      </c>
      <c r="D11" t="s">
        <v>387</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s="31">
        <v>2.5999999999999999E-2</v>
      </c>
    </row>
    <row r="12" spans="1:31">
      <c r="A12" t="s">
        <v>307</v>
      </c>
      <c r="B12" t="s">
        <v>4816</v>
      </c>
      <c r="C12" t="s">
        <v>4815</v>
      </c>
      <c r="D12" t="s">
        <v>387</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s="31">
        <v>9.7000000000000003E-2</v>
      </c>
    </row>
    <row r="13" spans="1:31" s="181" customFormat="1">
      <c r="A13" s="181" t="s">
        <v>378</v>
      </c>
      <c r="B13" s="181" t="s">
        <v>4814</v>
      </c>
      <c r="C13" s="181" t="s">
        <v>4813</v>
      </c>
      <c r="D13" s="181" t="s">
        <v>387</v>
      </c>
      <c r="E13" s="181">
        <v>2.7343039999999998</v>
      </c>
      <c r="F13" s="181">
        <v>2.4784830000000002</v>
      </c>
      <c r="G13" s="181">
        <v>2.2343510000000002</v>
      </c>
      <c r="H13" s="181">
        <v>2.0132509999999999</v>
      </c>
      <c r="I13" s="181">
        <v>1.81403</v>
      </c>
      <c r="J13" s="181">
        <v>1.6366449999999999</v>
      </c>
      <c r="K13" s="181">
        <v>1.472175</v>
      </c>
      <c r="L13" s="181">
        <v>1.3237030000000001</v>
      </c>
      <c r="M13" s="181">
        <v>1.1870419999999999</v>
      </c>
      <c r="N13" s="181">
        <v>1.0674490000000001</v>
      </c>
      <c r="O13" s="181">
        <v>0.95843500000000004</v>
      </c>
      <c r="P13" s="181">
        <v>0.85985999999999996</v>
      </c>
      <c r="Q13" s="181">
        <v>0.76878999999999997</v>
      </c>
      <c r="R13" s="181">
        <v>0.688141</v>
      </c>
      <c r="S13" s="181">
        <v>0.61310200000000004</v>
      </c>
      <c r="T13" s="181">
        <v>0.54715899999999995</v>
      </c>
      <c r="U13" s="181">
        <v>0.49035299999999998</v>
      </c>
      <c r="V13" s="181">
        <v>0.43975999999999998</v>
      </c>
      <c r="W13" s="181">
        <v>0.39577800000000002</v>
      </c>
      <c r="X13" s="181">
        <v>0.35375499999999999</v>
      </c>
      <c r="Y13" s="181">
        <v>0.311554</v>
      </c>
      <c r="Z13" s="181">
        <v>0.27208399999999999</v>
      </c>
      <c r="AA13" s="181">
        <v>0.236563</v>
      </c>
      <c r="AB13" s="181">
        <v>0.19941500000000001</v>
      </c>
      <c r="AC13" s="181">
        <v>0.163905</v>
      </c>
      <c r="AD13" s="181">
        <v>0.13014300000000001</v>
      </c>
      <c r="AE13" s="188">
        <v>-0.115</v>
      </c>
    </row>
    <row r="14" spans="1:31">
      <c r="A14" t="s">
        <v>379</v>
      </c>
      <c r="B14" t="s">
        <v>4812</v>
      </c>
      <c r="C14" t="s">
        <v>4811</v>
      </c>
      <c r="D14" t="s">
        <v>387</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s="31">
        <v>0.192</v>
      </c>
    </row>
    <row r="15" spans="1:31">
      <c r="A15" t="s">
        <v>381</v>
      </c>
      <c r="B15" t="s">
        <v>4810</v>
      </c>
      <c r="C15" t="s">
        <v>4809</v>
      </c>
      <c r="D15" t="s">
        <v>387</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117</v>
      </c>
    </row>
    <row r="16" spans="1:31">
      <c r="A16" t="s">
        <v>380</v>
      </c>
      <c r="B16" t="s">
        <v>4808</v>
      </c>
      <c r="C16" t="s">
        <v>4807</v>
      </c>
      <c r="D16" t="s">
        <v>387</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117</v>
      </c>
    </row>
    <row r="17" spans="1:31" s="213" customFormat="1">
      <c r="A17" s="213" t="s">
        <v>382</v>
      </c>
      <c r="B17" s="213" t="s">
        <v>4806</v>
      </c>
      <c r="C17" s="213" t="s">
        <v>4805</v>
      </c>
      <c r="D17" s="213" t="s">
        <v>387</v>
      </c>
      <c r="E17" s="213">
        <v>0</v>
      </c>
      <c r="F17" s="213">
        <v>0</v>
      </c>
      <c r="G17" s="213">
        <v>0</v>
      </c>
      <c r="H17" s="213">
        <v>0</v>
      </c>
      <c r="I17" s="213">
        <v>0</v>
      </c>
      <c r="J17" s="213">
        <v>0</v>
      </c>
      <c r="K17" s="213">
        <v>0</v>
      </c>
      <c r="L17" s="213">
        <v>0</v>
      </c>
      <c r="M17" s="213">
        <v>0</v>
      </c>
      <c r="N17" s="213">
        <v>0</v>
      </c>
      <c r="O17" s="213">
        <v>0</v>
      </c>
      <c r="P17" s="213">
        <v>0</v>
      </c>
      <c r="Q17" s="213">
        <v>0</v>
      </c>
      <c r="R17" s="213">
        <v>0</v>
      </c>
      <c r="S17" s="213">
        <v>0</v>
      </c>
      <c r="T17" s="213">
        <v>0</v>
      </c>
      <c r="U17" s="213">
        <v>0</v>
      </c>
      <c r="V17" s="213">
        <v>0</v>
      </c>
      <c r="W17" s="213">
        <v>0</v>
      </c>
      <c r="X17" s="213">
        <v>0</v>
      </c>
      <c r="Y17" s="213">
        <v>0</v>
      </c>
      <c r="Z17" s="213">
        <v>0</v>
      </c>
      <c r="AA17" s="213">
        <v>0</v>
      </c>
      <c r="AB17" s="213">
        <v>0</v>
      </c>
      <c r="AC17" s="213">
        <v>0</v>
      </c>
      <c r="AD17" s="213">
        <v>0</v>
      </c>
      <c r="AE17" s="213" t="s">
        <v>117</v>
      </c>
    </row>
    <row r="18" spans="1:31" s="213" customFormat="1">
      <c r="A18" s="213" t="s">
        <v>3288</v>
      </c>
      <c r="B18" s="213" t="s">
        <v>4804</v>
      </c>
      <c r="C18" s="213" t="s">
        <v>4803</v>
      </c>
      <c r="D18" s="213" t="s">
        <v>387</v>
      </c>
      <c r="E18" s="213">
        <v>0</v>
      </c>
      <c r="F18" s="213">
        <v>0</v>
      </c>
      <c r="G18" s="213">
        <v>0</v>
      </c>
      <c r="H18" s="213">
        <v>0</v>
      </c>
      <c r="I18" s="213">
        <v>0</v>
      </c>
      <c r="J18" s="213">
        <v>0</v>
      </c>
      <c r="K18" s="213">
        <v>0</v>
      </c>
      <c r="L18" s="213">
        <v>0</v>
      </c>
      <c r="M18" s="213">
        <v>0</v>
      </c>
      <c r="N18" s="213">
        <v>0</v>
      </c>
      <c r="O18" s="213">
        <v>0</v>
      </c>
      <c r="P18" s="213">
        <v>0</v>
      </c>
      <c r="Q18" s="213">
        <v>0</v>
      </c>
      <c r="R18" s="213">
        <v>0</v>
      </c>
      <c r="S18" s="213">
        <v>0</v>
      </c>
      <c r="T18" s="213">
        <v>0</v>
      </c>
      <c r="U18" s="213">
        <v>0</v>
      </c>
      <c r="V18" s="213">
        <v>0</v>
      </c>
      <c r="W18" s="213">
        <v>0</v>
      </c>
      <c r="X18" s="213">
        <v>0</v>
      </c>
      <c r="Y18" s="213">
        <v>0</v>
      </c>
      <c r="Z18" s="213">
        <v>0</v>
      </c>
      <c r="AA18" s="213">
        <v>0</v>
      </c>
      <c r="AB18" s="213">
        <v>0</v>
      </c>
      <c r="AC18" s="213">
        <v>0</v>
      </c>
      <c r="AD18" s="213">
        <v>0</v>
      </c>
      <c r="AE18" s="213" t="s">
        <v>117</v>
      </c>
    </row>
    <row r="19" spans="1:31" s="181" customFormat="1">
      <c r="A19" s="181" t="s">
        <v>3285</v>
      </c>
      <c r="B19" s="181" t="s">
        <v>4802</v>
      </c>
      <c r="C19" s="181" t="s">
        <v>4801</v>
      </c>
      <c r="D19" s="181" t="s">
        <v>387</v>
      </c>
      <c r="E19" s="181">
        <v>9.7702999999999998E-2</v>
      </c>
      <c r="F19" s="181">
        <v>0.26397500000000002</v>
      </c>
      <c r="G19" s="181">
        <v>0.48310999999999998</v>
      </c>
      <c r="H19" s="181">
        <v>0.75416000000000005</v>
      </c>
      <c r="I19" s="181">
        <v>1.1008020000000001</v>
      </c>
      <c r="J19" s="181">
        <v>1.58399</v>
      </c>
      <c r="K19" s="181">
        <v>2.203856</v>
      </c>
      <c r="L19" s="181">
        <v>2.9952920000000001</v>
      </c>
      <c r="M19" s="181">
        <v>4.0117510000000003</v>
      </c>
      <c r="N19" s="181">
        <v>5.2986370000000003</v>
      </c>
      <c r="O19" s="181">
        <v>6.892163</v>
      </c>
      <c r="P19" s="181">
        <v>8.8374550000000003</v>
      </c>
      <c r="Q19" s="181">
        <v>11.058460999999999</v>
      </c>
      <c r="R19" s="181">
        <v>13.483864000000001</v>
      </c>
      <c r="S19" s="181">
        <v>16.040925999999999</v>
      </c>
      <c r="T19" s="181">
        <v>18.654706999999998</v>
      </c>
      <c r="U19" s="181">
        <v>21.234294999999999</v>
      </c>
      <c r="V19" s="181">
        <v>23.733827999999999</v>
      </c>
      <c r="W19" s="181">
        <v>26.101175000000001</v>
      </c>
      <c r="X19" s="181">
        <v>28.37425</v>
      </c>
      <c r="Y19" s="181">
        <v>30.614744000000002</v>
      </c>
      <c r="Z19" s="181">
        <v>32.802284</v>
      </c>
      <c r="AA19" s="181">
        <v>34.960982999999999</v>
      </c>
      <c r="AB19" s="181">
        <v>37.017426</v>
      </c>
      <c r="AC19" s="181">
        <v>38.974670000000003</v>
      </c>
      <c r="AD19" s="181">
        <v>40.763081</v>
      </c>
      <c r="AE19" s="188">
        <v>0.27300000000000002</v>
      </c>
    </row>
    <row r="20" spans="1:31" s="213" customFormat="1">
      <c r="A20" s="213" t="s">
        <v>3282</v>
      </c>
      <c r="B20" s="213" t="s">
        <v>4800</v>
      </c>
      <c r="C20" s="213" t="s">
        <v>4799</v>
      </c>
      <c r="D20" s="213" t="s">
        <v>387</v>
      </c>
      <c r="E20" s="213">
        <v>0</v>
      </c>
      <c r="F20" s="213">
        <v>0</v>
      </c>
      <c r="G20" s="213">
        <v>0</v>
      </c>
      <c r="H20" s="213">
        <v>0</v>
      </c>
      <c r="I20" s="213">
        <v>0</v>
      </c>
      <c r="J20" s="213">
        <v>0</v>
      </c>
      <c r="K20" s="213">
        <v>0</v>
      </c>
      <c r="L20" s="213">
        <v>0</v>
      </c>
      <c r="M20" s="213">
        <v>0</v>
      </c>
      <c r="N20" s="213">
        <v>0</v>
      </c>
      <c r="O20" s="213">
        <v>0</v>
      </c>
      <c r="P20" s="213">
        <v>0</v>
      </c>
      <c r="Q20" s="213">
        <v>0</v>
      </c>
      <c r="R20" s="213">
        <v>0</v>
      </c>
      <c r="S20" s="213">
        <v>0</v>
      </c>
      <c r="T20" s="213">
        <v>0</v>
      </c>
      <c r="U20" s="213">
        <v>0</v>
      </c>
      <c r="V20" s="213">
        <v>0</v>
      </c>
      <c r="W20" s="213">
        <v>0</v>
      </c>
      <c r="X20" s="213">
        <v>0</v>
      </c>
      <c r="Y20" s="213">
        <v>0</v>
      </c>
      <c r="Z20" s="213">
        <v>0</v>
      </c>
      <c r="AA20" s="213">
        <v>0</v>
      </c>
      <c r="AB20" s="213">
        <v>0</v>
      </c>
      <c r="AC20" s="213">
        <v>0</v>
      </c>
      <c r="AD20" s="213">
        <v>0</v>
      </c>
      <c r="AE20" s="213" t="s">
        <v>117</v>
      </c>
    </row>
    <row r="21" spans="1:31" s="194" customFormat="1">
      <c r="A21" s="194" t="s">
        <v>390</v>
      </c>
      <c r="B21" s="194" t="s">
        <v>4798</v>
      </c>
      <c r="C21" s="194" t="s">
        <v>4797</v>
      </c>
      <c r="D21" s="194" t="s">
        <v>387</v>
      </c>
      <c r="E21" s="194">
        <v>88.877380000000002</v>
      </c>
      <c r="F21" s="194">
        <v>88.812179999999998</v>
      </c>
      <c r="G21" s="194">
        <v>88.695930000000004</v>
      </c>
      <c r="H21" s="194">
        <v>88.855186000000003</v>
      </c>
      <c r="I21" s="194">
        <v>89.315735000000004</v>
      </c>
      <c r="J21" s="194">
        <v>90.392150999999998</v>
      </c>
      <c r="K21" s="194">
        <v>91.377357000000003</v>
      </c>
      <c r="L21" s="194">
        <v>92.553032000000002</v>
      </c>
      <c r="M21" s="194">
        <v>93.673728999999994</v>
      </c>
      <c r="N21" s="194">
        <v>95.042548999999994</v>
      </c>
      <c r="O21" s="194">
        <v>96.472305000000006</v>
      </c>
      <c r="P21" s="194">
        <v>97.930556999999993</v>
      </c>
      <c r="Q21" s="194">
        <v>99.550017999999994</v>
      </c>
      <c r="R21" s="194">
        <v>101.352165</v>
      </c>
      <c r="S21" s="194">
        <v>103.24904600000001</v>
      </c>
      <c r="T21" s="194">
        <v>105.302139</v>
      </c>
      <c r="U21" s="194">
        <v>107.247711</v>
      </c>
      <c r="V21" s="194">
        <v>109.10485799999999</v>
      </c>
      <c r="W21" s="194">
        <v>110.73187299999999</v>
      </c>
      <c r="X21" s="194">
        <v>112.311317</v>
      </c>
      <c r="Y21" s="194">
        <v>114.064941</v>
      </c>
      <c r="Z21" s="194">
        <v>115.957893</v>
      </c>
      <c r="AA21" s="194">
        <v>118.05729700000001</v>
      </c>
      <c r="AB21" s="194">
        <v>120.082573</v>
      </c>
      <c r="AC21" s="194">
        <v>122.204697</v>
      </c>
      <c r="AD21" s="194">
        <v>124.19182600000001</v>
      </c>
      <c r="AE21" s="206">
        <v>1.2999999999999999E-2</v>
      </c>
    </row>
    <row r="22" spans="1:31">
      <c r="A22" t="s">
        <v>342</v>
      </c>
    </row>
    <row r="23" spans="1:31">
      <c r="A23" t="s">
        <v>327</v>
      </c>
      <c r="B23" t="s">
        <v>4796</v>
      </c>
      <c r="C23" t="s">
        <v>4795</v>
      </c>
      <c r="D23" t="s">
        <v>387</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s="31">
        <v>-1.2E-2</v>
      </c>
    </row>
    <row r="24" spans="1:31" s="181" customFormat="1" ht="13.5" customHeight="1">
      <c r="A24" s="181" t="s">
        <v>313</v>
      </c>
      <c r="B24" s="181" t="s">
        <v>4794</v>
      </c>
      <c r="C24" s="181" t="s">
        <v>4793</v>
      </c>
      <c r="D24" s="181" t="s">
        <v>387</v>
      </c>
      <c r="E24" s="181">
        <v>22.472100999999999</v>
      </c>
      <c r="F24" s="181">
        <v>22.273154999999999</v>
      </c>
      <c r="G24" s="181">
        <v>22.199646000000001</v>
      </c>
      <c r="H24" s="181">
        <v>22.199470999999999</v>
      </c>
      <c r="I24" s="181">
        <v>22.203886000000001</v>
      </c>
      <c r="J24" s="181">
        <v>22.291554999999999</v>
      </c>
      <c r="K24" s="181">
        <v>22.325485</v>
      </c>
      <c r="L24" s="181">
        <v>22.409365000000001</v>
      </c>
      <c r="M24" s="181">
        <v>22.439425</v>
      </c>
      <c r="N24" s="181">
        <v>22.504622000000001</v>
      </c>
      <c r="O24" s="181">
        <v>22.556878999999999</v>
      </c>
      <c r="P24" s="181">
        <v>22.584263</v>
      </c>
      <c r="Q24" s="181">
        <v>22.614751999999999</v>
      </c>
      <c r="R24" s="181">
        <v>22.633869000000001</v>
      </c>
      <c r="S24" s="181">
        <v>22.657530000000001</v>
      </c>
      <c r="T24" s="181">
        <v>22.692263000000001</v>
      </c>
      <c r="U24" s="181">
        <v>22.726047999999999</v>
      </c>
      <c r="V24" s="181">
        <v>22.763574999999999</v>
      </c>
      <c r="W24" s="181">
        <v>22.784922000000002</v>
      </c>
      <c r="X24" s="181">
        <v>22.818722000000001</v>
      </c>
      <c r="Y24" s="181">
        <v>22.893072</v>
      </c>
      <c r="Z24" s="181">
        <v>22.978221999999999</v>
      </c>
      <c r="AA24" s="181">
        <v>23.073374000000001</v>
      </c>
      <c r="AB24" s="181">
        <v>23.140879000000002</v>
      </c>
      <c r="AC24" s="181">
        <v>23.219425000000001</v>
      </c>
      <c r="AD24" s="181">
        <v>23.281679</v>
      </c>
      <c r="AE24" s="188">
        <v>1E-3</v>
      </c>
    </row>
    <row r="25" spans="1:31">
      <c r="A25" t="s">
        <v>308</v>
      </c>
      <c r="B25" t="s">
        <v>4792</v>
      </c>
      <c r="C25" t="s">
        <v>4791</v>
      </c>
      <c r="D25" t="s">
        <v>387</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s="31">
        <v>-0.1</v>
      </c>
    </row>
    <row r="26" spans="1:31">
      <c r="A26" t="s">
        <v>307</v>
      </c>
      <c r="B26" t="s">
        <v>4790</v>
      </c>
      <c r="C26" t="s">
        <v>4789</v>
      </c>
      <c r="D26" t="s">
        <v>387</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s="31">
        <v>3.9E-2</v>
      </c>
    </row>
    <row r="27" spans="1:31" s="181" customFormat="1">
      <c r="A27" s="181" t="s">
        <v>378</v>
      </c>
      <c r="B27" s="181" t="s">
        <v>4788</v>
      </c>
      <c r="C27" s="181" t="s">
        <v>4787</v>
      </c>
      <c r="D27" s="181" t="s">
        <v>387</v>
      </c>
      <c r="E27" s="181">
        <v>0.47174700000000003</v>
      </c>
      <c r="F27" s="181">
        <v>0.42419499999999999</v>
      </c>
      <c r="G27" s="181">
        <v>0.37902999999999998</v>
      </c>
      <c r="H27" s="181">
        <v>0.338592</v>
      </c>
      <c r="I27" s="181">
        <v>0.30352600000000002</v>
      </c>
      <c r="J27" s="181">
        <v>0.27228999999999998</v>
      </c>
      <c r="K27" s="181">
        <v>0.24334900000000001</v>
      </c>
      <c r="L27" s="181">
        <v>0.218305</v>
      </c>
      <c r="M27" s="181">
        <v>0.194632</v>
      </c>
      <c r="N27" s="181">
        <v>0.17452799999999999</v>
      </c>
      <c r="O27" s="181">
        <v>0.15762399999999999</v>
      </c>
      <c r="P27" s="181">
        <v>0.143036</v>
      </c>
      <c r="Q27" s="181">
        <v>0.13103000000000001</v>
      </c>
      <c r="R27" s="181">
        <v>0.12087100000000001</v>
      </c>
      <c r="S27" s="181">
        <v>0.112196</v>
      </c>
      <c r="T27" s="181">
        <v>0.10491200000000001</v>
      </c>
      <c r="U27" s="181">
        <v>9.8112000000000005E-2</v>
      </c>
      <c r="V27" s="181">
        <v>9.1596999999999998E-2</v>
      </c>
      <c r="W27" s="181">
        <v>8.5259000000000001E-2</v>
      </c>
      <c r="X27" s="181">
        <v>7.9066999999999998E-2</v>
      </c>
      <c r="Y27" s="181">
        <v>7.2945999999999997E-2</v>
      </c>
      <c r="Z27" s="181">
        <v>6.6669999999999993E-2</v>
      </c>
      <c r="AA27" s="181">
        <v>5.9991999999999997E-2</v>
      </c>
      <c r="AB27" s="181">
        <v>5.3041999999999999E-2</v>
      </c>
      <c r="AC27" s="181">
        <v>4.6259000000000002E-2</v>
      </c>
      <c r="AD27" s="181">
        <v>3.9100999999999997E-2</v>
      </c>
      <c r="AE27" s="188">
        <v>-9.5000000000000001E-2</v>
      </c>
    </row>
    <row r="28" spans="1:31">
      <c r="A28" t="s">
        <v>379</v>
      </c>
      <c r="B28" t="s">
        <v>4786</v>
      </c>
      <c r="C28" t="s">
        <v>4785</v>
      </c>
      <c r="D28" t="s">
        <v>387</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s="31">
        <v>4.3999999999999997E-2</v>
      </c>
    </row>
    <row r="29" spans="1:31">
      <c r="A29" t="s">
        <v>381</v>
      </c>
      <c r="B29" t="s">
        <v>4784</v>
      </c>
      <c r="C29" t="s">
        <v>4783</v>
      </c>
      <c r="D29" t="s">
        <v>387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117</v>
      </c>
    </row>
    <row r="30" spans="1:31">
      <c r="A30" t="s">
        <v>380</v>
      </c>
      <c r="B30" t="s">
        <v>4782</v>
      </c>
      <c r="C30" t="s">
        <v>4781</v>
      </c>
      <c r="D30" t="s">
        <v>387</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s="31">
        <v>-8.3000000000000004E-2</v>
      </c>
    </row>
    <row r="31" spans="1:31" s="213" customFormat="1">
      <c r="A31" s="213" t="s">
        <v>382</v>
      </c>
      <c r="B31" s="213" t="s">
        <v>4780</v>
      </c>
      <c r="C31" s="213" t="s">
        <v>4779</v>
      </c>
      <c r="D31" s="213" t="s">
        <v>387</v>
      </c>
      <c r="E31" s="213">
        <v>0</v>
      </c>
      <c r="F31" s="213">
        <v>0</v>
      </c>
      <c r="G31" s="213">
        <v>0</v>
      </c>
      <c r="H31" s="213">
        <v>0</v>
      </c>
      <c r="I31" s="213">
        <v>0</v>
      </c>
      <c r="J31" s="213">
        <v>0</v>
      </c>
      <c r="K31" s="213">
        <v>0</v>
      </c>
      <c r="L31" s="213">
        <v>0</v>
      </c>
      <c r="M31" s="213">
        <v>0</v>
      </c>
      <c r="N31" s="213">
        <v>0</v>
      </c>
      <c r="O31" s="213">
        <v>0</v>
      </c>
      <c r="P31" s="213">
        <v>0</v>
      </c>
      <c r="Q31" s="213">
        <v>0</v>
      </c>
      <c r="R31" s="213">
        <v>0</v>
      </c>
      <c r="S31" s="213">
        <v>0</v>
      </c>
      <c r="T31" s="213">
        <v>0</v>
      </c>
      <c r="U31" s="213">
        <v>0</v>
      </c>
      <c r="V31" s="213">
        <v>0</v>
      </c>
      <c r="W31" s="213">
        <v>0</v>
      </c>
      <c r="X31" s="213">
        <v>0</v>
      </c>
      <c r="Y31" s="213">
        <v>0</v>
      </c>
      <c r="Z31" s="213">
        <v>0</v>
      </c>
      <c r="AA31" s="213">
        <v>0</v>
      </c>
      <c r="AB31" s="213">
        <v>0</v>
      </c>
      <c r="AC31" s="213">
        <v>0</v>
      </c>
      <c r="AD31" s="213">
        <v>0</v>
      </c>
      <c r="AE31" s="213" t="s">
        <v>117</v>
      </c>
    </row>
    <row r="32" spans="1:31" s="213" customFormat="1">
      <c r="A32" s="213" t="s">
        <v>3288</v>
      </c>
      <c r="B32" s="213" t="s">
        <v>4778</v>
      </c>
      <c r="C32" s="213" t="s">
        <v>4777</v>
      </c>
      <c r="D32" s="213" t="s">
        <v>387</v>
      </c>
      <c r="E32" s="213">
        <v>0</v>
      </c>
      <c r="F32" s="213">
        <v>0</v>
      </c>
      <c r="G32" s="213">
        <v>0</v>
      </c>
      <c r="H32" s="213">
        <v>0</v>
      </c>
      <c r="I32" s="213">
        <v>0</v>
      </c>
      <c r="J32" s="213">
        <v>0</v>
      </c>
      <c r="K32" s="213">
        <v>0</v>
      </c>
      <c r="L32" s="213">
        <v>0</v>
      </c>
      <c r="M32" s="213">
        <v>0</v>
      </c>
      <c r="N32" s="213">
        <v>0</v>
      </c>
      <c r="O32" s="213">
        <v>0</v>
      </c>
      <c r="P32" s="213">
        <v>0</v>
      </c>
      <c r="Q32" s="213">
        <v>0</v>
      </c>
      <c r="R32" s="213">
        <v>0</v>
      </c>
      <c r="S32" s="213">
        <v>0</v>
      </c>
      <c r="T32" s="213">
        <v>0</v>
      </c>
      <c r="U32" s="213">
        <v>0</v>
      </c>
      <c r="V32" s="213">
        <v>0</v>
      </c>
      <c r="W32" s="213">
        <v>0</v>
      </c>
      <c r="X32" s="213">
        <v>0</v>
      </c>
      <c r="Y32" s="213">
        <v>0</v>
      </c>
      <c r="Z32" s="213">
        <v>0</v>
      </c>
      <c r="AA32" s="213">
        <v>0</v>
      </c>
      <c r="AB32" s="213">
        <v>0</v>
      </c>
      <c r="AC32" s="213">
        <v>0</v>
      </c>
      <c r="AD32" s="213">
        <v>0</v>
      </c>
      <c r="AE32" s="213" t="s">
        <v>117</v>
      </c>
    </row>
    <row r="33" spans="1:31" s="181" customFormat="1">
      <c r="A33" s="181" t="s">
        <v>3285</v>
      </c>
      <c r="B33" s="181" t="s">
        <v>4776</v>
      </c>
      <c r="C33" s="181" t="s">
        <v>4775</v>
      </c>
      <c r="D33" s="181" t="s">
        <v>387</v>
      </c>
      <c r="E33" s="181">
        <v>4.6002000000000001E-2</v>
      </c>
      <c r="F33" s="181">
        <v>0.107735</v>
      </c>
      <c r="G33" s="181">
        <v>0.18451600000000001</v>
      </c>
      <c r="H33" s="181">
        <v>0.27027800000000002</v>
      </c>
      <c r="I33" s="181">
        <v>0.36375800000000003</v>
      </c>
      <c r="J33" s="181">
        <v>0.475325</v>
      </c>
      <c r="K33" s="181">
        <v>0.61287899999999995</v>
      </c>
      <c r="L33" s="181">
        <v>0.79170300000000005</v>
      </c>
      <c r="M33" s="181">
        <v>1.023004</v>
      </c>
      <c r="N33" s="181">
        <v>1.3176159999999999</v>
      </c>
      <c r="O33" s="181">
        <v>1.6784289999999999</v>
      </c>
      <c r="P33" s="181">
        <v>2.094684</v>
      </c>
      <c r="Q33" s="181">
        <v>2.5524879999999999</v>
      </c>
      <c r="R33" s="181">
        <v>3.0349550000000001</v>
      </c>
      <c r="S33" s="181">
        <v>3.528108</v>
      </c>
      <c r="T33" s="181">
        <v>4.0255799999999997</v>
      </c>
      <c r="U33" s="181">
        <v>4.513166</v>
      </c>
      <c r="V33" s="181">
        <v>4.9802679999999997</v>
      </c>
      <c r="W33" s="181">
        <v>5.4193300000000004</v>
      </c>
      <c r="X33" s="181">
        <v>5.8347619999999996</v>
      </c>
      <c r="Y33" s="181">
        <v>6.2338940000000003</v>
      </c>
      <c r="Z33" s="181">
        <v>6.6080959999999997</v>
      </c>
      <c r="AA33" s="181">
        <v>6.9560550000000001</v>
      </c>
      <c r="AB33" s="181">
        <v>7.2674459999999996</v>
      </c>
      <c r="AC33" s="181">
        <v>7.5584730000000002</v>
      </c>
      <c r="AD33" s="181">
        <v>7.8266819999999999</v>
      </c>
      <c r="AE33" s="188">
        <v>0.22800000000000001</v>
      </c>
    </row>
    <row r="34" spans="1:31" s="213" customFormat="1">
      <c r="A34" s="213" t="s">
        <v>3282</v>
      </c>
      <c r="B34" s="213" t="s">
        <v>4774</v>
      </c>
      <c r="C34" s="213" t="s">
        <v>4773</v>
      </c>
      <c r="D34" s="213" t="s">
        <v>387</v>
      </c>
      <c r="E34" s="213">
        <v>0</v>
      </c>
      <c r="F34" s="213">
        <v>0</v>
      </c>
      <c r="G34" s="213">
        <v>0</v>
      </c>
      <c r="H34" s="213">
        <v>0</v>
      </c>
      <c r="I34" s="213">
        <v>0</v>
      </c>
      <c r="J34" s="213">
        <v>0</v>
      </c>
      <c r="K34" s="213">
        <v>0</v>
      </c>
      <c r="L34" s="213">
        <v>0</v>
      </c>
      <c r="M34" s="213">
        <v>0</v>
      </c>
      <c r="N34" s="213">
        <v>0</v>
      </c>
      <c r="O34" s="213">
        <v>0</v>
      </c>
      <c r="P34" s="213">
        <v>0</v>
      </c>
      <c r="Q34" s="213">
        <v>0</v>
      </c>
      <c r="R34" s="213">
        <v>0</v>
      </c>
      <c r="S34" s="213">
        <v>0</v>
      </c>
      <c r="T34" s="213">
        <v>0</v>
      </c>
      <c r="U34" s="213">
        <v>0</v>
      </c>
      <c r="V34" s="213">
        <v>0</v>
      </c>
      <c r="W34" s="213">
        <v>0</v>
      </c>
      <c r="X34" s="213">
        <v>0</v>
      </c>
      <c r="Y34" s="213">
        <v>0</v>
      </c>
      <c r="Z34" s="213">
        <v>0</v>
      </c>
      <c r="AA34" s="213">
        <v>0</v>
      </c>
      <c r="AB34" s="213">
        <v>0</v>
      </c>
      <c r="AC34" s="213">
        <v>0</v>
      </c>
      <c r="AD34" s="213">
        <v>0</v>
      </c>
      <c r="AE34" s="213" t="s">
        <v>117</v>
      </c>
    </row>
    <row r="35" spans="1:31" s="194" customFormat="1">
      <c r="A35" s="194" t="s">
        <v>391</v>
      </c>
      <c r="B35" s="194" t="s">
        <v>4772</v>
      </c>
      <c r="C35" s="194" t="s">
        <v>4771</v>
      </c>
      <c r="D35" s="194" t="s">
        <v>387</v>
      </c>
      <c r="E35" s="194">
        <v>58.723937999999997</v>
      </c>
      <c r="F35" s="194">
        <v>57.732970999999999</v>
      </c>
      <c r="G35" s="194">
        <v>57.036320000000003</v>
      </c>
      <c r="H35" s="194">
        <v>56.498382999999997</v>
      </c>
      <c r="I35" s="194">
        <v>55.988700999999999</v>
      </c>
      <c r="J35" s="194">
        <v>55.72757</v>
      </c>
      <c r="K35" s="194">
        <v>55.361136999999999</v>
      </c>
      <c r="L35" s="194">
        <v>55.157550999999998</v>
      </c>
      <c r="M35" s="194">
        <v>54.898758000000001</v>
      </c>
      <c r="N35" s="194">
        <v>54.787543999999997</v>
      </c>
      <c r="O35" s="194">
        <v>54.744613999999999</v>
      </c>
      <c r="P35" s="194">
        <v>54.748992999999999</v>
      </c>
      <c r="Q35" s="194">
        <v>54.815586000000003</v>
      </c>
      <c r="R35" s="194">
        <v>54.903838999999998</v>
      </c>
      <c r="S35" s="194">
        <v>55.034004000000003</v>
      </c>
      <c r="T35" s="194">
        <v>55.218201000000001</v>
      </c>
      <c r="U35" s="194">
        <v>55.398125</v>
      </c>
      <c r="V35" s="194">
        <v>55.589947000000002</v>
      </c>
      <c r="W35" s="194">
        <v>55.763373999999999</v>
      </c>
      <c r="X35" s="194">
        <v>55.974079000000003</v>
      </c>
      <c r="Y35" s="194">
        <v>56.281857000000002</v>
      </c>
      <c r="Z35" s="194">
        <v>56.611491999999998</v>
      </c>
      <c r="AA35" s="194">
        <v>56.961727000000003</v>
      </c>
      <c r="AB35" s="194">
        <v>57.231262000000001</v>
      </c>
      <c r="AC35" s="194">
        <v>57.514015000000001</v>
      </c>
      <c r="AD35" s="194">
        <v>57.753993999999999</v>
      </c>
      <c r="AE35" s="206">
        <v>-1E-3</v>
      </c>
    </row>
    <row r="36" spans="1:31">
      <c r="A36" t="s">
        <v>392</v>
      </c>
    </row>
    <row r="37" spans="1:31">
      <c r="A37" t="s">
        <v>327</v>
      </c>
      <c r="B37" t="s">
        <v>4770</v>
      </c>
      <c r="C37" t="s">
        <v>4769</v>
      </c>
      <c r="D37" t="s">
        <v>387</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s="31">
        <v>8.0000000000000002E-3</v>
      </c>
    </row>
    <row r="38" spans="1:31">
      <c r="A38" t="s">
        <v>313</v>
      </c>
      <c r="B38" t="s">
        <v>4768</v>
      </c>
      <c r="C38" t="s">
        <v>4767</v>
      </c>
      <c r="D38" t="s">
        <v>387</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s="31">
        <v>-3.5999999999999997E-2</v>
      </c>
    </row>
    <row r="39" spans="1:31">
      <c r="A39" t="s">
        <v>308</v>
      </c>
      <c r="B39" t="s">
        <v>4766</v>
      </c>
      <c r="C39" t="s">
        <v>4765</v>
      </c>
      <c r="D39" t="s">
        <v>387</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s="31">
        <v>-9.2999999999999999E-2</v>
      </c>
    </row>
    <row r="40" spans="1:31">
      <c r="A40" t="s">
        <v>307</v>
      </c>
      <c r="B40" t="s">
        <v>4764</v>
      </c>
      <c r="C40" t="s">
        <v>4763</v>
      </c>
      <c r="D40" t="s">
        <v>387</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s="31">
        <v>4.4999999999999998E-2</v>
      </c>
    </row>
    <row r="41" spans="1:31">
      <c r="A41" t="s">
        <v>378</v>
      </c>
      <c r="B41" t="s">
        <v>4762</v>
      </c>
      <c r="C41" t="s">
        <v>4761</v>
      </c>
      <c r="D41" t="s">
        <v>387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117</v>
      </c>
    </row>
    <row r="42" spans="1:31">
      <c r="A42" t="s">
        <v>379</v>
      </c>
      <c r="B42" t="s">
        <v>4760</v>
      </c>
      <c r="C42" t="s">
        <v>4759</v>
      </c>
      <c r="D42" t="s">
        <v>387</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s="31">
        <v>0.05</v>
      </c>
    </row>
    <row r="43" spans="1:31">
      <c r="A43" t="s">
        <v>381</v>
      </c>
      <c r="B43" t="s">
        <v>4758</v>
      </c>
      <c r="C43" t="s">
        <v>4757</v>
      </c>
      <c r="D43" t="s">
        <v>387</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117</v>
      </c>
    </row>
    <row r="44" spans="1:31">
      <c r="A44" t="s">
        <v>380</v>
      </c>
      <c r="B44" t="s">
        <v>4756</v>
      </c>
      <c r="C44" t="s">
        <v>4755</v>
      </c>
      <c r="D44" t="s">
        <v>387</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117</v>
      </c>
    </row>
    <row r="45" spans="1:31">
      <c r="A45" t="s">
        <v>382</v>
      </c>
      <c r="B45" t="s">
        <v>4754</v>
      </c>
      <c r="C45" t="s">
        <v>4753</v>
      </c>
      <c r="D45" t="s">
        <v>387</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117</v>
      </c>
    </row>
    <row r="46" spans="1:31">
      <c r="A46" t="s">
        <v>3288</v>
      </c>
      <c r="B46" t="s">
        <v>4752</v>
      </c>
      <c r="C46" t="s">
        <v>4751</v>
      </c>
      <c r="D46" t="s">
        <v>387</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117</v>
      </c>
    </row>
    <row r="47" spans="1:31">
      <c r="A47" t="s">
        <v>3285</v>
      </c>
      <c r="B47" t="s">
        <v>4750</v>
      </c>
      <c r="C47" t="s">
        <v>4749</v>
      </c>
      <c r="D47" t="s">
        <v>387</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117</v>
      </c>
    </row>
    <row r="48" spans="1:31">
      <c r="A48" t="s">
        <v>3282</v>
      </c>
      <c r="B48" t="s">
        <v>4748</v>
      </c>
      <c r="C48" t="s">
        <v>4747</v>
      </c>
      <c r="D48" t="s">
        <v>387</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117</v>
      </c>
    </row>
    <row r="49" spans="1:31">
      <c r="A49" t="s">
        <v>393</v>
      </c>
      <c r="B49" t="s">
        <v>4746</v>
      </c>
      <c r="C49" t="s">
        <v>4745</v>
      </c>
      <c r="D49" t="s">
        <v>387</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s="31">
        <v>8.9999999999999993E-3</v>
      </c>
    </row>
    <row r="50" spans="1:31">
      <c r="A50" t="s">
        <v>394</v>
      </c>
      <c r="B50" t="s">
        <v>4744</v>
      </c>
      <c r="C50" t="s">
        <v>4743</v>
      </c>
      <c r="D50" t="s">
        <v>387</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s="31">
        <v>8.9999999999999993E-3</v>
      </c>
    </row>
    <row r="51" spans="1:31">
      <c r="A51" t="s">
        <v>395</v>
      </c>
    </row>
    <row r="52" spans="1:31">
      <c r="A52" t="s">
        <v>341</v>
      </c>
    </row>
    <row r="53" spans="1:31">
      <c r="A53" t="s">
        <v>327</v>
      </c>
      <c r="B53" t="s">
        <v>4742</v>
      </c>
      <c r="C53" t="s">
        <v>4741</v>
      </c>
      <c r="D53" t="s">
        <v>354</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s="31">
        <v>-2.5000000000000001E-2</v>
      </c>
    </row>
    <row r="54" spans="1:31" s="181" customFormat="1" ht="13.5" customHeight="1">
      <c r="A54" s="181" t="s">
        <v>313</v>
      </c>
      <c r="B54" s="181" t="s">
        <v>4740</v>
      </c>
      <c r="C54" s="181" t="s">
        <v>4739</v>
      </c>
      <c r="D54" s="181" t="s">
        <v>354</v>
      </c>
      <c r="E54" s="181">
        <v>281.99056999999999</v>
      </c>
      <c r="F54" s="181">
        <v>290.57605000000001</v>
      </c>
      <c r="G54" s="181">
        <v>299.06045499999999</v>
      </c>
      <c r="H54" s="181">
        <v>308.14880399999998</v>
      </c>
      <c r="I54" s="181">
        <v>317.93368500000003</v>
      </c>
      <c r="J54" s="181">
        <v>329.26113900000001</v>
      </c>
      <c r="K54" s="181">
        <v>339.386841</v>
      </c>
      <c r="L54" s="181">
        <v>349.26779199999999</v>
      </c>
      <c r="M54" s="181">
        <v>357.56308000000001</v>
      </c>
      <c r="N54" s="181">
        <v>365.23904399999998</v>
      </c>
      <c r="O54" s="181">
        <v>371.35327100000001</v>
      </c>
      <c r="P54" s="181">
        <v>375.45489500000002</v>
      </c>
      <c r="Q54" s="181">
        <v>378.566711</v>
      </c>
      <c r="R54" s="181">
        <v>381.20208700000001</v>
      </c>
      <c r="S54" s="181">
        <v>383.44101000000001</v>
      </c>
      <c r="T54" s="181">
        <v>385.38262900000001</v>
      </c>
      <c r="U54" s="181">
        <v>385.57369999999997</v>
      </c>
      <c r="V54" s="181">
        <v>383.51254299999999</v>
      </c>
      <c r="W54" s="181">
        <v>378.90652499999999</v>
      </c>
      <c r="X54" s="181">
        <v>372.17584199999999</v>
      </c>
      <c r="Y54" s="181">
        <v>364.46542399999998</v>
      </c>
      <c r="Z54" s="181">
        <v>356.44775399999997</v>
      </c>
      <c r="AA54" s="181">
        <v>348.292236</v>
      </c>
      <c r="AB54" s="181">
        <v>339.18090799999999</v>
      </c>
      <c r="AC54" s="181">
        <v>330.47164900000001</v>
      </c>
      <c r="AD54" s="181">
        <v>321.69216899999998</v>
      </c>
      <c r="AE54" s="188">
        <v>5.0000000000000001E-3</v>
      </c>
    </row>
    <row r="55" spans="1:31">
      <c r="A55" t="s">
        <v>308</v>
      </c>
      <c r="B55" t="s">
        <v>4738</v>
      </c>
      <c r="C55" t="s">
        <v>4737</v>
      </c>
      <c r="D55" t="s">
        <v>354</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s="31">
        <v>1.6E-2</v>
      </c>
    </row>
    <row r="56" spans="1:31">
      <c r="A56" t="s">
        <v>307</v>
      </c>
      <c r="B56" t="s">
        <v>4736</v>
      </c>
      <c r="C56" t="s">
        <v>4735</v>
      </c>
      <c r="D56" t="s">
        <v>354</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s="31">
        <v>9.1999999999999998E-2</v>
      </c>
    </row>
    <row r="57" spans="1:31" s="181" customFormat="1">
      <c r="A57" s="181" t="s">
        <v>378</v>
      </c>
      <c r="B57" s="181" t="s">
        <v>4734</v>
      </c>
      <c r="C57" s="181" t="s">
        <v>4733</v>
      </c>
      <c r="D57" s="181" t="s">
        <v>354</v>
      </c>
      <c r="E57" s="181">
        <v>32.525826000000002</v>
      </c>
      <c r="F57" s="181">
        <v>29.478151</v>
      </c>
      <c r="G57" s="181">
        <v>26.565994</v>
      </c>
      <c r="H57" s="181">
        <v>23.928398000000001</v>
      </c>
      <c r="I57" s="181">
        <v>21.550608</v>
      </c>
      <c r="J57" s="181">
        <v>19.435327999999998</v>
      </c>
      <c r="K57" s="181">
        <v>17.476296999999999</v>
      </c>
      <c r="L57" s="181">
        <v>15.711513999999999</v>
      </c>
      <c r="M57" s="181">
        <v>14.090517</v>
      </c>
      <c r="N57" s="181">
        <v>12.675261000000001</v>
      </c>
      <c r="O57" s="181">
        <v>11.383523</v>
      </c>
      <c r="P57" s="181">
        <v>10.210846</v>
      </c>
      <c r="Q57" s="181">
        <v>9.1250269999999993</v>
      </c>
      <c r="R57" s="181">
        <v>8.1622249999999994</v>
      </c>
      <c r="S57" s="181">
        <v>7.2673030000000001</v>
      </c>
      <c r="T57" s="181">
        <v>6.4840419999999996</v>
      </c>
      <c r="U57" s="181">
        <v>5.8108839999999997</v>
      </c>
      <c r="V57" s="181">
        <v>5.2108809999999997</v>
      </c>
      <c r="W57" s="181">
        <v>4.6878270000000004</v>
      </c>
      <c r="X57" s="181">
        <v>4.186725</v>
      </c>
      <c r="Y57" s="181">
        <v>3.6905070000000002</v>
      </c>
      <c r="Z57" s="181">
        <v>3.2292550000000002</v>
      </c>
      <c r="AA57" s="181">
        <v>2.8129240000000002</v>
      </c>
      <c r="AB57" s="181">
        <v>2.3697859999999999</v>
      </c>
      <c r="AC57" s="181">
        <v>1.940977</v>
      </c>
      <c r="AD57" s="181">
        <v>1.532972</v>
      </c>
      <c r="AE57" s="188">
        <v>-0.115</v>
      </c>
    </row>
    <row r="58" spans="1:31">
      <c r="A58" t="s">
        <v>379</v>
      </c>
      <c r="B58" t="s">
        <v>4732</v>
      </c>
      <c r="C58" t="s">
        <v>4731</v>
      </c>
      <c r="D58" t="s">
        <v>354</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s="31">
        <v>0.189</v>
      </c>
    </row>
    <row r="59" spans="1:31">
      <c r="A59" t="s">
        <v>381</v>
      </c>
      <c r="B59" t="s">
        <v>4730</v>
      </c>
      <c r="C59" t="s">
        <v>4729</v>
      </c>
      <c r="D59" t="s">
        <v>354</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117</v>
      </c>
    </row>
    <row r="60" spans="1:31">
      <c r="A60" t="s">
        <v>380</v>
      </c>
      <c r="B60" t="s">
        <v>4728</v>
      </c>
      <c r="C60" t="s">
        <v>4727</v>
      </c>
      <c r="D60" t="s">
        <v>354</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s="31" t="s">
        <v>117</v>
      </c>
    </row>
    <row r="61" spans="1:31" s="213" customFormat="1">
      <c r="A61" s="213" t="s">
        <v>382</v>
      </c>
      <c r="B61" s="213" t="s">
        <v>4726</v>
      </c>
      <c r="C61" s="213" t="s">
        <v>4725</v>
      </c>
      <c r="D61" s="213" t="s">
        <v>354</v>
      </c>
      <c r="E61" s="213">
        <v>0</v>
      </c>
      <c r="F61" s="213">
        <v>0</v>
      </c>
      <c r="G61" s="213">
        <v>0</v>
      </c>
      <c r="H61" s="213">
        <v>0</v>
      </c>
      <c r="I61" s="213">
        <v>0</v>
      </c>
      <c r="J61" s="213">
        <v>0</v>
      </c>
      <c r="K61" s="213">
        <v>0</v>
      </c>
      <c r="L61" s="213">
        <v>0</v>
      </c>
      <c r="M61" s="213">
        <v>0</v>
      </c>
      <c r="N61" s="213">
        <v>0</v>
      </c>
      <c r="O61" s="213">
        <v>0</v>
      </c>
      <c r="P61" s="213">
        <v>0</v>
      </c>
      <c r="Q61" s="213">
        <v>0</v>
      </c>
      <c r="R61" s="213">
        <v>0</v>
      </c>
      <c r="S61" s="213">
        <v>0</v>
      </c>
      <c r="T61" s="213">
        <v>0</v>
      </c>
      <c r="U61" s="213">
        <v>0</v>
      </c>
      <c r="V61" s="213">
        <v>0</v>
      </c>
      <c r="W61" s="213">
        <v>0</v>
      </c>
      <c r="X61" s="213">
        <v>0</v>
      </c>
      <c r="Y61" s="213">
        <v>0</v>
      </c>
      <c r="Z61" s="213">
        <v>0</v>
      </c>
      <c r="AA61" s="213">
        <v>0</v>
      </c>
      <c r="AB61" s="213">
        <v>0</v>
      </c>
      <c r="AC61" s="213">
        <v>0</v>
      </c>
      <c r="AD61" s="213">
        <v>0</v>
      </c>
      <c r="AE61" s="213" t="s">
        <v>117</v>
      </c>
    </row>
    <row r="62" spans="1:31" s="213" customFormat="1">
      <c r="A62" s="213" t="s">
        <v>3288</v>
      </c>
      <c r="B62" s="213" t="s">
        <v>4724</v>
      </c>
      <c r="C62" s="213" t="s">
        <v>4723</v>
      </c>
      <c r="D62" s="213" t="s">
        <v>354</v>
      </c>
      <c r="E62" s="213">
        <v>0</v>
      </c>
      <c r="F62" s="213">
        <v>0</v>
      </c>
      <c r="G62" s="213">
        <v>0</v>
      </c>
      <c r="H62" s="213">
        <v>0</v>
      </c>
      <c r="I62" s="213">
        <v>0</v>
      </c>
      <c r="J62" s="213">
        <v>0</v>
      </c>
      <c r="K62" s="213">
        <v>0</v>
      </c>
      <c r="L62" s="213">
        <v>0</v>
      </c>
      <c r="M62" s="213">
        <v>0</v>
      </c>
      <c r="N62" s="213">
        <v>0</v>
      </c>
      <c r="O62" s="213">
        <v>0</v>
      </c>
      <c r="P62" s="213">
        <v>0</v>
      </c>
      <c r="Q62" s="213">
        <v>0</v>
      </c>
      <c r="R62" s="213">
        <v>0</v>
      </c>
      <c r="S62" s="213">
        <v>0</v>
      </c>
      <c r="T62" s="213">
        <v>0</v>
      </c>
      <c r="U62" s="213">
        <v>0</v>
      </c>
      <c r="V62" s="213">
        <v>0</v>
      </c>
      <c r="W62" s="213">
        <v>0</v>
      </c>
      <c r="X62" s="213">
        <v>0</v>
      </c>
      <c r="Y62" s="213">
        <v>0</v>
      </c>
      <c r="Z62" s="213">
        <v>0</v>
      </c>
      <c r="AA62" s="213">
        <v>0</v>
      </c>
      <c r="AB62" s="213">
        <v>0</v>
      </c>
      <c r="AC62" s="213">
        <v>0</v>
      </c>
      <c r="AD62" s="213">
        <v>0</v>
      </c>
      <c r="AE62" s="213" t="s">
        <v>117</v>
      </c>
    </row>
    <row r="63" spans="1:31" s="181" customFormat="1">
      <c r="A63" s="181" t="s">
        <v>3285</v>
      </c>
      <c r="B63" s="181" t="s">
        <v>4722</v>
      </c>
      <c r="C63" s="181" t="s">
        <v>4721</v>
      </c>
      <c r="D63" s="181" t="s">
        <v>354</v>
      </c>
      <c r="E63" s="181">
        <v>0.83790100000000001</v>
      </c>
      <c r="F63" s="181">
        <v>2.2635839999999998</v>
      </c>
      <c r="G63" s="181">
        <v>4.1392189999999998</v>
      </c>
      <c r="H63" s="181">
        <v>6.4532670000000003</v>
      </c>
      <c r="I63" s="181">
        <v>9.4030660000000008</v>
      </c>
      <c r="J63" s="181">
        <v>13.499775</v>
      </c>
      <c r="K63" s="181">
        <v>18.724775000000001</v>
      </c>
      <c r="L63" s="181">
        <v>25.357942999999999</v>
      </c>
      <c r="M63" s="181">
        <v>33.825836000000002</v>
      </c>
      <c r="N63" s="181">
        <v>44.474449</v>
      </c>
      <c r="O63" s="181">
        <v>57.589202999999998</v>
      </c>
      <c r="P63" s="181">
        <v>73.550865000000002</v>
      </c>
      <c r="Q63" s="181">
        <v>91.764167999999998</v>
      </c>
      <c r="R63" s="181">
        <v>111.666718</v>
      </c>
      <c r="S63" s="181">
        <v>132.676804</v>
      </c>
      <c r="T63" s="181">
        <v>154.17559800000001</v>
      </c>
      <c r="U63" s="181">
        <v>175.414536</v>
      </c>
      <c r="V63" s="181">
        <v>196.01135300000001</v>
      </c>
      <c r="W63" s="181">
        <v>215.53469799999999</v>
      </c>
      <c r="X63" s="181">
        <v>234.29530299999999</v>
      </c>
      <c r="Y63" s="181">
        <v>252.79953</v>
      </c>
      <c r="Z63" s="181">
        <v>270.87716699999999</v>
      </c>
      <c r="AA63" s="181">
        <v>288.724152</v>
      </c>
      <c r="AB63" s="181">
        <v>305.73019399999998</v>
      </c>
      <c r="AC63" s="181">
        <v>321.91485599999999</v>
      </c>
      <c r="AD63" s="181">
        <v>336.702789</v>
      </c>
      <c r="AE63" s="188">
        <v>0.27100000000000002</v>
      </c>
    </row>
    <row r="64" spans="1:31" s="213" customFormat="1">
      <c r="A64" s="213" t="s">
        <v>3282</v>
      </c>
      <c r="B64" s="213" t="s">
        <v>4720</v>
      </c>
      <c r="C64" s="213" t="s">
        <v>4719</v>
      </c>
      <c r="D64" s="213" t="s">
        <v>354</v>
      </c>
      <c r="E64" s="213">
        <v>0</v>
      </c>
      <c r="F64" s="213">
        <v>0</v>
      </c>
      <c r="G64" s="213">
        <v>0</v>
      </c>
      <c r="H64" s="213">
        <v>0</v>
      </c>
      <c r="I64" s="213">
        <v>0</v>
      </c>
      <c r="J64" s="213">
        <v>0</v>
      </c>
      <c r="K64" s="213">
        <v>0</v>
      </c>
      <c r="L64" s="213">
        <v>0</v>
      </c>
      <c r="M64" s="213">
        <v>0</v>
      </c>
      <c r="N64" s="213">
        <v>0</v>
      </c>
      <c r="O64" s="213">
        <v>0</v>
      </c>
      <c r="P64" s="213">
        <v>0</v>
      </c>
      <c r="Q64" s="213">
        <v>0</v>
      </c>
      <c r="R64" s="213">
        <v>0</v>
      </c>
      <c r="S64" s="213">
        <v>0</v>
      </c>
      <c r="T64" s="213">
        <v>0</v>
      </c>
      <c r="U64" s="213">
        <v>0</v>
      </c>
      <c r="V64" s="213">
        <v>0</v>
      </c>
      <c r="W64" s="213">
        <v>0</v>
      </c>
      <c r="X64" s="213">
        <v>0</v>
      </c>
      <c r="Y64" s="213">
        <v>0</v>
      </c>
      <c r="Z64" s="213">
        <v>0</v>
      </c>
      <c r="AA64" s="213">
        <v>0</v>
      </c>
      <c r="AB64" s="213">
        <v>0</v>
      </c>
      <c r="AC64" s="213">
        <v>0</v>
      </c>
      <c r="AD64" s="213">
        <v>0</v>
      </c>
      <c r="AE64" s="213" t="s">
        <v>117</v>
      </c>
    </row>
    <row r="65" spans="1:31" s="194" customFormat="1">
      <c r="A65" s="194" t="s">
        <v>390</v>
      </c>
      <c r="B65" s="194" t="s">
        <v>4718</v>
      </c>
      <c r="C65" s="194" t="s">
        <v>4717</v>
      </c>
      <c r="D65" s="194" t="s">
        <v>354</v>
      </c>
      <c r="E65" s="194">
        <v>876.60131799999999</v>
      </c>
      <c r="F65" s="194">
        <v>873.25939900000003</v>
      </c>
      <c r="G65" s="194">
        <v>868.86621100000002</v>
      </c>
      <c r="H65" s="194">
        <v>866.79272500000002</v>
      </c>
      <c r="I65" s="194">
        <v>867.39160200000003</v>
      </c>
      <c r="J65" s="194">
        <v>873.71118200000001</v>
      </c>
      <c r="K65" s="194">
        <v>879.13708499999996</v>
      </c>
      <c r="L65" s="194">
        <v>886.33618200000001</v>
      </c>
      <c r="M65" s="194">
        <v>893.00109899999995</v>
      </c>
      <c r="N65" s="194">
        <v>901.995544</v>
      </c>
      <c r="O65" s="194">
        <v>911.47192399999994</v>
      </c>
      <c r="P65" s="194">
        <v>921.00402799999995</v>
      </c>
      <c r="Q65" s="194">
        <v>931.90783699999997</v>
      </c>
      <c r="R65" s="194">
        <v>944.45336899999995</v>
      </c>
      <c r="S65" s="194">
        <v>957.88720699999999</v>
      </c>
      <c r="T65" s="194">
        <v>972.51055899999994</v>
      </c>
      <c r="U65" s="194">
        <v>984.99719200000004</v>
      </c>
      <c r="V65" s="194">
        <v>994.91058299999997</v>
      </c>
      <c r="W65" s="194">
        <v>1001.026428</v>
      </c>
      <c r="X65" s="194">
        <v>1004.630981</v>
      </c>
      <c r="Y65" s="194">
        <v>1007.91449</v>
      </c>
      <c r="Z65" s="194">
        <v>1011.647034</v>
      </c>
      <c r="AA65" s="194">
        <v>1016.4011839999999</v>
      </c>
      <c r="AB65" s="194">
        <v>1019.651733</v>
      </c>
      <c r="AC65" s="194">
        <v>1023.459473</v>
      </c>
      <c r="AD65" s="194">
        <v>1026.256226</v>
      </c>
      <c r="AE65" s="206">
        <v>6.0000000000000001E-3</v>
      </c>
    </row>
    <row r="66" spans="1:31">
      <c r="A66" t="s">
        <v>342</v>
      </c>
    </row>
    <row r="67" spans="1:31">
      <c r="A67" t="s">
        <v>327</v>
      </c>
      <c r="B67" t="s">
        <v>4716</v>
      </c>
      <c r="C67" t="s">
        <v>4715</v>
      </c>
      <c r="D67" t="s">
        <v>354</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s="31">
        <v>-2.1000000000000001E-2</v>
      </c>
    </row>
    <row r="68" spans="1:31" s="181" customFormat="1" ht="13.5" customHeight="1">
      <c r="A68" s="181" t="s">
        <v>313</v>
      </c>
      <c r="B68" s="181" t="s">
        <v>4714</v>
      </c>
      <c r="C68" s="181" t="s">
        <v>4713</v>
      </c>
      <c r="D68" s="181" t="s">
        <v>354</v>
      </c>
      <c r="E68" s="181">
        <v>308.45126299999998</v>
      </c>
      <c r="F68" s="181">
        <v>304.80548099999999</v>
      </c>
      <c r="G68" s="181">
        <v>302.31372099999999</v>
      </c>
      <c r="H68" s="181">
        <v>300.34561200000002</v>
      </c>
      <c r="I68" s="181">
        <v>298.06372099999999</v>
      </c>
      <c r="J68" s="181">
        <v>296.582764</v>
      </c>
      <c r="K68" s="181">
        <v>294.20575000000002</v>
      </c>
      <c r="L68" s="181">
        <v>292.43841600000002</v>
      </c>
      <c r="M68" s="181">
        <v>290.034943</v>
      </c>
      <c r="N68" s="181">
        <v>288.24084499999998</v>
      </c>
      <c r="O68" s="181">
        <v>286.46951300000001</v>
      </c>
      <c r="P68" s="181">
        <v>284.71582000000001</v>
      </c>
      <c r="Q68" s="181">
        <v>283.27157599999998</v>
      </c>
      <c r="R68" s="181">
        <v>281.90774499999998</v>
      </c>
      <c r="S68" s="181">
        <v>280.78604100000001</v>
      </c>
      <c r="T68" s="181">
        <v>279.90536500000002</v>
      </c>
      <c r="U68" s="181">
        <v>279.13348400000001</v>
      </c>
      <c r="V68" s="181">
        <v>278.56582600000002</v>
      </c>
      <c r="W68" s="181">
        <v>277.89999399999999</v>
      </c>
      <c r="X68" s="181">
        <v>277.45187399999998</v>
      </c>
      <c r="Y68" s="181">
        <v>277.539062</v>
      </c>
      <c r="Z68" s="181">
        <v>277.82656900000001</v>
      </c>
      <c r="AA68" s="181">
        <v>278.30569500000001</v>
      </c>
      <c r="AB68" s="181">
        <v>278.51498400000003</v>
      </c>
      <c r="AC68" s="181">
        <v>278.89318800000001</v>
      </c>
      <c r="AD68" s="181">
        <v>279.08850100000001</v>
      </c>
      <c r="AE68" s="188">
        <v>-4.0000000000000001E-3</v>
      </c>
    </row>
    <row r="69" spans="1:31">
      <c r="A69" t="s">
        <v>308</v>
      </c>
      <c r="B69" t="s">
        <v>4712</v>
      </c>
      <c r="C69" t="s">
        <v>4711</v>
      </c>
      <c r="D69" t="s">
        <v>354</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s="31">
        <v>-0.104</v>
      </c>
    </row>
    <row r="70" spans="1:31">
      <c r="A70" t="s">
        <v>307</v>
      </c>
      <c r="B70" t="s">
        <v>4710</v>
      </c>
      <c r="C70" t="s">
        <v>4709</v>
      </c>
      <c r="D70" t="s">
        <v>354</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s="31">
        <v>2.8000000000000001E-2</v>
      </c>
    </row>
    <row r="71" spans="1:31" s="181" customFormat="1">
      <c r="A71" s="181" t="s">
        <v>378</v>
      </c>
      <c r="B71" s="181" t="s">
        <v>4708</v>
      </c>
      <c r="C71" s="181" t="s">
        <v>4707</v>
      </c>
      <c r="D71" s="181" t="s">
        <v>354</v>
      </c>
      <c r="E71" s="181">
        <v>7.2114789999999998</v>
      </c>
      <c r="F71" s="181">
        <v>6.4811940000000003</v>
      </c>
      <c r="G71" s="181">
        <v>5.7882530000000001</v>
      </c>
      <c r="H71" s="181">
        <v>5.1683669999999999</v>
      </c>
      <c r="I71" s="181">
        <v>4.6310760000000002</v>
      </c>
      <c r="J71" s="181">
        <v>4.1528580000000002</v>
      </c>
      <c r="K71" s="181">
        <v>3.7100749999999998</v>
      </c>
      <c r="L71" s="181">
        <v>3.3277399999999999</v>
      </c>
      <c r="M71" s="181">
        <v>2.9671620000000001</v>
      </c>
      <c r="N71" s="181">
        <v>2.661098</v>
      </c>
      <c r="O71" s="181">
        <v>2.403502</v>
      </c>
      <c r="P71" s="181">
        <v>2.1813250000000002</v>
      </c>
      <c r="Q71" s="181">
        <v>1.9983219999999999</v>
      </c>
      <c r="R71" s="181">
        <v>1.8433870000000001</v>
      </c>
      <c r="S71" s="181">
        <v>1.7108909999999999</v>
      </c>
      <c r="T71" s="181">
        <v>1.599372</v>
      </c>
      <c r="U71" s="181">
        <v>1.4952700000000001</v>
      </c>
      <c r="V71" s="181">
        <v>1.3955059999999999</v>
      </c>
      <c r="W71" s="181">
        <v>1.2983640000000001</v>
      </c>
      <c r="X71" s="181">
        <v>1.2031700000000001</v>
      </c>
      <c r="Y71" s="181">
        <v>1.108185</v>
      </c>
      <c r="Z71" s="181">
        <v>1.0107189999999999</v>
      </c>
      <c r="AA71" s="181">
        <v>0.90755399999999997</v>
      </c>
      <c r="AB71" s="181">
        <v>0.80071899999999996</v>
      </c>
      <c r="AC71" s="181">
        <v>0.69689100000000004</v>
      </c>
      <c r="AD71" s="181">
        <v>0.58797699999999997</v>
      </c>
      <c r="AE71" s="188">
        <v>-9.5000000000000001E-2</v>
      </c>
    </row>
    <row r="72" spans="1:31">
      <c r="A72" t="s">
        <v>379</v>
      </c>
      <c r="B72" t="s">
        <v>4706</v>
      </c>
      <c r="C72" t="s">
        <v>4705</v>
      </c>
      <c r="D72" t="s">
        <v>354</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s="31">
        <v>4.5999999999999999E-2</v>
      </c>
    </row>
    <row r="73" spans="1:31">
      <c r="A73" t="s">
        <v>381</v>
      </c>
      <c r="B73" t="s">
        <v>4704</v>
      </c>
      <c r="C73" t="s">
        <v>4703</v>
      </c>
      <c r="D73" t="s">
        <v>354</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117</v>
      </c>
    </row>
    <row r="74" spans="1:31">
      <c r="A74" t="s">
        <v>380</v>
      </c>
      <c r="B74" t="s">
        <v>4702</v>
      </c>
      <c r="C74" t="s">
        <v>4701</v>
      </c>
      <c r="D74" t="s">
        <v>354</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s="31">
        <v>-8.3000000000000004E-2</v>
      </c>
    </row>
    <row r="75" spans="1:31" s="213" customFormat="1">
      <c r="A75" s="213" t="s">
        <v>382</v>
      </c>
      <c r="B75" s="213" t="s">
        <v>4700</v>
      </c>
      <c r="C75" s="213" t="s">
        <v>4699</v>
      </c>
      <c r="D75" s="213" t="s">
        <v>354</v>
      </c>
      <c r="E75" s="213">
        <v>0</v>
      </c>
      <c r="F75" s="213">
        <v>0</v>
      </c>
      <c r="G75" s="213">
        <v>0</v>
      </c>
      <c r="H75" s="213">
        <v>0</v>
      </c>
      <c r="I75" s="213">
        <v>0</v>
      </c>
      <c r="J75" s="213">
        <v>0</v>
      </c>
      <c r="K75" s="213">
        <v>0</v>
      </c>
      <c r="L75" s="213">
        <v>0</v>
      </c>
      <c r="M75" s="213">
        <v>0</v>
      </c>
      <c r="N75" s="213">
        <v>0</v>
      </c>
      <c r="O75" s="213">
        <v>0</v>
      </c>
      <c r="P75" s="213">
        <v>0</v>
      </c>
      <c r="Q75" s="213">
        <v>0</v>
      </c>
      <c r="R75" s="213">
        <v>0</v>
      </c>
      <c r="S75" s="213">
        <v>0</v>
      </c>
      <c r="T75" s="213">
        <v>0</v>
      </c>
      <c r="U75" s="213">
        <v>0</v>
      </c>
      <c r="V75" s="213">
        <v>0</v>
      </c>
      <c r="W75" s="213">
        <v>0</v>
      </c>
      <c r="X75" s="213">
        <v>0</v>
      </c>
      <c r="Y75" s="213">
        <v>0</v>
      </c>
      <c r="Z75" s="213">
        <v>0</v>
      </c>
      <c r="AA75" s="213">
        <v>0</v>
      </c>
      <c r="AB75" s="213">
        <v>0</v>
      </c>
      <c r="AC75" s="213">
        <v>0</v>
      </c>
      <c r="AD75" s="213">
        <v>0</v>
      </c>
      <c r="AE75" s="213" t="s">
        <v>117</v>
      </c>
    </row>
    <row r="76" spans="1:31" s="213" customFormat="1">
      <c r="A76" s="213" t="s">
        <v>3288</v>
      </c>
      <c r="B76" s="213" t="s">
        <v>4698</v>
      </c>
      <c r="C76" s="213" t="s">
        <v>4697</v>
      </c>
      <c r="D76" s="213" t="s">
        <v>354</v>
      </c>
      <c r="E76" s="213">
        <v>0</v>
      </c>
      <c r="F76" s="213">
        <v>0</v>
      </c>
      <c r="G76" s="213">
        <v>0</v>
      </c>
      <c r="H76" s="213">
        <v>0</v>
      </c>
      <c r="I76" s="213">
        <v>0</v>
      </c>
      <c r="J76" s="213">
        <v>0</v>
      </c>
      <c r="K76" s="213">
        <v>0</v>
      </c>
      <c r="L76" s="213">
        <v>0</v>
      </c>
      <c r="M76" s="213">
        <v>0</v>
      </c>
      <c r="N76" s="213">
        <v>0</v>
      </c>
      <c r="O76" s="213">
        <v>0</v>
      </c>
      <c r="P76" s="213">
        <v>0</v>
      </c>
      <c r="Q76" s="213">
        <v>0</v>
      </c>
      <c r="R76" s="213">
        <v>0</v>
      </c>
      <c r="S76" s="213">
        <v>0</v>
      </c>
      <c r="T76" s="213">
        <v>0</v>
      </c>
      <c r="U76" s="213">
        <v>0</v>
      </c>
      <c r="V76" s="213">
        <v>0</v>
      </c>
      <c r="W76" s="213">
        <v>0</v>
      </c>
      <c r="X76" s="213">
        <v>0</v>
      </c>
      <c r="Y76" s="213">
        <v>0</v>
      </c>
      <c r="Z76" s="213">
        <v>0</v>
      </c>
      <c r="AA76" s="213">
        <v>0</v>
      </c>
      <c r="AB76" s="213">
        <v>0</v>
      </c>
      <c r="AC76" s="213">
        <v>0</v>
      </c>
      <c r="AD76" s="213">
        <v>0</v>
      </c>
      <c r="AE76" s="213" t="s">
        <v>117</v>
      </c>
    </row>
    <row r="77" spans="1:31" s="181" customFormat="1">
      <c r="A77" s="181" t="s">
        <v>3285</v>
      </c>
      <c r="B77" s="181" t="s">
        <v>4696</v>
      </c>
      <c r="C77" s="181" t="s">
        <v>4695</v>
      </c>
      <c r="D77" s="181" t="s">
        <v>354</v>
      </c>
      <c r="E77" s="181">
        <v>0.56146600000000002</v>
      </c>
      <c r="F77" s="181">
        <v>1.3097840000000001</v>
      </c>
      <c r="G77" s="181">
        <v>2.239366</v>
      </c>
      <c r="H77" s="181">
        <v>3.2759990000000001</v>
      </c>
      <c r="I77" s="181">
        <v>4.4040850000000002</v>
      </c>
      <c r="J77" s="181">
        <v>5.7467059999999996</v>
      </c>
      <c r="K77" s="181">
        <v>7.3809750000000003</v>
      </c>
      <c r="L77" s="181">
        <v>9.478567</v>
      </c>
      <c r="M77" s="181">
        <v>12.151581</v>
      </c>
      <c r="N77" s="181">
        <v>15.518043</v>
      </c>
      <c r="O77" s="181">
        <v>19.619717000000001</v>
      </c>
      <c r="P77" s="181">
        <v>24.337212000000001</v>
      </c>
      <c r="Q77" s="181">
        <v>29.516897</v>
      </c>
      <c r="R77" s="181">
        <v>34.967582999999998</v>
      </c>
      <c r="S77" s="181">
        <v>40.532393999999996</v>
      </c>
      <c r="T77" s="181">
        <v>46.140942000000003</v>
      </c>
      <c r="U77" s="181">
        <v>51.637431999999997</v>
      </c>
      <c r="V77" s="181">
        <v>56.900672999999998</v>
      </c>
      <c r="W77" s="181">
        <v>61.844920999999999</v>
      </c>
      <c r="X77" s="181">
        <v>66.521111000000005</v>
      </c>
      <c r="Y77" s="181">
        <v>71.013214000000005</v>
      </c>
      <c r="Z77" s="181">
        <v>75.223206000000005</v>
      </c>
      <c r="AA77" s="181">
        <v>79.136634999999998</v>
      </c>
      <c r="AB77" s="181">
        <v>82.635941000000003</v>
      </c>
      <c r="AC77" s="181">
        <v>85.905379999999994</v>
      </c>
      <c r="AD77" s="181">
        <v>88.91713</v>
      </c>
      <c r="AE77" s="188">
        <v>0.22500000000000001</v>
      </c>
    </row>
    <row r="78" spans="1:31" s="213" customFormat="1">
      <c r="A78" s="213" t="s">
        <v>3282</v>
      </c>
      <c r="B78" s="213" t="s">
        <v>4694</v>
      </c>
      <c r="C78" s="213" t="s">
        <v>4693</v>
      </c>
      <c r="D78" s="213" t="s">
        <v>354</v>
      </c>
      <c r="E78" s="213">
        <v>0</v>
      </c>
      <c r="F78" s="213">
        <v>0</v>
      </c>
      <c r="G78" s="213">
        <v>0</v>
      </c>
      <c r="H78" s="213">
        <v>0</v>
      </c>
      <c r="I78" s="213">
        <v>0</v>
      </c>
      <c r="J78" s="213">
        <v>0</v>
      </c>
      <c r="K78" s="213">
        <v>0</v>
      </c>
      <c r="L78" s="213">
        <v>0</v>
      </c>
      <c r="M78" s="213">
        <v>0</v>
      </c>
      <c r="N78" s="213">
        <v>0</v>
      </c>
      <c r="O78" s="213">
        <v>0</v>
      </c>
      <c r="P78" s="213">
        <v>0</v>
      </c>
      <c r="Q78" s="213">
        <v>0</v>
      </c>
      <c r="R78" s="213">
        <v>0</v>
      </c>
      <c r="S78" s="213">
        <v>0</v>
      </c>
      <c r="T78" s="213">
        <v>0</v>
      </c>
      <c r="U78" s="213">
        <v>0</v>
      </c>
      <c r="V78" s="213">
        <v>0</v>
      </c>
      <c r="W78" s="213">
        <v>0</v>
      </c>
      <c r="X78" s="213">
        <v>0</v>
      </c>
      <c r="Y78" s="213">
        <v>0</v>
      </c>
      <c r="Z78" s="213">
        <v>0</v>
      </c>
      <c r="AA78" s="213">
        <v>0</v>
      </c>
      <c r="AB78" s="213">
        <v>0</v>
      </c>
      <c r="AC78" s="213">
        <v>0</v>
      </c>
      <c r="AD78" s="213">
        <v>0</v>
      </c>
      <c r="AE78" s="213" t="s">
        <v>117</v>
      </c>
    </row>
    <row r="79" spans="1:31" s="194" customFormat="1">
      <c r="A79" s="194" t="s">
        <v>391</v>
      </c>
      <c r="B79" s="194" t="s">
        <v>4692</v>
      </c>
      <c r="C79" s="194" t="s">
        <v>4691</v>
      </c>
      <c r="D79" s="194" t="s">
        <v>354</v>
      </c>
      <c r="E79" s="194">
        <v>858.902466</v>
      </c>
      <c r="F79" s="194">
        <v>837.93743900000004</v>
      </c>
      <c r="G79" s="194">
        <v>819.94567900000004</v>
      </c>
      <c r="H79" s="194">
        <v>803.53991699999995</v>
      </c>
      <c r="I79" s="194">
        <v>786.72430399999996</v>
      </c>
      <c r="J79" s="194">
        <v>773.08642599999996</v>
      </c>
      <c r="K79" s="194">
        <v>757.91375700000003</v>
      </c>
      <c r="L79" s="194">
        <v>745.09356700000001</v>
      </c>
      <c r="M79" s="194">
        <v>731.83337400000005</v>
      </c>
      <c r="N79" s="194">
        <v>721.04522699999995</v>
      </c>
      <c r="O79" s="194">
        <v>711.84491000000003</v>
      </c>
      <c r="P79" s="194">
        <v>704.28845200000001</v>
      </c>
      <c r="Q79" s="194">
        <v>698.41851799999995</v>
      </c>
      <c r="R79" s="194">
        <v>693.55242899999996</v>
      </c>
      <c r="S79" s="194">
        <v>689.848389</v>
      </c>
      <c r="T79" s="194">
        <v>687.282104</v>
      </c>
      <c r="U79" s="194">
        <v>685.05987500000003</v>
      </c>
      <c r="V79" s="194">
        <v>683.53887899999995</v>
      </c>
      <c r="W79" s="194">
        <v>682.313354</v>
      </c>
      <c r="X79" s="194">
        <v>681.95477300000005</v>
      </c>
      <c r="Y79" s="194">
        <v>683.04168700000002</v>
      </c>
      <c r="Z79" s="194">
        <v>684.639771</v>
      </c>
      <c r="AA79" s="194">
        <v>686.74438499999997</v>
      </c>
      <c r="AB79" s="194">
        <v>688.09338400000001</v>
      </c>
      <c r="AC79" s="194">
        <v>689.73199499999998</v>
      </c>
      <c r="AD79" s="194">
        <v>690.91625999999997</v>
      </c>
      <c r="AE79" s="206">
        <v>-8.9999999999999993E-3</v>
      </c>
    </row>
    <row r="80" spans="1:31">
      <c r="A80" t="s">
        <v>392</v>
      </c>
    </row>
    <row r="81" spans="1:31">
      <c r="A81" t="s">
        <v>327</v>
      </c>
      <c r="B81" t="s">
        <v>4690</v>
      </c>
      <c r="C81" t="s">
        <v>4689</v>
      </c>
      <c r="D81" t="s">
        <v>354</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s="31">
        <v>0</v>
      </c>
    </row>
    <row r="82" spans="1:31">
      <c r="A82" t="s">
        <v>313</v>
      </c>
      <c r="B82" t="s">
        <v>4688</v>
      </c>
      <c r="C82" t="s">
        <v>4687</v>
      </c>
      <c r="D82" t="s">
        <v>354</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s="31">
        <v>-4.3999999999999997E-2</v>
      </c>
    </row>
    <row r="83" spans="1:31">
      <c r="A83" t="s">
        <v>308</v>
      </c>
      <c r="B83" t="s">
        <v>4686</v>
      </c>
      <c r="C83" t="s">
        <v>4685</v>
      </c>
      <c r="D83" t="s">
        <v>354</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s="31">
        <v>-9.2999999999999999E-2</v>
      </c>
    </row>
    <row r="84" spans="1:31">
      <c r="A84" t="s">
        <v>307</v>
      </c>
      <c r="B84" t="s">
        <v>4684</v>
      </c>
      <c r="C84" t="s">
        <v>4683</v>
      </c>
      <c r="D84" t="s">
        <v>354</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s="31">
        <v>3.6999999999999998E-2</v>
      </c>
    </row>
    <row r="85" spans="1:31">
      <c r="A85" t="s">
        <v>378</v>
      </c>
      <c r="B85" t="s">
        <v>4682</v>
      </c>
      <c r="C85" t="s">
        <v>4681</v>
      </c>
      <c r="D85" t="s">
        <v>354</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117</v>
      </c>
    </row>
    <row r="86" spans="1:31">
      <c r="A86" t="s">
        <v>379</v>
      </c>
      <c r="B86" t="s">
        <v>4680</v>
      </c>
      <c r="C86" t="s">
        <v>4679</v>
      </c>
      <c r="D86" t="s">
        <v>354</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s="31">
        <v>4.4999999999999998E-2</v>
      </c>
    </row>
    <row r="87" spans="1:31">
      <c r="A87" t="s">
        <v>381</v>
      </c>
      <c r="B87" t="s">
        <v>4678</v>
      </c>
      <c r="C87" t="s">
        <v>4677</v>
      </c>
      <c r="D87" t="s">
        <v>354</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117</v>
      </c>
    </row>
    <row r="88" spans="1:31">
      <c r="A88" t="s">
        <v>380</v>
      </c>
      <c r="B88" t="s">
        <v>4676</v>
      </c>
      <c r="C88" t="s">
        <v>4675</v>
      </c>
      <c r="D88" t="s">
        <v>354</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117</v>
      </c>
    </row>
    <row r="89" spans="1:31">
      <c r="A89" t="s">
        <v>382</v>
      </c>
      <c r="B89" t="s">
        <v>4674</v>
      </c>
      <c r="C89" t="s">
        <v>4673</v>
      </c>
      <c r="D89" t="s">
        <v>354</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117</v>
      </c>
    </row>
    <row r="90" spans="1:31">
      <c r="A90" t="s">
        <v>3288</v>
      </c>
      <c r="B90" t="s">
        <v>4672</v>
      </c>
      <c r="C90" t="s">
        <v>4671</v>
      </c>
      <c r="D90" t="s">
        <v>354</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117</v>
      </c>
    </row>
    <row r="91" spans="1:31">
      <c r="A91" t="s">
        <v>3285</v>
      </c>
      <c r="B91" t="s">
        <v>4670</v>
      </c>
      <c r="C91" t="s">
        <v>4669</v>
      </c>
      <c r="D91" t="s">
        <v>354</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117</v>
      </c>
    </row>
    <row r="92" spans="1:31">
      <c r="A92" t="s">
        <v>3282</v>
      </c>
      <c r="B92" t="s">
        <v>4668</v>
      </c>
      <c r="C92" t="s">
        <v>4667</v>
      </c>
      <c r="D92" t="s">
        <v>354</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117</v>
      </c>
    </row>
    <row r="93" spans="1:31">
      <c r="A93" t="s">
        <v>393</v>
      </c>
      <c r="B93" t="s">
        <v>4666</v>
      </c>
      <c r="C93" t="s">
        <v>4665</v>
      </c>
      <c r="D93" t="s">
        <v>354</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s="31">
        <v>1E-3</v>
      </c>
    </row>
    <row r="94" spans="1:31">
      <c r="A94" t="s">
        <v>341</v>
      </c>
      <c r="B94" t="s">
        <v>396</v>
      </c>
      <c r="C94" t="s">
        <v>412</v>
      </c>
    </row>
    <row r="95" spans="1:31">
      <c r="A95" t="s">
        <v>327</v>
      </c>
      <c r="B95" t="s">
        <v>4664</v>
      </c>
      <c r="C95" t="s">
        <v>4663</v>
      </c>
      <c r="D95" t="s">
        <v>354</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s="31">
        <v>-4.0000000000000001E-3</v>
      </c>
    </row>
    <row r="96" spans="1:31">
      <c r="A96" t="s">
        <v>313</v>
      </c>
      <c r="B96" t="s">
        <v>4662</v>
      </c>
      <c r="C96" t="s">
        <v>4661</v>
      </c>
      <c r="D96" t="s">
        <v>354</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s="31">
        <v>1E-3</v>
      </c>
    </row>
    <row r="97" spans="1:31">
      <c r="A97" t="s">
        <v>308</v>
      </c>
      <c r="B97" t="s">
        <v>4660</v>
      </c>
      <c r="C97" t="s">
        <v>4659</v>
      </c>
      <c r="D97" t="s">
        <v>354</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s="31">
        <v>-9.1999999999999998E-2</v>
      </c>
    </row>
    <row r="98" spans="1:31">
      <c r="A98" t="s">
        <v>307</v>
      </c>
      <c r="B98" t="s">
        <v>4658</v>
      </c>
      <c r="C98" t="s">
        <v>4657</v>
      </c>
      <c r="D98" t="s">
        <v>354</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s="31">
        <v>3.7999999999999999E-2</v>
      </c>
    </row>
    <row r="99" spans="1:31">
      <c r="A99" t="s">
        <v>378</v>
      </c>
      <c r="B99" t="s">
        <v>4656</v>
      </c>
      <c r="C99" t="s">
        <v>4655</v>
      </c>
      <c r="D99" t="s">
        <v>354</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s="31">
        <v>-0.111</v>
      </c>
    </row>
    <row r="100" spans="1:31">
      <c r="A100" t="s">
        <v>379</v>
      </c>
      <c r="B100" t="s">
        <v>4654</v>
      </c>
      <c r="C100" t="s">
        <v>4653</v>
      </c>
      <c r="D100" t="s">
        <v>354</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s="31">
        <v>0.123</v>
      </c>
    </row>
    <row r="101" spans="1:31">
      <c r="A101" t="s">
        <v>381</v>
      </c>
      <c r="B101" t="s">
        <v>4652</v>
      </c>
      <c r="C101" t="s">
        <v>4651</v>
      </c>
      <c r="D101" t="s">
        <v>354</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117</v>
      </c>
    </row>
    <row r="102" spans="1:31">
      <c r="A102" t="s">
        <v>380</v>
      </c>
      <c r="B102" t="s">
        <v>4650</v>
      </c>
      <c r="C102" t="s">
        <v>4649</v>
      </c>
      <c r="D102" t="s">
        <v>354</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s="31">
        <v>-8.3000000000000004E-2</v>
      </c>
    </row>
    <row r="103" spans="1:31">
      <c r="A103" t="s">
        <v>382</v>
      </c>
      <c r="B103" t="s">
        <v>4648</v>
      </c>
      <c r="C103" t="s">
        <v>4647</v>
      </c>
      <c r="D103" t="s">
        <v>354</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117</v>
      </c>
    </row>
    <row r="104" spans="1:31">
      <c r="A104" t="s">
        <v>3288</v>
      </c>
      <c r="B104" t="s">
        <v>4646</v>
      </c>
      <c r="C104" t="s">
        <v>4645</v>
      </c>
      <c r="D104" t="s">
        <v>354</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117</v>
      </c>
    </row>
    <row r="105" spans="1:31">
      <c r="A105" t="s">
        <v>3285</v>
      </c>
      <c r="B105" t="s">
        <v>4644</v>
      </c>
      <c r="C105" t="s">
        <v>4643</v>
      </c>
      <c r="D105" t="s">
        <v>354</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s="31">
        <v>0.25700000000000001</v>
      </c>
    </row>
    <row r="106" spans="1:31">
      <c r="A106" t="s">
        <v>3282</v>
      </c>
      <c r="B106" t="s">
        <v>4642</v>
      </c>
      <c r="C106" t="s">
        <v>4641</v>
      </c>
      <c r="D106" t="s">
        <v>354</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117</v>
      </c>
    </row>
    <row r="107" spans="1:31">
      <c r="A107" t="s">
        <v>195</v>
      </c>
      <c r="B107" t="s">
        <v>4640</v>
      </c>
      <c r="C107" t="s">
        <v>4639</v>
      </c>
      <c r="D107" t="s">
        <v>354</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s="31">
        <v>0</v>
      </c>
    </row>
    <row r="108" spans="1:31">
      <c r="A108" t="s">
        <v>397</v>
      </c>
    </row>
    <row r="109" spans="1:31">
      <c r="A109" t="s">
        <v>341</v>
      </c>
    </row>
    <row r="110" spans="1:31">
      <c r="A110" t="s">
        <v>327</v>
      </c>
      <c r="B110" t="s">
        <v>4638</v>
      </c>
      <c r="C110" t="s">
        <v>4637</v>
      </c>
      <c r="D110" t="s">
        <v>413</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s="31">
        <v>3.0000000000000001E-3</v>
      </c>
    </row>
    <row r="111" spans="1:31">
      <c r="A111" t="s">
        <v>313</v>
      </c>
      <c r="B111" t="s">
        <v>4636</v>
      </c>
      <c r="C111" t="s">
        <v>4635</v>
      </c>
      <c r="D111" t="s">
        <v>414</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s="31">
        <v>2E-3</v>
      </c>
    </row>
    <row r="112" spans="1:31">
      <c r="A112" t="s">
        <v>308</v>
      </c>
      <c r="B112" t="s">
        <v>4634</v>
      </c>
      <c r="C112" t="s">
        <v>4633</v>
      </c>
      <c r="D112" t="s">
        <v>414</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s="31">
        <v>0.01</v>
      </c>
    </row>
    <row r="113" spans="1:31">
      <c r="A113" t="s">
        <v>307</v>
      </c>
      <c r="B113" t="s">
        <v>4632</v>
      </c>
      <c r="C113" t="s">
        <v>4631</v>
      </c>
      <c r="D113" t="s">
        <v>414</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s="31">
        <v>5.0000000000000001E-3</v>
      </c>
    </row>
    <row r="114" spans="1:31">
      <c r="A114" t="s">
        <v>378</v>
      </c>
      <c r="B114" t="s">
        <v>4630</v>
      </c>
      <c r="C114" t="s">
        <v>4629</v>
      </c>
      <c r="D114" t="s">
        <v>414</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s="31">
        <v>0</v>
      </c>
    </row>
    <row r="115" spans="1:31">
      <c r="A115" t="s">
        <v>379</v>
      </c>
      <c r="B115" t="s">
        <v>4628</v>
      </c>
      <c r="C115" t="s">
        <v>4627</v>
      </c>
      <c r="D115" t="s">
        <v>413</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s="31">
        <v>1E-3</v>
      </c>
    </row>
    <row r="116" spans="1:31">
      <c r="A116" t="s">
        <v>381</v>
      </c>
      <c r="B116" t="s">
        <v>4626</v>
      </c>
      <c r="C116" t="s">
        <v>4625</v>
      </c>
      <c r="D116" t="s">
        <v>413</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117</v>
      </c>
    </row>
    <row r="117" spans="1:31">
      <c r="A117" t="s">
        <v>380</v>
      </c>
      <c r="B117" t="s">
        <v>4624</v>
      </c>
      <c r="C117" t="s">
        <v>4623</v>
      </c>
      <c r="D117" t="s">
        <v>414</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117</v>
      </c>
    </row>
    <row r="118" spans="1:31">
      <c r="A118" t="s">
        <v>382</v>
      </c>
      <c r="B118" t="s">
        <v>4622</v>
      </c>
      <c r="C118" t="s">
        <v>4621</v>
      </c>
      <c r="D118" t="s">
        <v>413</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117</v>
      </c>
    </row>
    <row r="119" spans="1:31">
      <c r="A119" t="s">
        <v>3288</v>
      </c>
      <c r="B119" t="s">
        <v>4620</v>
      </c>
      <c r="C119" t="s">
        <v>4619</v>
      </c>
      <c r="D119" t="s">
        <v>413</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117</v>
      </c>
    </row>
    <row r="120" spans="1:31">
      <c r="A120" t="s">
        <v>3285</v>
      </c>
      <c r="B120" t="s">
        <v>4618</v>
      </c>
      <c r="C120" t="s">
        <v>4617</v>
      </c>
      <c r="D120" t="s">
        <v>414</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s="31">
        <v>1E-3</v>
      </c>
    </row>
    <row r="121" spans="1:31">
      <c r="A121" t="s">
        <v>3282</v>
      </c>
      <c r="B121" t="s">
        <v>4616</v>
      </c>
      <c r="C121" t="s">
        <v>4615</v>
      </c>
      <c r="D121" t="s">
        <v>413</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117</v>
      </c>
    </row>
    <row r="122" spans="1:31">
      <c r="A122" t="s">
        <v>398</v>
      </c>
      <c r="B122" t="s">
        <v>4614</v>
      </c>
      <c r="C122" t="s">
        <v>4613</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s="31">
        <v>6.0000000000000001E-3</v>
      </c>
    </row>
    <row r="123" spans="1:31">
      <c r="A123" t="s">
        <v>342</v>
      </c>
    </row>
    <row r="124" spans="1:31">
      <c r="A124" t="s">
        <v>327</v>
      </c>
      <c r="B124" t="s">
        <v>4612</v>
      </c>
      <c r="C124" t="s">
        <v>4611</v>
      </c>
      <c r="D124" t="s">
        <v>413</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s="31">
        <v>8.9999999999999993E-3</v>
      </c>
    </row>
    <row r="125" spans="1:31">
      <c r="A125" t="s">
        <v>313</v>
      </c>
      <c r="B125" t="s">
        <v>4610</v>
      </c>
      <c r="C125" t="s">
        <v>4609</v>
      </c>
      <c r="D125" t="s">
        <v>414</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s="31">
        <v>5.0000000000000001E-3</v>
      </c>
    </row>
    <row r="126" spans="1:31">
      <c r="A126" t="s">
        <v>308</v>
      </c>
      <c r="B126" t="s">
        <v>4608</v>
      </c>
      <c r="C126" t="s">
        <v>4607</v>
      </c>
      <c r="D126" t="s">
        <v>414</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s="31">
        <v>4.0000000000000001E-3</v>
      </c>
    </row>
    <row r="127" spans="1:31">
      <c r="A127" t="s">
        <v>307</v>
      </c>
      <c r="B127" t="s">
        <v>4606</v>
      </c>
      <c r="C127" t="s">
        <v>4605</v>
      </c>
      <c r="D127" t="s">
        <v>414</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s="31">
        <v>0.01</v>
      </c>
    </row>
    <row r="128" spans="1:31">
      <c r="A128" t="s">
        <v>378</v>
      </c>
      <c r="B128" t="s">
        <v>4604</v>
      </c>
      <c r="C128" t="s">
        <v>4603</v>
      </c>
      <c r="D128" t="s">
        <v>415</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s="31">
        <v>0</v>
      </c>
    </row>
    <row r="129" spans="1:31">
      <c r="A129" t="s">
        <v>379</v>
      </c>
      <c r="B129" t="s">
        <v>4602</v>
      </c>
      <c r="C129" t="s">
        <v>4601</v>
      </c>
      <c r="D129" t="s">
        <v>414</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s="31">
        <v>-3.0000000000000001E-3</v>
      </c>
    </row>
    <row r="130" spans="1:31">
      <c r="A130" t="s">
        <v>381</v>
      </c>
      <c r="B130" t="s">
        <v>4600</v>
      </c>
      <c r="C130" t="s">
        <v>4599</v>
      </c>
      <c r="D130" t="s">
        <v>414</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117</v>
      </c>
    </row>
    <row r="131" spans="1:31">
      <c r="A131" t="s">
        <v>380</v>
      </c>
      <c r="B131" t="s">
        <v>4598</v>
      </c>
      <c r="C131" t="s">
        <v>4597</v>
      </c>
      <c r="D131" t="s">
        <v>414</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s="31">
        <v>0</v>
      </c>
    </row>
    <row r="132" spans="1:31">
      <c r="A132" t="s">
        <v>382</v>
      </c>
      <c r="B132" t="s">
        <v>4596</v>
      </c>
      <c r="C132" t="s">
        <v>4595</v>
      </c>
      <c r="D132" t="s">
        <v>414</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117</v>
      </c>
    </row>
    <row r="133" spans="1:31">
      <c r="A133" t="s">
        <v>3288</v>
      </c>
      <c r="B133" t="s">
        <v>4594</v>
      </c>
      <c r="C133" t="s">
        <v>4593</v>
      </c>
      <c r="D133" t="s">
        <v>413</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117</v>
      </c>
    </row>
    <row r="134" spans="1:31">
      <c r="A134" t="s">
        <v>3285</v>
      </c>
      <c r="B134" t="s">
        <v>4592</v>
      </c>
      <c r="C134" t="s">
        <v>4591</v>
      </c>
      <c r="D134" t="s">
        <v>414</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s="31">
        <v>3.0000000000000001E-3</v>
      </c>
    </row>
    <row r="135" spans="1:31">
      <c r="A135" t="s">
        <v>3282</v>
      </c>
      <c r="B135" t="s">
        <v>4590</v>
      </c>
      <c r="C135" t="s">
        <v>4589</v>
      </c>
      <c r="D135" t="s">
        <v>413</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117</v>
      </c>
    </row>
    <row r="136" spans="1:31">
      <c r="A136" t="s">
        <v>399</v>
      </c>
      <c r="B136" t="s">
        <v>4588</v>
      </c>
      <c r="C136" t="s">
        <v>4587</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s="31">
        <v>7.0000000000000001E-3</v>
      </c>
    </row>
    <row r="137" spans="1:31">
      <c r="A137" t="s">
        <v>392</v>
      </c>
    </row>
    <row r="138" spans="1:31">
      <c r="A138" t="s">
        <v>327</v>
      </c>
      <c r="B138" t="s">
        <v>4586</v>
      </c>
      <c r="C138" t="s">
        <v>4585</v>
      </c>
      <c r="D138" t="s">
        <v>413</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s="31">
        <v>8.0000000000000002E-3</v>
      </c>
    </row>
    <row r="139" spans="1:31">
      <c r="A139" t="s">
        <v>313</v>
      </c>
      <c r="B139" t="s">
        <v>4584</v>
      </c>
      <c r="C139" t="s">
        <v>4583</v>
      </c>
      <c r="D139" t="s">
        <v>414</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s="31">
        <v>8.9999999999999993E-3</v>
      </c>
    </row>
    <row r="140" spans="1:31">
      <c r="A140" t="s">
        <v>308</v>
      </c>
      <c r="B140" t="s">
        <v>4582</v>
      </c>
      <c r="C140" t="s">
        <v>4581</v>
      </c>
      <c r="D140" t="s">
        <v>414</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s="31">
        <v>0</v>
      </c>
    </row>
    <row r="141" spans="1:31">
      <c r="A141" t="s">
        <v>307</v>
      </c>
      <c r="B141" t="s">
        <v>4580</v>
      </c>
      <c r="C141" t="s">
        <v>4579</v>
      </c>
      <c r="D141" t="s">
        <v>413</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s="31">
        <v>8.0000000000000002E-3</v>
      </c>
    </row>
    <row r="142" spans="1:31">
      <c r="A142" t="s">
        <v>378</v>
      </c>
      <c r="B142" t="s">
        <v>4578</v>
      </c>
      <c r="C142" t="s">
        <v>4577</v>
      </c>
      <c r="D142" t="s">
        <v>414</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117</v>
      </c>
    </row>
    <row r="143" spans="1:31">
      <c r="A143" t="s">
        <v>379</v>
      </c>
      <c r="B143" t="s">
        <v>4576</v>
      </c>
      <c r="C143" t="s">
        <v>4575</v>
      </c>
      <c r="D143" t="s">
        <v>413</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s="31">
        <v>3.0000000000000001E-3</v>
      </c>
    </row>
    <row r="144" spans="1:31">
      <c r="A144" t="s">
        <v>381</v>
      </c>
      <c r="B144" t="s">
        <v>4574</v>
      </c>
      <c r="C144" t="s">
        <v>4573</v>
      </c>
      <c r="D144" t="s">
        <v>413</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117</v>
      </c>
    </row>
    <row r="145" spans="1:31">
      <c r="A145" t="s">
        <v>380</v>
      </c>
      <c r="B145" t="s">
        <v>4572</v>
      </c>
      <c r="C145" t="s">
        <v>4571</v>
      </c>
      <c r="D145" t="s">
        <v>414</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117</v>
      </c>
    </row>
    <row r="146" spans="1:31">
      <c r="A146" t="s">
        <v>382</v>
      </c>
      <c r="B146" t="s">
        <v>4570</v>
      </c>
      <c r="C146" t="s">
        <v>4569</v>
      </c>
      <c r="D146" t="s">
        <v>413</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117</v>
      </c>
    </row>
    <row r="147" spans="1:31">
      <c r="A147" t="s">
        <v>3288</v>
      </c>
      <c r="B147" t="s">
        <v>4568</v>
      </c>
      <c r="C147" t="s">
        <v>4567</v>
      </c>
      <c r="D147" t="s">
        <v>413</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117</v>
      </c>
    </row>
    <row r="148" spans="1:31">
      <c r="A148" t="s">
        <v>3285</v>
      </c>
      <c r="B148" t="s">
        <v>4566</v>
      </c>
      <c r="C148" t="s">
        <v>4565</v>
      </c>
      <c r="D148" t="s">
        <v>414</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117</v>
      </c>
    </row>
    <row r="149" spans="1:31">
      <c r="A149" t="s">
        <v>3282</v>
      </c>
      <c r="B149" t="s">
        <v>4564</v>
      </c>
      <c r="C149" t="s">
        <v>4563</v>
      </c>
      <c r="D149" t="s">
        <v>413</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117</v>
      </c>
    </row>
    <row r="150" spans="1:31">
      <c r="A150" t="s">
        <v>400</v>
      </c>
      <c r="B150" t="s">
        <v>4562</v>
      </c>
      <c r="C150" t="s">
        <v>4561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s="31">
        <v>8.0000000000000002E-3</v>
      </c>
    </row>
    <row r="151" spans="1:31">
      <c r="A151" t="s">
        <v>401</v>
      </c>
      <c r="B151" t="s">
        <v>4560</v>
      </c>
      <c r="C151" t="s">
        <v>4559</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s="31">
        <v>8.0000000000000002E-3</v>
      </c>
    </row>
    <row r="152" spans="1:31">
      <c r="A152" t="s">
        <v>402</v>
      </c>
    </row>
    <row r="153" spans="1:31">
      <c r="A153" t="s">
        <v>341</v>
      </c>
    </row>
    <row r="154" spans="1:31">
      <c r="A154" t="s">
        <v>327</v>
      </c>
      <c r="B154" t="s">
        <v>4558</v>
      </c>
      <c r="C154" t="s">
        <v>4557</v>
      </c>
      <c r="D154" t="s">
        <v>416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s="31">
        <v>-4.0000000000000001E-3</v>
      </c>
    </row>
    <row r="155" spans="1:31">
      <c r="A155" t="s">
        <v>313</v>
      </c>
      <c r="B155" t="s">
        <v>4556</v>
      </c>
      <c r="C155" t="s">
        <v>4555</v>
      </c>
      <c r="D155" t="s">
        <v>416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s="31">
        <v>2.3E-2</v>
      </c>
    </row>
    <row r="156" spans="1:31">
      <c r="A156" t="s">
        <v>308</v>
      </c>
      <c r="B156" t="s">
        <v>4554</v>
      </c>
      <c r="C156" t="s">
        <v>4553</v>
      </c>
      <c r="D156" t="s">
        <v>416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s="31">
        <v>-6.0000000000000001E-3</v>
      </c>
    </row>
    <row r="157" spans="1:31">
      <c r="A157" t="s">
        <v>307</v>
      </c>
      <c r="B157" t="s">
        <v>4552</v>
      </c>
      <c r="C157" t="s">
        <v>4551</v>
      </c>
      <c r="D157" t="s">
        <v>416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s="31">
        <v>0.126</v>
      </c>
    </row>
    <row r="158" spans="1:31">
      <c r="A158" t="s">
        <v>378</v>
      </c>
      <c r="B158" t="s">
        <v>4550</v>
      </c>
      <c r="C158" t="s">
        <v>4549</v>
      </c>
      <c r="D158" t="s">
        <v>416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s="31">
        <v>-6.5000000000000002E-2</v>
      </c>
    </row>
    <row r="159" spans="1:31">
      <c r="A159" t="s">
        <v>379</v>
      </c>
      <c r="B159" t="s">
        <v>4548</v>
      </c>
      <c r="C159" t="s">
        <v>4547</v>
      </c>
      <c r="D159" t="s">
        <v>416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s="31">
        <v>0.21199999999999999</v>
      </c>
    </row>
    <row r="160" spans="1:31">
      <c r="A160" t="s">
        <v>381</v>
      </c>
      <c r="B160" t="s">
        <v>4546</v>
      </c>
      <c r="C160" t="s">
        <v>4545</v>
      </c>
      <c r="D160" t="s">
        <v>416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117</v>
      </c>
    </row>
    <row r="161" spans="1:31">
      <c r="A161" t="s">
        <v>380</v>
      </c>
      <c r="B161" t="s">
        <v>4544</v>
      </c>
      <c r="C161" t="s">
        <v>4543</v>
      </c>
      <c r="D161" t="s">
        <v>416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117</v>
      </c>
    </row>
    <row r="162" spans="1:31">
      <c r="A162" t="s">
        <v>382</v>
      </c>
      <c r="B162" t="s">
        <v>4542</v>
      </c>
      <c r="C162" t="s">
        <v>4541</v>
      </c>
      <c r="D162" t="s">
        <v>416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117</v>
      </c>
    </row>
    <row r="163" spans="1:31">
      <c r="A163" t="s">
        <v>3288</v>
      </c>
      <c r="B163" t="s">
        <v>4540</v>
      </c>
      <c r="C163" t="s">
        <v>4539</v>
      </c>
      <c r="D163" t="s">
        <v>416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117</v>
      </c>
    </row>
    <row r="164" spans="1:31">
      <c r="A164" t="s">
        <v>3285</v>
      </c>
      <c r="B164" t="s">
        <v>4538</v>
      </c>
      <c r="C164" t="s">
        <v>4537</v>
      </c>
      <c r="D164" t="s">
        <v>416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s="31">
        <v>0.33</v>
      </c>
    </row>
    <row r="165" spans="1:31">
      <c r="A165" t="s">
        <v>3282</v>
      </c>
      <c r="B165" t="s">
        <v>4536</v>
      </c>
      <c r="C165" t="s">
        <v>4535</v>
      </c>
      <c r="D165" t="s">
        <v>416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117</v>
      </c>
    </row>
    <row r="166" spans="1:31" s="14" customFormat="1">
      <c r="A166" s="14" t="s">
        <v>390</v>
      </c>
      <c r="B166" s="14" t="s">
        <v>4534</v>
      </c>
      <c r="C166" s="14" t="s">
        <v>4533</v>
      </c>
      <c r="D166" s="14" t="s">
        <v>416</v>
      </c>
      <c r="E166" s="14">
        <v>5.7115710000000002</v>
      </c>
      <c r="F166" s="14">
        <v>5.8793040000000003</v>
      </c>
      <c r="G166" s="14">
        <v>6.0593890000000004</v>
      </c>
      <c r="H166" s="14">
        <v>6.2427799999999998</v>
      </c>
      <c r="I166" s="14">
        <v>6.431324</v>
      </c>
      <c r="J166" s="14">
        <v>6.628965</v>
      </c>
      <c r="K166" s="14">
        <v>6.8280130000000003</v>
      </c>
      <c r="L166" s="14">
        <v>7.0310769999999998</v>
      </c>
      <c r="M166" s="14">
        <v>7.2286590000000004</v>
      </c>
      <c r="N166" s="14">
        <v>7.4252359999999999</v>
      </c>
      <c r="O166" s="14">
        <v>7.6170400000000003</v>
      </c>
      <c r="P166" s="14">
        <v>7.8034590000000001</v>
      </c>
      <c r="Q166" s="14">
        <v>7.9885890000000002</v>
      </c>
      <c r="R166" s="14">
        <v>8.1732069999999997</v>
      </c>
      <c r="S166" s="14">
        <v>8.3510360000000006</v>
      </c>
      <c r="T166" s="14">
        <v>8.5221140000000002</v>
      </c>
      <c r="U166" s="14">
        <v>8.6916510000000002</v>
      </c>
      <c r="V166" s="14">
        <v>8.8551350000000006</v>
      </c>
      <c r="W166" s="14">
        <v>9.02576</v>
      </c>
      <c r="X166" s="14">
        <v>9.1965900000000005</v>
      </c>
      <c r="Y166" s="14">
        <v>9.3623499999999993</v>
      </c>
      <c r="Z166" s="14">
        <v>9.5174509999999994</v>
      </c>
      <c r="AA166" s="14">
        <v>9.6720459999999999</v>
      </c>
      <c r="AB166" s="14">
        <v>9.8205880000000008</v>
      </c>
      <c r="AC166" s="14">
        <v>9.9564520000000005</v>
      </c>
      <c r="AD166" s="14">
        <v>10.08164</v>
      </c>
      <c r="AE166" s="161">
        <v>2.3E-2</v>
      </c>
    </row>
    <row r="167" spans="1:31">
      <c r="A167" t="s">
        <v>342</v>
      </c>
    </row>
    <row r="168" spans="1:31">
      <c r="A168" t="s">
        <v>327</v>
      </c>
      <c r="B168" t="s">
        <v>4532</v>
      </c>
      <c r="C168" t="s">
        <v>4531</v>
      </c>
      <c r="D168" t="s">
        <v>416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s="31">
        <v>-5.0000000000000001E-3</v>
      </c>
    </row>
    <row r="169" spans="1:31">
      <c r="A169" t="s">
        <v>313</v>
      </c>
      <c r="B169" t="s">
        <v>4530</v>
      </c>
      <c r="C169" t="s">
        <v>4529</v>
      </c>
      <c r="D169" t="s">
        <v>416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s="31">
        <v>8.0000000000000002E-3</v>
      </c>
    </row>
    <row r="170" spans="1:31">
      <c r="A170" t="s">
        <v>308</v>
      </c>
      <c r="B170" t="s">
        <v>4528</v>
      </c>
      <c r="C170" t="s">
        <v>4527</v>
      </c>
      <c r="D170" t="s">
        <v>416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s="31">
        <v>-8.2000000000000003E-2</v>
      </c>
    </row>
    <row r="171" spans="1:31">
      <c r="A171" t="s">
        <v>307</v>
      </c>
      <c r="B171" t="s">
        <v>4526</v>
      </c>
      <c r="C171" t="s">
        <v>4525</v>
      </c>
      <c r="D171" t="s">
        <v>416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s="31">
        <v>6.4000000000000001E-2</v>
      </c>
    </row>
    <row r="172" spans="1:31">
      <c r="A172" t="s">
        <v>378</v>
      </c>
      <c r="B172" t="s">
        <v>4524</v>
      </c>
      <c r="C172" t="s">
        <v>4523</v>
      </c>
      <c r="D172" t="s">
        <v>416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s="31">
        <v>-5.1999999999999998E-2</v>
      </c>
    </row>
    <row r="173" spans="1:31">
      <c r="A173" t="s">
        <v>379</v>
      </c>
      <c r="B173" t="s">
        <v>4522</v>
      </c>
      <c r="C173" t="s">
        <v>4521</v>
      </c>
      <c r="D173" t="s">
        <v>416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s="31">
        <v>7.0999999999999994E-2</v>
      </c>
    </row>
    <row r="174" spans="1:31">
      <c r="A174" t="s">
        <v>381</v>
      </c>
      <c r="B174" t="s">
        <v>4520</v>
      </c>
      <c r="C174" t="s">
        <v>4519</v>
      </c>
      <c r="D174" t="s">
        <v>416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117</v>
      </c>
    </row>
    <row r="175" spans="1:31">
      <c r="A175" t="s">
        <v>380</v>
      </c>
      <c r="B175" t="s">
        <v>4518</v>
      </c>
      <c r="C175" t="s">
        <v>4517</v>
      </c>
      <c r="D175" t="s">
        <v>416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s="31">
        <v>-1.9E-2</v>
      </c>
    </row>
    <row r="176" spans="1:31">
      <c r="A176" t="s">
        <v>382</v>
      </c>
      <c r="B176" t="s">
        <v>4516</v>
      </c>
      <c r="C176" t="s">
        <v>4515</v>
      </c>
      <c r="D176" t="s">
        <v>416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117</v>
      </c>
    </row>
    <row r="177" spans="1:31">
      <c r="A177" t="s">
        <v>3288</v>
      </c>
      <c r="B177" t="s">
        <v>4514</v>
      </c>
      <c r="C177" t="s">
        <v>4513</v>
      </c>
      <c r="D177" t="s">
        <v>416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117</v>
      </c>
    </row>
    <row r="178" spans="1:31">
      <c r="A178" t="s">
        <v>3285</v>
      </c>
      <c r="B178" t="s">
        <v>4512</v>
      </c>
      <c r="C178" t="s">
        <v>4511</v>
      </c>
      <c r="D178" t="s">
        <v>416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s="31">
        <v>0.27500000000000002</v>
      </c>
    </row>
    <row r="179" spans="1:31">
      <c r="A179" t="s">
        <v>3282</v>
      </c>
      <c r="B179" t="s">
        <v>4510</v>
      </c>
      <c r="C179" t="s">
        <v>4509</v>
      </c>
      <c r="D179" t="s">
        <v>416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117</v>
      </c>
    </row>
    <row r="180" spans="1:31" s="14" customFormat="1">
      <c r="A180" s="14" t="s">
        <v>391</v>
      </c>
      <c r="B180" s="14" t="s">
        <v>4508</v>
      </c>
      <c r="C180" s="14" t="s">
        <v>4507</v>
      </c>
      <c r="D180" s="14" t="s">
        <v>416</v>
      </c>
      <c r="E180" s="14">
        <v>4.0657500000000004</v>
      </c>
      <c r="F180" s="14">
        <v>4.0873030000000004</v>
      </c>
      <c r="G180" s="14">
        <v>4.1278769999999998</v>
      </c>
      <c r="H180" s="14">
        <v>4.171017</v>
      </c>
      <c r="I180" s="14">
        <v>4.2092689999999999</v>
      </c>
      <c r="J180" s="14">
        <v>4.2492270000000003</v>
      </c>
      <c r="K180" s="14">
        <v>4.2856310000000004</v>
      </c>
      <c r="L180" s="14">
        <v>4.3263170000000004</v>
      </c>
      <c r="M180" s="14">
        <v>4.3584940000000003</v>
      </c>
      <c r="N180" s="14">
        <v>4.3858829999999998</v>
      </c>
      <c r="O180" s="14">
        <v>4.4158590000000002</v>
      </c>
      <c r="P180" s="14">
        <v>4.4446240000000001</v>
      </c>
      <c r="Q180" s="14">
        <v>4.472855</v>
      </c>
      <c r="R180" s="14">
        <v>4.4955429999999996</v>
      </c>
      <c r="S180" s="14">
        <v>4.5140710000000004</v>
      </c>
      <c r="T180" s="14">
        <v>4.5259270000000003</v>
      </c>
      <c r="U180" s="14">
        <v>4.5358349999999996</v>
      </c>
      <c r="V180" s="14">
        <v>4.5470509999999997</v>
      </c>
      <c r="W180" s="14">
        <v>4.568441</v>
      </c>
      <c r="X180" s="14">
        <v>4.5969749999999996</v>
      </c>
      <c r="Y180" s="14">
        <v>4.6244420000000002</v>
      </c>
      <c r="Z180" s="14">
        <v>4.6458279999999998</v>
      </c>
      <c r="AA180" s="14">
        <v>4.663176</v>
      </c>
      <c r="AB180" s="14">
        <v>4.6755880000000003</v>
      </c>
      <c r="AC180" s="14">
        <v>4.6816820000000003</v>
      </c>
      <c r="AD180" s="14">
        <v>4.6813149999999997</v>
      </c>
      <c r="AE180" s="161">
        <v>6.0000000000000001E-3</v>
      </c>
    </row>
    <row r="181" spans="1:31">
      <c r="A181" t="s">
        <v>392</v>
      </c>
    </row>
    <row r="182" spans="1:31">
      <c r="A182" t="s">
        <v>327</v>
      </c>
      <c r="B182" t="s">
        <v>4506</v>
      </c>
      <c r="C182" t="s">
        <v>4505</v>
      </c>
      <c r="D182" t="s">
        <v>416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s="31">
        <v>1.2E-2</v>
      </c>
    </row>
    <row r="183" spans="1:31">
      <c r="A183" t="s">
        <v>313</v>
      </c>
      <c r="B183" t="s">
        <v>4504</v>
      </c>
      <c r="C183" t="s">
        <v>4503</v>
      </c>
      <c r="D183" t="s">
        <v>416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s="31">
        <v>-5.0999999999999997E-2</v>
      </c>
    </row>
    <row r="184" spans="1:31">
      <c r="A184" t="s">
        <v>308</v>
      </c>
      <c r="B184" t="s">
        <v>4502</v>
      </c>
      <c r="C184" t="s">
        <v>4501</v>
      </c>
      <c r="D184" t="s">
        <v>416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s="31">
        <v>-5.7000000000000002E-2</v>
      </c>
    </row>
    <row r="185" spans="1:31">
      <c r="A185" t="s">
        <v>307</v>
      </c>
      <c r="B185" t="s">
        <v>4500</v>
      </c>
      <c r="C185" t="s">
        <v>4499</v>
      </c>
      <c r="D185" t="s">
        <v>416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s="31">
        <v>4.3999999999999997E-2</v>
      </c>
    </row>
    <row r="186" spans="1:31">
      <c r="A186" t="s">
        <v>378</v>
      </c>
      <c r="B186" t="s">
        <v>4498</v>
      </c>
      <c r="C186" t="s">
        <v>4497</v>
      </c>
      <c r="D186" t="s">
        <v>416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117</v>
      </c>
    </row>
    <row r="187" spans="1:31">
      <c r="A187" t="s">
        <v>379</v>
      </c>
      <c r="B187" t="s">
        <v>4496</v>
      </c>
      <c r="C187" t="s">
        <v>4495</v>
      </c>
      <c r="D187" t="s">
        <v>416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s="31">
        <v>8.4000000000000005E-2</v>
      </c>
    </row>
    <row r="188" spans="1:31">
      <c r="A188" t="s">
        <v>381</v>
      </c>
      <c r="B188" t="s">
        <v>4494</v>
      </c>
      <c r="C188" t="s">
        <v>4493</v>
      </c>
      <c r="D188" t="s">
        <v>416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117</v>
      </c>
    </row>
    <row r="189" spans="1:31">
      <c r="A189" t="s">
        <v>380</v>
      </c>
      <c r="B189" t="s">
        <v>4492</v>
      </c>
      <c r="C189" t="s">
        <v>4491</v>
      </c>
      <c r="D189" t="s">
        <v>416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117</v>
      </c>
    </row>
    <row r="190" spans="1:31">
      <c r="A190" t="s">
        <v>382</v>
      </c>
      <c r="B190" t="s">
        <v>4490</v>
      </c>
      <c r="C190" t="s">
        <v>4489</v>
      </c>
      <c r="D190" t="s">
        <v>416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117</v>
      </c>
    </row>
    <row r="191" spans="1:31">
      <c r="A191" t="s">
        <v>3288</v>
      </c>
      <c r="B191" t="s">
        <v>4488</v>
      </c>
      <c r="C191" t="s">
        <v>4487</v>
      </c>
      <c r="D191" t="s">
        <v>416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117</v>
      </c>
    </row>
    <row r="192" spans="1:31">
      <c r="A192" t="s">
        <v>3285</v>
      </c>
      <c r="B192" t="s">
        <v>4486</v>
      </c>
      <c r="C192" t="s">
        <v>4485</v>
      </c>
      <c r="D192" t="s">
        <v>416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117</v>
      </c>
    </row>
    <row r="193" spans="1:31">
      <c r="A193" t="s">
        <v>3282</v>
      </c>
      <c r="B193" t="s">
        <v>4484</v>
      </c>
      <c r="C193" t="s">
        <v>4483</v>
      </c>
      <c r="D193" t="s">
        <v>416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117</v>
      </c>
    </row>
    <row r="194" spans="1:31">
      <c r="A194" t="s">
        <v>393</v>
      </c>
      <c r="B194" t="s">
        <v>4482</v>
      </c>
      <c r="C194" t="s">
        <v>4481</v>
      </c>
      <c r="D194" t="s">
        <v>416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s="31">
        <v>1.2E-2</v>
      </c>
    </row>
    <row r="195" spans="1:31">
      <c r="A195" t="s">
        <v>403</v>
      </c>
      <c r="B195" t="s">
        <v>4480</v>
      </c>
      <c r="C195" t="s">
        <v>4479</v>
      </c>
      <c r="D195" t="s">
        <v>416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s="31">
        <v>1.4999999999999999E-2</v>
      </c>
    </row>
    <row r="196" spans="1:31">
      <c r="A196" t="s">
        <v>215</v>
      </c>
    </row>
    <row r="197" spans="1:31">
      <c r="A197" t="s">
        <v>397</v>
      </c>
    </row>
    <row r="198" spans="1:31">
      <c r="A198" t="s">
        <v>341</v>
      </c>
    </row>
    <row r="199" spans="1:31">
      <c r="A199" t="s">
        <v>327</v>
      </c>
      <c r="B199" t="s">
        <v>4478</v>
      </c>
      <c r="C199" t="s">
        <v>4477</v>
      </c>
      <c r="D199" t="s">
        <v>413</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s="31">
        <v>3.0000000000000001E-3</v>
      </c>
    </row>
    <row r="200" spans="1:31">
      <c r="A200" t="s">
        <v>313</v>
      </c>
      <c r="B200" t="s">
        <v>4476</v>
      </c>
      <c r="C200" t="s">
        <v>4475</v>
      </c>
      <c r="D200" t="s">
        <v>414</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s="31">
        <v>2E-3</v>
      </c>
    </row>
    <row r="201" spans="1:31">
      <c r="A201" t="s">
        <v>308</v>
      </c>
      <c r="B201" t="s">
        <v>4474</v>
      </c>
      <c r="C201" t="s">
        <v>4473</v>
      </c>
      <c r="D201" t="s">
        <v>414</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s="31">
        <v>2E-3</v>
      </c>
    </row>
    <row r="202" spans="1:31">
      <c r="A202" t="s">
        <v>307</v>
      </c>
      <c r="B202" t="s">
        <v>4472</v>
      </c>
      <c r="C202" t="s">
        <v>4471</v>
      </c>
      <c r="D202" t="s">
        <v>414</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s="31">
        <v>5.0000000000000001E-3</v>
      </c>
    </row>
    <row r="203" spans="1:31">
      <c r="A203" t="s">
        <v>378</v>
      </c>
      <c r="B203" t="s">
        <v>4470</v>
      </c>
      <c r="C203" t="s">
        <v>4469</v>
      </c>
      <c r="D203" t="s">
        <v>414</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s="31">
        <v>2E-3</v>
      </c>
    </row>
    <row r="204" spans="1:31">
      <c r="A204" t="s">
        <v>379</v>
      </c>
      <c r="B204" t="s">
        <v>4468</v>
      </c>
      <c r="C204" t="s">
        <v>4467</v>
      </c>
      <c r="D204" t="s">
        <v>413</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s="31">
        <v>0</v>
      </c>
    </row>
    <row r="205" spans="1:31">
      <c r="A205" t="s">
        <v>381</v>
      </c>
      <c r="B205" t="s">
        <v>4466</v>
      </c>
      <c r="C205" t="s">
        <v>4465</v>
      </c>
      <c r="D205" t="s">
        <v>413</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117</v>
      </c>
    </row>
    <row r="206" spans="1:31">
      <c r="A206" t="s">
        <v>380</v>
      </c>
      <c r="B206" t="s">
        <v>4464</v>
      </c>
      <c r="C206" t="s">
        <v>4463</v>
      </c>
      <c r="D206" t="s">
        <v>414</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117</v>
      </c>
    </row>
    <row r="207" spans="1:31">
      <c r="A207" t="s">
        <v>382</v>
      </c>
      <c r="B207" t="s">
        <v>4462</v>
      </c>
      <c r="C207" t="s">
        <v>4461</v>
      </c>
      <c r="D207" t="s">
        <v>413</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117</v>
      </c>
    </row>
    <row r="208" spans="1:31">
      <c r="A208" t="s">
        <v>3288</v>
      </c>
      <c r="B208" t="s">
        <v>4460</v>
      </c>
      <c r="C208" t="s">
        <v>4459</v>
      </c>
      <c r="D208" t="s">
        <v>413</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117</v>
      </c>
    </row>
    <row r="209" spans="1:31">
      <c r="A209" t="s">
        <v>3285</v>
      </c>
      <c r="B209" t="s">
        <v>4458</v>
      </c>
      <c r="C209" t="s">
        <v>4457</v>
      </c>
      <c r="D209" t="s">
        <v>414</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s="31">
        <v>1E-3</v>
      </c>
    </row>
    <row r="210" spans="1:31">
      <c r="A210" t="s">
        <v>3282</v>
      </c>
      <c r="B210" t="s">
        <v>4456</v>
      </c>
      <c r="C210" t="s">
        <v>4455</v>
      </c>
      <c r="D210" t="s">
        <v>413</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117</v>
      </c>
    </row>
    <row r="211" spans="1:31">
      <c r="A211" t="s">
        <v>398</v>
      </c>
      <c r="B211" t="s">
        <v>4454</v>
      </c>
      <c r="C211" t="s">
        <v>4453</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s="31">
        <v>1.0999999999999999E-2</v>
      </c>
    </row>
    <row r="212" spans="1:31">
      <c r="A212" t="s">
        <v>342</v>
      </c>
    </row>
    <row r="213" spans="1:31">
      <c r="A213" t="s">
        <v>327</v>
      </c>
      <c r="B213" t="s">
        <v>4452</v>
      </c>
      <c r="C213" t="s">
        <v>4451</v>
      </c>
      <c r="D213" t="s">
        <v>413</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s="31">
        <v>6.0000000000000001E-3</v>
      </c>
    </row>
    <row r="214" spans="1:31">
      <c r="A214" t="s">
        <v>313</v>
      </c>
      <c r="B214" t="s">
        <v>4450</v>
      </c>
      <c r="C214" t="s">
        <v>4449</v>
      </c>
      <c r="D214" t="s">
        <v>414</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s="31">
        <v>6.0000000000000001E-3</v>
      </c>
    </row>
    <row r="215" spans="1:31">
      <c r="A215" t="s">
        <v>308</v>
      </c>
      <c r="B215" t="s">
        <v>4448</v>
      </c>
      <c r="C215" t="s">
        <v>4447</v>
      </c>
      <c r="D215" t="s">
        <v>414</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s="31">
        <v>1.2E-2</v>
      </c>
    </row>
    <row r="216" spans="1:31">
      <c r="A216" t="s">
        <v>307</v>
      </c>
      <c r="B216" t="s">
        <v>4446</v>
      </c>
      <c r="C216" t="s">
        <v>4445</v>
      </c>
      <c r="D216" t="s">
        <v>414</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s="31">
        <v>8.9999999999999993E-3</v>
      </c>
    </row>
    <row r="217" spans="1:31">
      <c r="A217" t="s">
        <v>378</v>
      </c>
      <c r="B217" t="s">
        <v>4444</v>
      </c>
      <c r="C217" t="s">
        <v>4443</v>
      </c>
      <c r="D217" t="s">
        <v>415</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s="31">
        <v>7.0000000000000001E-3</v>
      </c>
    </row>
    <row r="218" spans="1:31">
      <c r="A218" t="s">
        <v>379</v>
      </c>
      <c r="B218" t="s">
        <v>4442</v>
      </c>
      <c r="C218" t="s">
        <v>4441</v>
      </c>
      <c r="D218" t="s">
        <v>414</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s="31">
        <v>1E-3</v>
      </c>
    </row>
    <row r="219" spans="1:31">
      <c r="A219" t="s">
        <v>381</v>
      </c>
      <c r="B219" t="s">
        <v>4440</v>
      </c>
      <c r="C219" t="s">
        <v>4439</v>
      </c>
      <c r="D219" t="s">
        <v>414</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117</v>
      </c>
    </row>
    <row r="220" spans="1:31">
      <c r="A220" t="s">
        <v>380</v>
      </c>
      <c r="B220" t="s">
        <v>4438</v>
      </c>
      <c r="C220" t="s">
        <v>4437</v>
      </c>
      <c r="D220" t="s">
        <v>414</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s="31">
        <v>0</v>
      </c>
    </row>
    <row r="221" spans="1:31">
      <c r="A221" t="s">
        <v>382</v>
      </c>
      <c r="B221" t="s">
        <v>4436</v>
      </c>
      <c r="C221" t="s">
        <v>4435</v>
      </c>
      <c r="D221" t="s">
        <v>414</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117</v>
      </c>
    </row>
    <row r="222" spans="1:31">
      <c r="A222" t="s">
        <v>3288</v>
      </c>
      <c r="B222" t="s">
        <v>4434</v>
      </c>
      <c r="C222" t="s">
        <v>4433</v>
      </c>
      <c r="D222" t="s">
        <v>413</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117</v>
      </c>
    </row>
    <row r="223" spans="1:31">
      <c r="A223" t="s">
        <v>3285</v>
      </c>
      <c r="B223" t="s">
        <v>4432</v>
      </c>
      <c r="C223" t="s">
        <v>4431</v>
      </c>
      <c r="D223" t="s">
        <v>414</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s="31">
        <v>3.0000000000000001E-3</v>
      </c>
    </row>
    <row r="224" spans="1:31">
      <c r="A224" t="s">
        <v>3282</v>
      </c>
      <c r="B224" t="s">
        <v>4430</v>
      </c>
      <c r="C224" t="s">
        <v>4429</v>
      </c>
      <c r="D224" t="s">
        <v>413</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117</v>
      </c>
    </row>
    <row r="225" spans="1:31">
      <c r="A225" t="s">
        <v>399</v>
      </c>
      <c r="B225" t="s">
        <v>4428</v>
      </c>
      <c r="C225" t="s">
        <v>4427</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s="31">
        <v>6.0000000000000001E-3</v>
      </c>
    </row>
    <row r="226" spans="1:31">
      <c r="A226" t="s">
        <v>392</v>
      </c>
    </row>
    <row r="227" spans="1:31">
      <c r="A227" t="s">
        <v>327</v>
      </c>
      <c r="B227" t="s">
        <v>4426</v>
      </c>
      <c r="C227" t="s">
        <v>4425</v>
      </c>
      <c r="D227" t="s">
        <v>413</v>
      </c>
      <c r="E227">
        <v>6.9770060000000003</v>
      </c>
      <c r="F227">
        <v>7.1109780000000002</v>
      </c>
      <c r="G227">
        <v>7.2955300000000003</v>
      </c>
      <c r="H227">
        <v>7.4186639999999997</v>
      </c>
      <c r="I227">
        <v>7.4927789999999996</v>
      </c>
      <c r="J227">
        <v>7.5834159999999997</v>
      </c>
      <c r="K227">
        <v>7.6653849999999997</v>
      </c>
      <c r="L227">
        <v>7.9378399999999996</v>
      </c>
      <c r="M227">
        <v>8.0344110000000004</v>
      </c>
      <c r="N227">
        <v>8.0786079999999991</v>
      </c>
      <c r="O227">
        <v>8.1083540000000003</v>
      </c>
      <c r="P227">
        <v>8.1106020000000001</v>
      </c>
      <c r="Q227">
        <v>8.11252</v>
      </c>
      <c r="R227">
        <v>8.1118170000000003</v>
      </c>
      <c r="S227">
        <v>8.1111109999999993</v>
      </c>
      <c r="T227">
        <v>8.1083800000000004</v>
      </c>
      <c r="U227">
        <v>8.1065570000000005</v>
      </c>
      <c r="V227">
        <v>8.1034670000000002</v>
      </c>
      <c r="W227">
        <v>8.1017309999999991</v>
      </c>
      <c r="X227">
        <v>8.1001720000000006</v>
      </c>
      <c r="Y227">
        <v>8.096959</v>
      </c>
      <c r="Z227">
        <v>8.0953909999999993</v>
      </c>
      <c r="AA227">
        <v>8.0922509999999992</v>
      </c>
      <c r="AB227">
        <v>8.0913930000000001</v>
      </c>
      <c r="AC227">
        <v>8.0899479999999997</v>
      </c>
      <c r="AD227">
        <v>8.0880690000000008</v>
      </c>
      <c r="AE227" s="31">
        <v>6.0000000000000001E-3</v>
      </c>
    </row>
    <row r="228" spans="1:31">
      <c r="A228" t="s">
        <v>313</v>
      </c>
      <c r="B228" t="s">
        <v>4424</v>
      </c>
      <c r="C228" t="s">
        <v>4423</v>
      </c>
      <c r="D228" t="s">
        <v>414</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s="31">
        <v>7.0000000000000001E-3</v>
      </c>
    </row>
    <row r="229" spans="1:31">
      <c r="A229" t="s">
        <v>308</v>
      </c>
      <c r="B229" t="s">
        <v>4422</v>
      </c>
      <c r="C229" t="s">
        <v>4421</v>
      </c>
      <c r="D229" t="s">
        <v>414</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s="31">
        <v>0</v>
      </c>
    </row>
    <row r="230" spans="1:31">
      <c r="A230" t="s">
        <v>307</v>
      </c>
      <c r="B230" t="s">
        <v>4420</v>
      </c>
      <c r="C230" t="s">
        <v>4419</v>
      </c>
      <c r="D230" t="s">
        <v>413</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s="31">
        <v>0.01</v>
      </c>
    </row>
    <row r="231" spans="1:31">
      <c r="A231" t="s">
        <v>378</v>
      </c>
      <c r="B231" t="s">
        <v>4418</v>
      </c>
      <c r="C231" t="s">
        <v>4417</v>
      </c>
      <c r="D231" t="s">
        <v>414</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117</v>
      </c>
    </row>
    <row r="232" spans="1:31">
      <c r="A232" t="s">
        <v>379</v>
      </c>
      <c r="B232" t="s">
        <v>4416</v>
      </c>
      <c r="C232" t="s">
        <v>4415</v>
      </c>
      <c r="D232" t="s">
        <v>413</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s="31">
        <v>5.0000000000000001E-3</v>
      </c>
    </row>
    <row r="233" spans="1:31">
      <c r="A233" t="s">
        <v>381</v>
      </c>
      <c r="B233" t="s">
        <v>4414</v>
      </c>
      <c r="C233" t="s">
        <v>4413</v>
      </c>
      <c r="D233" t="s">
        <v>413</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117</v>
      </c>
    </row>
    <row r="234" spans="1:31">
      <c r="A234" t="s">
        <v>380</v>
      </c>
      <c r="B234" t="s">
        <v>4412</v>
      </c>
      <c r="C234" t="s">
        <v>4411</v>
      </c>
      <c r="D234" t="s">
        <v>414</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117</v>
      </c>
    </row>
    <row r="235" spans="1:31">
      <c r="A235" t="s">
        <v>382</v>
      </c>
      <c r="B235" t="s">
        <v>4410</v>
      </c>
      <c r="C235" t="s">
        <v>4409</v>
      </c>
      <c r="D235" t="s">
        <v>413</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117</v>
      </c>
    </row>
    <row r="236" spans="1:31">
      <c r="A236" t="s">
        <v>3288</v>
      </c>
      <c r="B236" t="s">
        <v>4408</v>
      </c>
      <c r="C236" t="s">
        <v>4407</v>
      </c>
      <c r="D236" t="s">
        <v>413</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117</v>
      </c>
    </row>
    <row r="237" spans="1:31">
      <c r="A237" t="s">
        <v>3285</v>
      </c>
      <c r="B237" t="s">
        <v>4406</v>
      </c>
      <c r="C237" t="s">
        <v>4405</v>
      </c>
      <c r="D237" t="s">
        <v>414</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117</v>
      </c>
    </row>
    <row r="238" spans="1:31">
      <c r="A238" t="s">
        <v>3282</v>
      </c>
      <c r="B238" t="s">
        <v>4404</v>
      </c>
      <c r="C238" t="s">
        <v>4403</v>
      </c>
      <c r="D238" t="s">
        <v>413</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117</v>
      </c>
    </row>
    <row r="239" spans="1:31">
      <c r="A239" t="s">
        <v>400</v>
      </c>
      <c r="B239" t="s">
        <v>4402</v>
      </c>
      <c r="C239" t="s">
        <v>4401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s="31">
        <v>6.0000000000000001E-3</v>
      </c>
    </row>
    <row r="240" spans="1:31">
      <c r="A240" t="s">
        <v>401</v>
      </c>
      <c r="B240" t="s">
        <v>4400</v>
      </c>
      <c r="C240" t="s">
        <v>4399</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s="31">
        <v>8.0000000000000002E-3</v>
      </c>
    </row>
    <row r="241" spans="1:31">
      <c r="A241" t="s">
        <v>404</v>
      </c>
    </row>
    <row r="242" spans="1:31">
      <c r="A242" t="s">
        <v>341</v>
      </c>
    </row>
    <row r="243" spans="1:31">
      <c r="A243" t="s">
        <v>327</v>
      </c>
      <c r="B243" t="s">
        <v>4398</v>
      </c>
      <c r="C243" t="s">
        <v>4397</v>
      </c>
      <c r="D243" t="s">
        <v>417</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s="31">
        <v>-5.8000000000000003E-2</v>
      </c>
    </row>
    <row r="244" spans="1:31">
      <c r="A244" t="s">
        <v>313</v>
      </c>
      <c r="B244" t="s">
        <v>4396</v>
      </c>
      <c r="C244" t="s">
        <v>4395</v>
      </c>
      <c r="D244" t="s">
        <v>417</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s="31">
        <v>-4.1000000000000002E-2</v>
      </c>
    </row>
    <row r="245" spans="1:31">
      <c r="A245" t="s">
        <v>308</v>
      </c>
      <c r="B245" t="s">
        <v>4394</v>
      </c>
      <c r="C245" t="s">
        <v>4393</v>
      </c>
      <c r="D245" t="s">
        <v>417</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s="31">
        <v>1.0999999999999999E-2</v>
      </c>
    </row>
    <row r="246" spans="1:31">
      <c r="A246" t="s">
        <v>307</v>
      </c>
      <c r="B246" t="s">
        <v>4392</v>
      </c>
      <c r="C246" t="s">
        <v>4391</v>
      </c>
      <c r="D246" t="s">
        <v>417</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s="31">
        <v>4.9000000000000002E-2</v>
      </c>
    </row>
    <row r="247" spans="1:31">
      <c r="A247" t="s">
        <v>378</v>
      </c>
      <c r="B247" t="s">
        <v>4390</v>
      </c>
      <c r="C247" t="s">
        <v>4389</v>
      </c>
      <c r="D247" t="s">
        <v>417</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s="31">
        <v>1.0999999999999999E-2</v>
      </c>
    </row>
    <row r="248" spans="1:31">
      <c r="A248" t="s">
        <v>379</v>
      </c>
      <c r="B248" t="s">
        <v>4388</v>
      </c>
      <c r="C248" t="s">
        <v>4387</v>
      </c>
      <c r="D248" t="s">
        <v>417</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s="31">
        <v>0.192</v>
      </c>
    </row>
    <row r="249" spans="1:31">
      <c r="A249" t="s">
        <v>381</v>
      </c>
      <c r="B249" t="s">
        <v>4386</v>
      </c>
      <c r="C249" t="s">
        <v>4385</v>
      </c>
      <c r="D249" t="s">
        <v>417</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117</v>
      </c>
    </row>
    <row r="250" spans="1:31">
      <c r="A250" t="s">
        <v>380</v>
      </c>
      <c r="B250" t="s">
        <v>4384</v>
      </c>
      <c r="C250" t="s">
        <v>4383</v>
      </c>
      <c r="D250" t="s">
        <v>417</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117</v>
      </c>
    </row>
    <row r="251" spans="1:31">
      <c r="A251" t="s">
        <v>382</v>
      </c>
      <c r="B251" t="s">
        <v>4382</v>
      </c>
      <c r="C251" t="s">
        <v>4381</v>
      </c>
      <c r="D251" t="s">
        <v>417</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117</v>
      </c>
    </row>
    <row r="252" spans="1:31">
      <c r="A252" t="s">
        <v>3288</v>
      </c>
      <c r="B252" t="s">
        <v>4380</v>
      </c>
      <c r="C252" t="s">
        <v>4379</v>
      </c>
      <c r="D252" t="s">
        <v>417</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117</v>
      </c>
    </row>
    <row r="253" spans="1:31">
      <c r="A253" t="s">
        <v>3285</v>
      </c>
      <c r="B253" t="s">
        <v>4378</v>
      </c>
      <c r="C253" t="s">
        <v>4377</v>
      </c>
      <c r="D253" t="s">
        <v>417</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s="31">
        <v>0.19500000000000001</v>
      </c>
    </row>
    <row r="254" spans="1:31">
      <c r="A254" t="s">
        <v>3282</v>
      </c>
      <c r="B254" t="s">
        <v>4376</v>
      </c>
      <c r="C254" t="s">
        <v>4375</v>
      </c>
      <c r="D254" t="s">
        <v>417</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117</v>
      </c>
    </row>
    <row r="255" spans="1:31">
      <c r="A255" t="s">
        <v>390</v>
      </c>
      <c r="B255" t="s">
        <v>4374</v>
      </c>
      <c r="C255" t="s">
        <v>4373</v>
      </c>
      <c r="D255" t="s">
        <v>417</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s="31">
        <v>1.2E-2</v>
      </c>
    </row>
    <row r="256" spans="1:31">
      <c r="A256" t="s">
        <v>342</v>
      </c>
    </row>
    <row r="257" spans="1:31">
      <c r="A257" t="s">
        <v>327</v>
      </c>
      <c r="B257" t="s">
        <v>4372</v>
      </c>
      <c r="C257" t="s">
        <v>4371</v>
      </c>
      <c r="D257" t="s">
        <v>417</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s="31">
        <v>-1.0999999999999999E-2</v>
      </c>
    </row>
    <row r="258" spans="1:31">
      <c r="A258" t="s">
        <v>313</v>
      </c>
      <c r="B258" t="s">
        <v>4370</v>
      </c>
      <c r="C258" t="s">
        <v>4369</v>
      </c>
      <c r="D258" t="s">
        <v>417</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s="31">
        <v>-1E-3</v>
      </c>
    </row>
    <row r="259" spans="1:31">
      <c r="A259" t="s">
        <v>308</v>
      </c>
      <c r="B259" t="s">
        <v>4368</v>
      </c>
      <c r="C259" t="s">
        <v>4367</v>
      </c>
      <c r="D259" t="s">
        <v>417</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s="31">
        <v>2E-3</v>
      </c>
    </row>
    <row r="260" spans="1:31">
      <c r="A260" t="s">
        <v>307</v>
      </c>
      <c r="B260" t="s">
        <v>4366</v>
      </c>
      <c r="C260" t="s">
        <v>4365</v>
      </c>
      <c r="D260" t="s">
        <v>417</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s="31">
        <v>0</v>
      </c>
    </row>
    <row r="261" spans="1:31">
      <c r="A261" t="s">
        <v>378</v>
      </c>
      <c r="B261" t="s">
        <v>4364</v>
      </c>
      <c r="C261" t="s">
        <v>4363</v>
      </c>
      <c r="D261" t="s">
        <v>417</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s="31">
        <v>2E-3</v>
      </c>
    </row>
    <row r="262" spans="1:31">
      <c r="A262" t="s">
        <v>379</v>
      </c>
      <c r="B262" t="s">
        <v>4362</v>
      </c>
      <c r="C262" t="s">
        <v>4361</v>
      </c>
      <c r="D262" t="s">
        <v>417</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s="31">
        <v>2E-3</v>
      </c>
    </row>
    <row r="263" spans="1:31">
      <c r="A263" t="s">
        <v>381</v>
      </c>
      <c r="B263" t="s">
        <v>4360</v>
      </c>
      <c r="C263" t="s">
        <v>4359</v>
      </c>
      <c r="D263" t="s">
        <v>417</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117</v>
      </c>
    </row>
    <row r="264" spans="1:31">
      <c r="A264" t="s">
        <v>380</v>
      </c>
      <c r="B264" t="s">
        <v>4358</v>
      </c>
      <c r="C264" t="s">
        <v>4357</v>
      </c>
      <c r="D264" t="s">
        <v>417</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s="31">
        <v>-1</v>
      </c>
    </row>
    <row r="265" spans="1:31">
      <c r="A265" t="s">
        <v>382</v>
      </c>
      <c r="B265" t="s">
        <v>4356</v>
      </c>
      <c r="C265" t="s">
        <v>4355</v>
      </c>
      <c r="D265" t="s">
        <v>417</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117</v>
      </c>
    </row>
    <row r="266" spans="1:31">
      <c r="A266" t="s">
        <v>3288</v>
      </c>
      <c r="B266" t="s">
        <v>4354</v>
      </c>
      <c r="C266" t="s">
        <v>4353</v>
      </c>
      <c r="D266" t="s">
        <v>417</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117</v>
      </c>
    </row>
    <row r="267" spans="1:31">
      <c r="A267" t="s">
        <v>3285</v>
      </c>
      <c r="B267" t="s">
        <v>4352</v>
      </c>
      <c r="C267" t="s">
        <v>4351</v>
      </c>
      <c r="D267" t="s">
        <v>417</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s="31">
        <v>0.14099999999999999</v>
      </c>
    </row>
    <row r="268" spans="1:31">
      <c r="A268" t="s">
        <v>3282</v>
      </c>
      <c r="B268" t="s">
        <v>4350</v>
      </c>
      <c r="C268" t="s">
        <v>4349</v>
      </c>
      <c r="D268" t="s">
        <v>417</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117</v>
      </c>
    </row>
    <row r="269" spans="1:31">
      <c r="A269" t="s">
        <v>391</v>
      </c>
      <c r="B269" t="s">
        <v>4348</v>
      </c>
      <c r="C269" t="s">
        <v>4347</v>
      </c>
      <c r="D269" t="s">
        <v>417</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s="31">
        <v>2E-3</v>
      </c>
    </row>
    <row r="270" spans="1:31">
      <c r="A270" t="s">
        <v>392</v>
      </c>
    </row>
    <row r="271" spans="1:31">
      <c r="A271" t="s">
        <v>327</v>
      </c>
      <c r="B271" t="s">
        <v>4346</v>
      </c>
      <c r="C271" t="s">
        <v>4345</v>
      </c>
      <c r="D271" t="s">
        <v>417</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s="31">
        <v>1E-3</v>
      </c>
    </row>
    <row r="272" spans="1:31">
      <c r="A272" t="s">
        <v>313</v>
      </c>
      <c r="B272" t="s">
        <v>4344</v>
      </c>
      <c r="C272" t="s">
        <v>4343</v>
      </c>
      <c r="D272" t="s">
        <v>417</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s="31">
        <v>2E-3</v>
      </c>
    </row>
    <row r="273" spans="1:31">
      <c r="A273" t="s">
        <v>308</v>
      </c>
      <c r="B273" t="s">
        <v>4342</v>
      </c>
      <c r="C273" t="s">
        <v>4341</v>
      </c>
      <c r="D273" t="s">
        <v>417</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117</v>
      </c>
    </row>
    <row r="274" spans="1:31">
      <c r="A274" t="s">
        <v>307</v>
      </c>
      <c r="B274" t="s">
        <v>4340</v>
      </c>
      <c r="C274" t="s">
        <v>4339</v>
      </c>
      <c r="D274" t="s">
        <v>417</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s="31">
        <v>3.6999999999999998E-2</v>
      </c>
    </row>
    <row r="275" spans="1:31">
      <c r="A275" t="s">
        <v>378</v>
      </c>
      <c r="B275" t="s">
        <v>4338</v>
      </c>
      <c r="C275" t="s">
        <v>4337</v>
      </c>
      <c r="D275" t="s">
        <v>417</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117</v>
      </c>
    </row>
    <row r="276" spans="1:31">
      <c r="A276" t="s">
        <v>379</v>
      </c>
      <c r="B276" t="s">
        <v>4336</v>
      </c>
      <c r="C276" t="s">
        <v>4335</v>
      </c>
      <c r="D276" t="s">
        <v>417</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s="31">
        <v>2E-3</v>
      </c>
    </row>
    <row r="277" spans="1:31">
      <c r="A277" t="s">
        <v>381</v>
      </c>
      <c r="B277" t="s">
        <v>4334</v>
      </c>
      <c r="C277" t="s">
        <v>4333</v>
      </c>
      <c r="D277" t="s">
        <v>417</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117</v>
      </c>
    </row>
    <row r="278" spans="1:31">
      <c r="A278" t="s">
        <v>380</v>
      </c>
      <c r="B278" t="s">
        <v>4332</v>
      </c>
      <c r="C278" t="s">
        <v>4331</v>
      </c>
      <c r="D278" t="s">
        <v>417</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117</v>
      </c>
    </row>
    <row r="279" spans="1:31">
      <c r="A279" t="s">
        <v>382</v>
      </c>
      <c r="B279" t="s">
        <v>4330</v>
      </c>
      <c r="C279" t="s">
        <v>4329</v>
      </c>
      <c r="D279" t="s">
        <v>417</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117</v>
      </c>
    </row>
    <row r="280" spans="1:31">
      <c r="A280" t="s">
        <v>3288</v>
      </c>
      <c r="B280" t="s">
        <v>4328</v>
      </c>
      <c r="C280" t="s">
        <v>4327</v>
      </c>
      <c r="D280" t="s">
        <v>417</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117</v>
      </c>
    </row>
    <row r="281" spans="1:31">
      <c r="A281" t="s">
        <v>3285</v>
      </c>
      <c r="B281" t="s">
        <v>4326</v>
      </c>
      <c r="C281" t="s">
        <v>4325</v>
      </c>
      <c r="D281" t="s">
        <v>417</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117</v>
      </c>
    </row>
    <row r="282" spans="1:31">
      <c r="A282" t="s">
        <v>3282</v>
      </c>
      <c r="B282" t="s">
        <v>4324</v>
      </c>
      <c r="C282" t="s">
        <v>4323</v>
      </c>
      <c r="D282" t="s">
        <v>417</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117</v>
      </c>
    </row>
    <row r="283" spans="1:31">
      <c r="A283" t="s">
        <v>393</v>
      </c>
      <c r="B283" t="s">
        <v>4322</v>
      </c>
      <c r="C283" t="s">
        <v>4321</v>
      </c>
      <c r="D283" t="s">
        <v>417</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s="31">
        <v>2E-3</v>
      </c>
    </row>
    <row r="284" spans="1:31">
      <c r="A284" t="s">
        <v>405</v>
      </c>
      <c r="B284" t="s">
        <v>4320</v>
      </c>
      <c r="C284" t="s">
        <v>4319</v>
      </c>
      <c r="D284" t="s">
        <v>417</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s="31">
        <v>7.0000000000000001E-3</v>
      </c>
    </row>
    <row r="285" spans="1:31">
      <c r="A285" t="s">
        <v>214</v>
      </c>
    </row>
    <row r="286" spans="1:31">
      <c r="A286" t="s">
        <v>406</v>
      </c>
      <c r="B286" t="s">
        <v>4318</v>
      </c>
      <c r="C286" t="s">
        <v>4317</v>
      </c>
      <c r="D286" t="s">
        <v>418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s="31">
        <v>0</v>
      </c>
    </row>
    <row r="287" spans="1:31">
      <c r="A287" t="s">
        <v>407</v>
      </c>
      <c r="B287" t="s">
        <v>4316</v>
      </c>
      <c r="C287" t="s">
        <v>4315</v>
      </c>
      <c r="D287" t="s">
        <v>2886</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s="31">
        <v>1E-3</v>
      </c>
    </row>
    <row r="288" spans="1:31">
      <c r="A288" t="s">
        <v>116</v>
      </c>
    </row>
    <row r="289" spans="1:31">
      <c r="A289" t="s">
        <v>306</v>
      </c>
      <c r="B289" t="s">
        <v>4314</v>
      </c>
      <c r="C289" t="s">
        <v>4313</v>
      </c>
      <c r="D289" t="s">
        <v>354</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s="31">
        <v>-1E-3</v>
      </c>
    </row>
    <row r="290" spans="1:31">
      <c r="A290" t="s">
        <v>315</v>
      </c>
      <c r="B290" t="s">
        <v>4312</v>
      </c>
      <c r="C290" t="s">
        <v>4311</v>
      </c>
      <c r="D290" t="s">
        <v>354</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117</v>
      </c>
    </row>
    <row r="291" spans="1:31">
      <c r="A291" t="s">
        <v>316</v>
      </c>
      <c r="B291" t="s">
        <v>4310</v>
      </c>
      <c r="C291" t="s">
        <v>4309</v>
      </c>
      <c r="D291" t="s">
        <v>354</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117</v>
      </c>
    </row>
    <row r="292" spans="1:31">
      <c r="A292" t="s">
        <v>317</v>
      </c>
      <c r="B292" t="s">
        <v>4308</v>
      </c>
      <c r="C292" t="s">
        <v>4307</v>
      </c>
      <c r="D292" t="s">
        <v>354</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117</v>
      </c>
    </row>
    <row r="293" spans="1:31">
      <c r="A293" t="s">
        <v>213</v>
      </c>
    </row>
    <row r="294" spans="1:31">
      <c r="A294" t="s">
        <v>408</v>
      </c>
      <c r="B294" t="s">
        <v>4306</v>
      </c>
      <c r="C294" t="s">
        <v>4305</v>
      </c>
      <c r="D294" t="s">
        <v>418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s="31">
        <v>-2E-3</v>
      </c>
    </row>
    <row r="295" spans="1:31">
      <c r="A295" t="s">
        <v>407</v>
      </c>
      <c r="B295" t="s">
        <v>4304</v>
      </c>
      <c r="C295" t="s">
        <v>4303</v>
      </c>
      <c r="D295" t="s">
        <v>2886</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s="31">
        <v>4.0000000000000001E-3</v>
      </c>
    </row>
    <row r="296" spans="1:31">
      <c r="A296" t="s">
        <v>116</v>
      </c>
    </row>
    <row r="297" spans="1:31">
      <c r="A297" t="s">
        <v>306</v>
      </c>
      <c r="B297" t="s">
        <v>4302</v>
      </c>
      <c r="C297" t="s">
        <v>4301</v>
      </c>
      <c r="D297" t="s">
        <v>354</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s="31">
        <v>-7.0000000000000001E-3</v>
      </c>
    </row>
    <row r="298" spans="1:31">
      <c r="A298" t="s">
        <v>315</v>
      </c>
      <c r="B298" t="s">
        <v>4300</v>
      </c>
      <c r="C298" t="s">
        <v>4299</v>
      </c>
      <c r="D298" t="s">
        <v>354</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s="31">
        <v>-5.3999999999999999E-2</v>
      </c>
    </row>
    <row r="299" spans="1:31">
      <c r="A299" t="s">
        <v>316</v>
      </c>
      <c r="B299" t="s">
        <v>4298</v>
      </c>
      <c r="C299" t="s">
        <v>4297</v>
      </c>
      <c r="D299" t="s">
        <v>354</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117</v>
      </c>
    </row>
    <row r="300" spans="1:31">
      <c r="A300" t="s">
        <v>317</v>
      </c>
      <c r="B300" t="s">
        <v>4296</v>
      </c>
      <c r="C300" t="s">
        <v>4295</v>
      </c>
      <c r="D300" t="s">
        <v>354</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s="31">
        <v>5.0999999999999997E-2</v>
      </c>
    </row>
    <row r="301" spans="1:31">
      <c r="A301" t="s">
        <v>212</v>
      </c>
    </row>
    <row r="302" spans="1:31">
      <c r="A302" t="s">
        <v>409</v>
      </c>
      <c r="B302" t="s">
        <v>4294</v>
      </c>
      <c r="C302" t="s">
        <v>4293</v>
      </c>
      <c r="D302" t="s">
        <v>420</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s="31">
        <v>2.5000000000000001E-2</v>
      </c>
    </row>
    <row r="303" spans="1:31">
      <c r="A303" t="s">
        <v>410</v>
      </c>
      <c r="B303" t="s">
        <v>4292</v>
      </c>
      <c r="C303" t="s">
        <v>4291</v>
      </c>
      <c r="D303" t="s">
        <v>420</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s="31">
        <v>2.3E-2</v>
      </c>
    </row>
    <row r="304" spans="1:31">
      <c r="A304" t="s">
        <v>411</v>
      </c>
      <c r="B304" t="s">
        <v>4290</v>
      </c>
      <c r="C304" t="s">
        <v>4289</v>
      </c>
      <c r="D304" t="s">
        <v>420</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s="31">
        <v>2.7E-2</v>
      </c>
    </row>
    <row r="305" spans="1:31">
      <c r="A305" t="s">
        <v>116</v>
      </c>
    </row>
    <row r="306" spans="1:31">
      <c r="A306" t="s">
        <v>306</v>
      </c>
      <c r="B306" t="s">
        <v>4288</v>
      </c>
      <c r="C306" t="s">
        <v>4287</v>
      </c>
      <c r="D306" t="s">
        <v>354</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s="31">
        <v>1.4999999999999999E-2</v>
      </c>
    </row>
    <row r="307" spans="1:31">
      <c r="A307" t="s">
        <v>315</v>
      </c>
      <c r="B307" t="s">
        <v>4286</v>
      </c>
      <c r="C307" t="s">
        <v>4285</v>
      </c>
      <c r="D307" t="s">
        <v>354</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s="31">
        <v>0.01</v>
      </c>
    </row>
    <row r="308" spans="1:31">
      <c r="A308" t="s">
        <v>316</v>
      </c>
      <c r="B308" t="s">
        <v>4284</v>
      </c>
      <c r="C308" t="s">
        <v>4283</v>
      </c>
      <c r="D308" t="s">
        <v>354</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117</v>
      </c>
    </row>
    <row r="309" spans="1:31">
      <c r="A309" t="s">
        <v>317</v>
      </c>
      <c r="B309" t="s">
        <v>4282</v>
      </c>
      <c r="C309" t="s">
        <v>4281</v>
      </c>
      <c r="D309" t="s">
        <v>354</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s="31">
        <v>2.5000000000000001E-2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499984740745262"/>
  </sheetPr>
  <dimension ref="A1:K7"/>
  <sheetViews>
    <sheetView workbookViewId="0">
      <selection sqref="A1:H7"/>
    </sheetView>
  </sheetViews>
  <sheetFormatPr defaultRowHeight="15"/>
  <sheetData>
    <row r="1" spans="1:11">
      <c r="A1" t="s">
        <v>255</v>
      </c>
      <c r="B1" t="s">
        <v>111</v>
      </c>
      <c r="C1" t="s">
        <v>112</v>
      </c>
      <c r="D1" t="s">
        <v>113</v>
      </c>
      <c r="E1" t="s">
        <v>114</v>
      </c>
      <c r="F1" t="s">
        <v>115</v>
      </c>
      <c r="G1" t="s">
        <v>257</v>
      </c>
      <c r="H1" t="s">
        <v>258</v>
      </c>
    </row>
    <row r="2" spans="1:11">
      <c r="A2" t="s">
        <v>219</v>
      </c>
      <c r="B2">
        <v>4769953</v>
      </c>
      <c r="C2">
        <v>14506</v>
      </c>
      <c r="D2">
        <v>257649823</v>
      </c>
      <c r="E2">
        <v>1553093</v>
      </c>
      <c r="F2">
        <v>1417825</v>
      </c>
      <c r="G2">
        <v>13525</v>
      </c>
      <c r="H2">
        <v>17094</v>
      </c>
    </row>
    <row r="3" spans="1:11">
      <c r="A3" t="s">
        <v>134</v>
      </c>
      <c r="B3">
        <v>300</v>
      </c>
      <c r="C3">
        <v>128402</v>
      </c>
      <c r="D3">
        <v>101051</v>
      </c>
      <c r="E3">
        <v>802832</v>
      </c>
      <c r="F3">
        <v>0</v>
      </c>
      <c r="G3">
        <v>47038</v>
      </c>
      <c r="H3">
        <v>174</v>
      </c>
      <c r="K3" s="64"/>
    </row>
    <row r="4" spans="1:11">
      <c r="A4" t="s">
        <v>131</v>
      </c>
      <c r="B4">
        <v>0</v>
      </c>
      <c r="C4">
        <v>0</v>
      </c>
      <c r="D4">
        <v>0</v>
      </c>
      <c r="E4">
        <v>6767</v>
      </c>
      <c r="F4">
        <v>0</v>
      </c>
      <c r="G4">
        <v>0</v>
      </c>
      <c r="H4">
        <v>0</v>
      </c>
      <c r="K4" s="64"/>
    </row>
    <row r="5" spans="1:11">
      <c r="A5" t="s">
        <v>220</v>
      </c>
      <c r="B5">
        <v>2564</v>
      </c>
      <c r="C5">
        <v>0</v>
      </c>
      <c r="D5">
        <v>0</v>
      </c>
      <c r="E5">
        <v>173</v>
      </c>
      <c r="F5">
        <v>0</v>
      </c>
      <c r="G5">
        <v>0</v>
      </c>
      <c r="H5">
        <v>0</v>
      </c>
    </row>
    <row r="6" spans="1:11">
      <c r="A6" t="s">
        <v>221</v>
      </c>
      <c r="B6">
        <v>0</v>
      </c>
      <c r="C6">
        <v>0</v>
      </c>
      <c r="D6">
        <v>10214830</v>
      </c>
      <c r="E6">
        <v>2490170</v>
      </c>
      <c r="F6">
        <v>0</v>
      </c>
      <c r="G6">
        <v>0</v>
      </c>
      <c r="H6">
        <v>0</v>
      </c>
    </row>
    <row r="7" spans="1:11">
      <c r="A7" t="s">
        <v>222</v>
      </c>
      <c r="B7">
        <v>0</v>
      </c>
      <c r="C7">
        <v>0</v>
      </c>
      <c r="D7">
        <v>9261249</v>
      </c>
      <c r="E7">
        <v>0</v>
      </c>
      <c r="F7">
        <v>0</v>
      </c>
      <c r="G7">
        <v>0</v>
      </c>
      <c r="H7">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499984740745262"/>
  </sheetPr>
  <dimension ref="A1:H7"/>
  <sheetViews>
    <sheetView workbookViewId="0">
      <selection activeCell="G20" sqref="G20"/>
    </sheetView>
  </sheetViews>
  <sheetFormatPr defaultRowHeight="15"/>
  <sheetData>
    <row r="1" spans="1:8" s="57" customFormat="1" ht="45">
      <c r="A1" s="57" t="s">
        <v>255</v>
      </c>
      <c r="B1" s="57" t="s">
        <v>111</v>
      </c>
      <c r="C1" s="57" t="s">
        <v>112</v>
      </c>
      <c r="D1" s="57" t="s">
        <v>113</v>
      </c>
      <c r="E1" s="57" t="s">
        <v>114</v>
      </c>
      <c r="F1" s="57" t="s">
        <v>115</v>
      </c>
      <c r="G1" s="57" t="s">
        <v>257</v>
      </c>
      <c r="H1" s="57" t="s">
        <v>258</v>
      </c>
    </row>
    <row r="2" spans="1:8">
      <c r="A2" t="s">
        <v>219</v>
      </c>
      <c r="B2">
        <v>138292</v>
      </c>
      <c r="C2">
        <v>25267</v>
      </c>
      <c r="D2">
        <v>12833715</v>
      </c>
      <c r="E2">
        <v>10968619</v>
      </c>
      <c r="F2">
        <v>493</v>
      </c>
      <c r="G2">
        <v>2238</v>
      </c>
      <c r="H2">
        <v>0</v>
      </c>
    </row>
    <row r="3" spans="1:8">
      <c r="A3" t="s">
        <v>134</v>
      </c>
      <c r="B3">
        <v>2114</v>
      </c>
      <c r="C3">
        <v>57392</v>
      </c>
      <c r="D3">
        <v>38136</v>
      </c>
      <c r="E3">
        <v>5453223</v>
      </c>
      <c r="F3">
        <v>0</v>
      </c>
      <c r="G3">
        <v>3057</v>
      </c>
      <c r="H3">
        <v>0</v>
      </c>
    </row>
    <row r="4" spans="1:8">
      <c r="A4" t="s">
        <v>131</v>
      </c>
      <c r="B4">
        <v>0</v>
      </c>
      <c r="C4">
        <v>0</v>
      </c>
      <c r="D4">
        <v>0</v>
      </c>
      <c r="E4">
        <v>925</v>
      </c>
      <c r="F4">
        <v>0</v>
      </c>
      <c r="G4">
        <v>0</v>
      </c>
      <c r="H4">
        <v>0</v>
      </c>
    </row>
    <row r="5" spans="1:8">
      <c r="A5" t="s">
        <v>220</v>
      </c>
      <c r="B5">
        <v>0</v>
      </c>
      <c r="C5">
        <v>0</v>
      </c>
      <c r="D5">
        <v>0</v>
      </c>
      <c r="E5">
        <v>24526</v>
      </c>
      <c r="F5">
        <v>0</v>
      </c>
      <c r="G5">
        <v>0</v>
      </c>
      <c r="H5">
        <v>0</v>
      </c>
    </row>
    <row r="6" spans="1:8">
      <c r="A6" t="s">
        <v>221</v>
      </c>
      <c r="B6">
        <v>0</v>
      </c>
      <c r="C6">
        <v>0</v>
      </c>
      <c r="D6">
        <v>0</v>
      </c>
      <c r="E6">
        <v>164</v>
      </c>
      <c r="F6">
        <v>0</v>
      </c>
      <c r="G6">
        <v>0</v>
      </c>
      <c r="H6">
        <v>0</v>
      </c>
    </row>
    <row r="7" spans="1:8">
      <c r="A7" t="s">
        <v>222</v>
      </c>
      <c r="B7">
        <v>0</v>
      </c>
      <c r="C7">
        <v>0</v>
      </c>
      <c r="D7">
        <v>0</v>
      </c>
      <c r="E7">
        <v>0</v>
      </c>
      <c r="F7">
        <v>0</v>
      </c>
      <c r="G7">
        <v>0</v>
      </c>
      <c r="H7">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499984740745262"/>
  </sheetPr>
  <dimension ref="A1:AF7"/>
  <sheetViews>
    <sheetView workbookViewId="0">
      <selection sqref="A1:AB7"/>
    </sheetView>
  </sheetViews>
  <sheetFormatPr defaultRowHeight="15"/>
  <sheetData>
    <row r="1" spans="1:32">
      <c r="A1" t="s">
        <v>519</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c r="AC1">
        <v>2050</v>
      </c>
    </row>
    <row r="2" spans="1:32">
      <c r="A2" t="s">
        <v>219</v>
      </c>
      <c r="B2" s="64">
        <v>10411</v>
      </c>
      <c r="C2" s="64">
        <v>10518</v>
      </c>
      <c r="D2" s="64">
        <v>10488</v>
      </c>
      <c r="E2" s="64">
        <v>10461</v>
      </c>
      <c r="F2" s="64">
        <v>10399</v>
      </c>
      <c r="G2" s="64">
        <v>10327</v>
      </c>
      <c r="H2" s="64">
        <v>10237</v>
      </c>
      <c r="I2" s="64">
        <v>10141</v>
      </c>
      <c r="J2" s="64">
        <v>10051</v>
      </c>
      <c r="K2" s="64">
        <v>9948</v>
      </c>
      <c r="L2" s="64">
        <v>9859</v>
      </c>
      <c r="M2" s="64">
        <v>9767</v>
      </c>
      <c r="N2" s="64">
        <v>9694</v>
      </c>
      <c r="O2" s="64">
        <v>9628</v>
      </c>
      <c r="P2" s="64">
        <v>9565</v>
      </c>
      <c r="Q2" s="64">
        <v>9500</v>
      </c>
      <c r="R2" s="64">
        <v>9440</v>
      </c>
      <c r="S2" s="64">
        <v>9380</v>
      </c>
      <c r="T2" s="64">
        <v>9325</v>
      </c>
      <c r="U2" s="64">
        <v>9274</v>
      </c>
      <c r="V2" s="64">
        <v>9232</v>
      </c>
      <c r="W2" s="64">
        <v>9195</v>
      </c>
      <c r="X2" s="64">
        <v>9164</v>
      </c>
      <c r="Y2" s="64">
        <v>9133</v>
      </c>
      <c r="Z2" s="64">
        <v>9112</v>
      </c>
      <c r="AA2" s="64">
        <v>9095</v>
      </c>
      <c r="AB2" s="64">
        <v>9092</v>
      </c>
      <c r="AC2" s="64">
        <v>9092</v>
      </c>
      <c r="AD2" s="64"/>
      <c r="AE2" s="64"/>
      <c r="AF2" s="64"/>
    </row>
    <row r="3" spans="1:32">
      <c r="A3" t="s">
        <v>134</v>
      </c>
      <c r="B3" s="64">
        <v>16361</v>
      </c>
      <c r="C3" s="64">
        <v>16361</v>
      </c>
      <c r="D3" s="64">
        <v>16361</v>
      </c>
      <c r="E3" s="64">
        <v>16361</v>
      </c>
      <c r="F3" s="64">
        <v>16361</v>
      </c>
      <c r="G3" s="64">
        <v>16361</v>
      </c>
      <c r="H3" s="64">
        <v>16361</v>
      </c>
      <c r="I3" s="64">
        <v>16361</v>
      </c>
      <c r="J3" s="64">
        <v>16361</v>
      </c>
      <c r="K3" s="64">
        <v>16361</v>
      </c>
      <c r="L3" s="64">
        <v>16361</v>
      </c>
      <c r="M3" s="64">
        <v>16361</v>
      </c>
      <c r="N3" s="64">
        <v>16361</v>
      </c>
      <c r="O3" s="64">
        <v>16361</v>
      </c>
      <c r="P3" s="64">
        <v>16361</v>
      </c>
      <c r="Q3" s="64">
        <v>16361</v>
      </c>
      <c r="R3" s="64">
        <v>16361</v>
      </c>
      <c r="S3" s="64">
        <v>16361</v>
      </c>
      <c r="T3" s="64">
        <v>16361</v>
      </c>
      <c r="U3" s="64">
        <v>16361</v>
      </c>
      <c r="V3" s="64">
        <v>16361</v>
      </c>
      <c r="W3" s="64">
        <v>16361</v>
      </c>
      <c r="X3" s="64">
        <v>16361</v>
      </c>
      <c r="Y3" s="64">
        <v>16361</v>
      </c>
      <c r="Z3" s="64">
        <v>16361</v>
      </c>
      <c r="AA3" s="64">
        <v>16361</v>
      </c>
      <c r="AB3" s="64">
        <v>16361</v>
      </c>
      <c r="AC3" s="64">
        <v>16361</v>
      </c>
      <c r="AD3" s="64"/>
      <c r="AE3" s="64"/>
      <c r="AF3" s="64"/>
    </row>
    <row r="4" spans="1:32">
      <c r="A4" t="s">
        <v>131</v>
      </c>
      <c r="B4" s="64">
        <v>685003</v>
      </c>
      <c r="C4" s="64">
        <v>685003</v>
      </c>
      <c r="D4" s="64">
        <v>685003</v>
      </c>
      <c r="E4" s="64">
        <v>685003</v>
      </c>
      <c r="F4" s="64">
        <v>685003</v>
      </c>
      <c r="G4" s="64">
        <v>685003</v>
      </c>
      <c r="H4" s="64">
        <v>685003</v>
      </c>
      <c r="I4" s="64">
        <v>685003</v>
      </c>
      <c r="J4" s="64">
        <v>685003</v>
      </c>
      <c r="K4" s="64">
        <v>685003</v>
      </c>
      <c r="L4" s="64">
        <v>685003</v>
      </c>
      <c r="M4" s="64">
        <v>685003</v>
      </c>
      <c r="N4" s="64">
        <v>685003</v>
      </c>
      <c r="O4" s="64">
        <v>685003</v>
      </c>
      <c r="P4" s="64">
        <v>685003</v>
      </c>
      <c r="Q4" s="64">
        <v>685003</v>
      </c>
      <c r="R4" s="64">
        <v>685003</v>
      </c>
      <c r="S4" s="64">
        <v>685003</v>
      </c>
      <c r="T4" s="64">
        <v>685003</v>
      </c>
      <c r="U4" s="64">
        <v>685003</v>
      </c>
      <c r="V4" s="64">
        <v>685003</v>
      </c>
      <c r="W4" s="64">
        <v>685003</v>
      </c>
      <c r="X4" s="64">
        <v>685003</v>
      </c>
      <c r="Y4" s="64">
        <v>685003</v>
      </c>
      <c r="Z4" s="64">
        <v>685003</v>
      </c>
      <c r="AA4" s="64">
        <v>685003</v>
      </c>
      <c r="AB4" s="64">
        <v>685003</v>
      </c>
      <c r="AC4" s="64">
        <v>1038833</v>
      </c>
      <c r="AD4" s="64"/>
      <c r="AE4" s="64"/>
      <c r="AF4" s="64"/>
    </row>
    <row r="5" spans="1:32">
      <c r="A5" t="s">
        <v>220</v>
      </c>
      <c r="B5" s="64">
        <v>395569</v>
      </c>
      <c r="C5" s="64">
        <v>395569</v>
      </c>
      <c r="D5" s="64">
        <v>395569</v>
      </c>
      <c r="E5" s="64">
        <v>395569</v>
      </c>
      <c r="F5" s="64">
        <v>395569</v>
      </c>
      <c r="G5" s="64">
        <v>395569</v>
      </c>
      <c r="H5" s="64">
        <v>395569</v>
      </c>
      <c r="I5" s="64">
        <v>395569</v>
      </c>
      <c r="J5" s="64">
        <v>395569</v>
      </c>
      <c r="K5" s="64">
        <v>395569</v>
      </c>
      <c r="L5" s="64">
        <v>395569</v>
      </c>
      <c r="M5" s="64">
        <v>395569</v>
      </c>
      <c r="N5" s="64">
        <v>395569</v>
      </c>
      <c r="O5" s="64">
        <v>395569</v>
      </c>
      <c r="P5" s="64">
        <v>395569</v>
      </c>
      <c r="Q5" s="64">
        <v>395569</v>
      </c>
      <c r="R5" s="64">
        <v>395569</v>
      </c>
      <c r="S5" s="64">
        <v>395569</v>
      </c>
      <c r="T5" s="64">
        <v>395569</v>
      </c>
      <c r="U5" s="64">
        <v>395569</v>
      </c>
      <c r="V5" s="64">
        <v>395569</v>
      </c>
      <c r="W5" s="64">
        <v>395569</v>
      </c>
      <c r="X5" s="64">
        <v>395569</v>
      </c>
      <c r="Y5" s="64">
        <v>395569</v>
      </c>
      <c r="Z5" s="64">
        <v>395569</v>
      </c>
      <c r="AA5" s="64">
        <v>395569</v>
      </c>
      <c r="AB5" s="64">
        <v>395569</v>
      </c>
      <c r="AC5" s="64">
        <v>395569</v>
      </c>
      <c r="AD5" s="64"/>
      <c r="AE5" s="64"/>
      <c r="AF5" s="64"/>
    </row>
    <row r="6" spans="1:32">
      <c r="A6" t="s">
        <v>221</v>
      </c>
      <c r="B6" s="64">
        <v>194</v>
      </c>
      <c r="C6" s="64">
        <v>194</v>
      </c>
      <c r="D6" s="64">
        <v>194</v>
      </c>
      <c r="E6" s="64">
        <v>194</v>
      </c>
      <c r="F6" s="64">
        <v>194</v>
      </c>
      <c r="G6" s="64">
        <v>194</v>
      </c>
      <c r="H6" s="64">
        <v>194</v>
      </c>
      <c r="I6" s="64">
        <v>194</v>
      </c>
      <c r="J6" s="64">
        <v>194</v>
      </c>
      <c r="K6" s="64">
        <v>194</v>
      </c>
      <c r="L6" s="64">
        <v>194</v>
      </c>
      <c r="M6" s="64">
        <v>194</v>
      </c>
      <c r="N6" s="64">
        <v>194</v>
      </c>
      <c r="O6" s="64">
        <v>194</v>
      </c>
      <c r="P6" s="64">
        <v>194</v>
      </c>
      <c r="Q6" s="64">
        <v>194</v>
      </c>
      <c r="R6" s="64">
        <v>194</v>
      </c>
      <c r="S6" s="64">
        <v>194</v>
      </c>
      <c r="T6" s="64">
        <v>194</v>
      </c>
      <c r="U6" s="64">
        <v>194</v>
      </c>
      <c r="V6" s="64">
        <v>194</v>
      </c>
      <c r="W6" s="64">
        <v>194</v>
      </c>
      <c r="X6" s="64">
        <v>194</v>
      </c>
      <c r="Y6" s="64">
        <v>194</v>
      </c>
      <c r="Z6" s="64">
        <v>194</v>
      </c>
      <c r="AA6" s="64">
        <v>194</v>
      </c>
      <c r="AB6" s="64">
        <v>194</v>
      </c>
      <c r="AC6" s="64">
        <v>194</v>
      </c>
      <c r="AD6" s="64"/>
      <c r="AE6" s="64"/>
      <c r="AF6" s="64"/>
    </row>
    <row r="7" spans="1:32">
      <c r="A7" t="s">
        <v>222</v>
      </c>
      <c r="B7" s="64">
        <v>2401</v>
      </c>
      <c r="C7" s="64">
        <v>2401</v>
      </c>
      <c r="D7" s="64">
        <v>2401</v>
      </c>
      <c r="E7" s="64">
        <v>2401</v>
      </c>
      <c r="F7" s="64">
        <v>2401</v>
      </c>
      <c r="G7" s="64">
        <v>2401</v>
      </c>
      <c r="H7" s="64">
        <v>2401</v>
      </c>
      <c r="I7" s="64">
        <v>2401</v>
      </c>
      <c r="J7" s="64">
        <v>2401</v>
      </c>
      <c r="K7" s="64">
        <v>2401</v>
      </c>
      <c r="L7" s="64">
        <v>2401</v>
      </c>
      <c r="M7" s="64">
        <v>2401</v>
      </c>
      <c r="N7" s="64">
        <v>2401</v>
      </c>
      <c r="O7" s="64">
        <v>2401</v>
      </c>
      <c r="P7" s="64">
        <v>2401</v>
      </c>
      <c r="Q7" s="64">
        <v>2401</v>
      </c>
      <c r="R7" s="64">
        <v>2401</v>
      </c>
      <c r="S7" s="64">
        <v>2401</v>
      </c>
      <c r="T7" s="64">
        <v>2401</v>
      </c>
      <c r="U7" s="64">
        <v>2401</v>
      </c>
      <c r="V7" s="64">
        <v>2401</v>
      </c>
      <c r="W7" s="64">
        <v>2401</v>
      </c>
      <c r="X7" s="64">
        <v>2401</v>
      </c>
      <c r="Y7" s="64">
        <v>2401</v>
      </c>
      <c r="Z7" s="64">
        <v>2401</v>
      </c>
      <c r="AA7" s="64">
        <v>2401</v>
      </c>
      <c r="AB7" s="64">
        <v>2401</v>
      </c>
      <c r="AC7" s="64">
        <v>2401</v>
      </c>
      <c r="AD7" s="64"/>
      <c r="AE7" s="64"/>
      <c r="AF7" s="64"/>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tint="-0.499984740745262"/>
  </sheetPr>
  <dimension ref="A1:AC7"/>
  <sheetViews>
    <sheetView workbookViewId="0">
      <selection activeCell="I23" sqref="I23"/>
    </sheetView>
  </sheetViews>
  <sheetFormatPr defaultRowHeight="15"/>
  <sheetData>
    <row r="1" spans="1:29">
      <c r="A1" t="s">
        <v>519</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c r="AC1">
        <v>2050</v>
      </c>
    </row>
    <row r="2" spans="1:29">
      <c r="A2" t="s">
        <v>219</v>
      </c>
      <c r="B2">
        <v>9797</v>
      </c>
      <c r="C2">
        <v>9797</v>
      </c>
      <c r="D2">
        <v>9782</v>
      </c>
      <c r="E2">
        <v>9778</v>
      </c>
      <c r="F2">
        <v>9750</v>
      </c>
      <c r="G2">
        <v>9718</v>
      </c>
      <c r="H2">
        <v>9714</v>
      </c>
      <c r="I2">
        <v>9691</v>
      </c>
      <c r="J2">
        <v>9669</v>
      </c>
      <c r="K2">
        <v>9644</v>
      </c>
      <c r="L2">
        <v>9645</v>
      </c>
      <c r="M2">
        <v>9658</v>
      </c>
      <c r="N2">
        <v>9681</v>
      </c>
      <c r="O2">
        <v>9721</v>
      </c>
      <c r="P2">
        <v>9777</v>
      </c>
      <c r="Q2">
        <v>9839</v>
      </c>
      <c r="R2">
        <v>9911</v>
      </c>
      <c r="S2">
        <v>9969</v>
      </c>
      <c r="T2">
        <v>10020</v>
      </c>
      <c r="U2">
        <v>10030</v>
      </c>
      <c r="V2">
        <v>10027</v>
      </c>
      <c r="W2">
        <v>10040</v>
      </c>
      <c r="X2">
        <v>10066</v>
      </c>
      <c r="Y2">
        <v>10101</v>
      </c>
      <c r="Z2">
        <v>10132</v>
      </c>
      <c r="AA2">
        <v>10185</v>
      </c>
      <c r="AB2">
        <v>10246</v>
      </c>
      <c r="AC2">
        <v>9916</v>
      </c>
    </row>
    <row r="3" spans="1:29">
      <c r="A3" t="s">
        <v>134</v>
      </c>
      <c r="B3">
        <v>35195</v>
      </c>
      <c r="C3">
        <v>35195</v>
      </c>
      <c r="D3">
        <v>35195</v>
      </c>
      <c r="E3">
        <v>35195</v>
      </c>
      <c r="F3">
        <v>35195</v>
      </c>
      <c r="G3">
        <v>35195</v>
      </c>
      <c r="H3">
        <v>35195</v>
      </c>
      <c r="I3">
        <v>35195</v>
      </c>
      <c r="J3">
        <v>35195</v>
      </c>
      <c r="K3">
        <v>35195</v>
      </c>
      <c r="L3">
        <v>35195</v>
      </c>
      <c r="M3">
        <v>35195</v>
      </c>
      <c r="N3">
        <v>35195</v>
      </c>
      <c r="O3">
        <v>35195</v>
      </c>
      <c r="P3">
        <v>35195</v>
      </c>
      <c r="Q3">
        <v>35195</v>
      </c>
      <c r="R3">
        <v>35195</v>
      </c>
      <c r="S3">
        <v>35195</v>
      </c>
      <c r="T3">
        <v>35195</v>
      </c>
      <c r="U3">
        <v>35195</v>
      </c>
      <c r="V3">
        <v>35195</v>
      </c>
      <c r="W3">
        <v>35195</v>
      </c>
      <c r="X3">
        <v>35195</v>
      </c>
      <c r="Y3">
        <v>35195</v>
      </c>
      <c r="Z3">
        <v>35195</v>
      </c>
      <c r="AA3">
        <v>35195</v>
      </c>
      <c r="AB3">
        <v>35195</v>
      </c>
      <c r="AC3">
        <v>35195</v>
      </c>
    </row>
    <row r="4" spans="1:29">
      <c r="A4" t="s">
        <v>131</v>
      </c>
      <c r="B4">
        <v>889421</v>
      </c>
      <c r="C4">
        <v>889421</v>
      </c>
      <c r="D4">
        <v>889421</v>
      </c>
      <c r="E4">
        <v>889421</v>
      </c>
      <c r="F4">
        <v>889421</v>
      </c>
      <c r="G4">
        <v>889421</v>
      </c>
      <c r="H4">
        <v>889421</v>
      </c>
      <c r="I4">
        <v>889421</v>
      </c>
      <c r="J4">
        <v>889421</v>
      </c>
      <c r="K4">
        <v>889421</v>
      </c>
      <c r="L4">
        <v>889421</v>
      </c>
      <c r="M4">
        <v>889421</v>
      </c>
      <c r="N4">
        <v>889421</v>
      </c>
      <c r="O4">
        <v>889421</v>
      </c>
      <c r="P4">
        <v>889421</v>
      </c>
      <c r="Q4">
        <v>889421</v>
      </c>
      <c r="R4">
        <v>889421</v>
      </c>
      <c r="S4">
        <v>889421</v>
      </c>
      <c r="T4">
        <v>889421</v>
      </c>
      <c r="U4">
        <v>889421</v>
      </c>
      <c r="V4">
        <v>889421</v>
      </c>
      <c r="W4">
        <v>889421</v>
      </c>
      <c r="X4">
        <v>889421</v>
      </c>
      <c r="Y4">
        <v>889421</v>
      </c>
      <c r="Z4">
        <v>889421</v>
      </c>
      <c r="AA4">
        <v>889421</v>
      </c>
      <c r="AB4">
        <v>889421</v>
      </c>
      <c r="AC4">
        <v>1146274</v>
      </c>
    </row>
    <row r="5" spans="1:29">
      <c r="A5" t="s">
        <v>220</v>
      </c>
      <c r="B5">
        <v>17005</v>
      </c>
      <c r="C5">
        <v>17005</v>
      </c>
      <c r="D5">
        <v>17005</v>
      </c>
      <c r="E5">
        <v>17005</v>
      </c>
      <c r="F5">
        <v>17005</v>
      </c>
      <c r="G5">
        <v>17005</v>
      </c>
      <c r="H5">
        <v>17005</v>
      </c>
      <c r="I5">
        <v>17005</v>
      </c>
      <c r="J5">
        <v>17005</v>
      </c>
      <c r="K5">
        <v>17005</v>
      </c>
      <c r="L5">
        <v>17005</v>
      </c>
      <c r="M5">
        <v>17005</v>
      </c>
      <c r="N5">
        <v>17005</v>
      </c>
      <c r="O5">
        <v>17005</v>
      </c>
      <c r="P5">
        <v>17005</v>
      </c>
      <c r="Q5">
        <v>17005</v>
      </c>
      <c r="R5">
        <v>17005</v>
      </c>
      <c r="S5">
        <v>17005</v>
      </c>
      <c r="T5">
        <v>17005</v>
      </c>
      <c r="U5">
        <v>17005</v>
      </c>
      <c r="V5">
        <v>17005</v>
      </c>
      <c r="W5">
        <v>17005</v>
      </c>
      <c r="X5">
        <v>17005</v>
      </c>
      <c r="Y5">
        <v>17005</v>
      </c>
      <c r="Z5">
        <v>17005</v>
      </c>
      <c r="AA5">
        <v>17005</v>
      </c>
      <c r="AB5">
        <v>17005</v>
      </c>
      <c r="AC5">
        <v>17005</v>
      </c>
    </row>
    <row r="6" spans="1:29">
      <c r="A6" t="s">
        <v>221</v>
      </c>
      <c r="B6">
        <v>7513092</v>
      </c>
      <c r="C6">
        <v>7513092</v>
      </c>
      <c r="D6">
        <v>7513092</v>
      </c>
      <c r="E6">
        <v>7513092</v>
      </c>
      <c r="F6">
        <v>7513092</v>
      </c>
      <c r="G6">
        <v>7513092</v>
      </c>
      <c r="H6">
        <v>7513092</v>
      </c>
      <c r="I6">
        <v>7513092</v>
      </c>
      <c r="J6">
        <v>7513092</v>
      </c>
      <c r="K6">
        <v>7513092</v>
      </c>
      <c r="L6">
        <v>7513092</v>
      </c>
      <c r="M6">
        <v>7513092</v>
      </c>
      <c r="N6">
        <v>7513092</v>
      </c>
      <c r="O6">
        <v>7513092</v>
      </c>
      <c r="P6">
        <v>7513092</v>
      </c>
      <c r="Q6">
        <v>7513092</v>
      </c>
      <c r="R6">
        <v>7513092</v>
      </c>
      <c r="S6">
        <v>7513092</v>
      </c>
      <c r="T6">
        <v>7513092</v>
      </c>
      <c r="U6">
        <v>7513092</v>
      </c>
      <c r="V6">
        <v>7513092</v>
      </c>
      <c r="W6">
        <v>7513092</v>
      </c>
      <c r="X6">
        <v>7513092</v>
      </c>
      <c r="Y6">
        <v>7513092</v>
      </c>
      <c r="Z6">
        <v>7513092</v>
      </c>
      <c r="AA6">
        <v>7513092</v>
      </c>
      <c r="AB6">
        <v>7513092</v>
      </c>
      <c r="AC6">
        <v>7513092</v>
      </c>
    </row>
    <row r="7" spans="1:29">
      <c r="A7" t="s">
        <v>222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L83"/>
  <sheetViews>
    <sheetView workbookViewId="0">
      <selection sqref="A1:AK1"/>
    </sheetView>
  </sheetViews>
  <sheetFormatPr defaultRowHeight="12.75"/>
  <cols>
    <col min="1" max="1" width="41.7109375" style="41" customWidth="1"/>
    <col min="2" max="32" width="8.85546875" style="41" hidden="1" customWidth="1"/>
    <col min="33" max="35" width="8.85546875" style="41" bestFit="1" customWidth="1"/>
    <col min="36" max="37" width="8.85546875" style="41" customWidth="1"/>
    <col min="38" max="245" width="9.140625" style="41"/>
    <col min="246" max="246" width="37.7109375" style="41" customWidth="1"/>
    <col min="247" max="273" width="12.140625" style="41" customWidth="1"/>
    <col min="274" max="274" width="12.7109375" style="41" customWidth="1"/>
    <col min="275" max="276" width="9.140625" style="41"/>
    <col min="277" max="278" width="13.42578125" style="41" customWidth="1"/>
    <col min="279" max="279" width="13.85546875" style="41" customWidth="1"/>
    <col min="280" max="501" width="9.140625" style="41"/>
    <col min="502" max="502" width="37.7109375" style="41" customWidth="1"/>
    <col min="503" max="529" width="12.140625" style="41" customWidth="1"/>
    <col min="530" max="530" width="12.7109375" style="41" customWidth="1"/>
    <col min="531" max="532" width="9.140625" style="41"/>
    <col min="533" max="534" width="13.42578125" style="41" customWidth="1"/>
    <col min="535" max="535" width="13.85546875" style="41" customWidth="1"/>
    <col min="536" max="757" width="9.140625" style="41"/>
    <col min="758" max="758" width="37.7109375" style="41" customWidth="1"/>
    <col min="759" max="785" width="12.140625" style="41" customWidth="1"/>
    <col min="786" max="786" width="12.7109375" style="41" customWidth="1"/>
    <col min="787" max="788" width="9.140625" style="41"/>
    <col min="789" max="790" width="13.42578125" style="41" customWidth="1"/>
    <col min="791" max="791" width="13.85546875" style="41" customWidth="1"/>
    <col min="792" max="1013" width="9.140625" style="41"/>
    <col min="1014" max="1014" width="37.7109375" style="41" customWidth="1"/>
    <col min="1015" max="1041" width="12.140625" style="41" customWidth="1"/>
    <col min="1042" max="1042" width="12.7109375" style="41" customWidth="1"/>
    <col min="1043" max="1044" width="9.140625" style="41"/>
    <col min="1045" max="1046" width="13.42578125" style="41" customWidth="1"/>
    <col min="1047" max="1047" width="13.85546875" style="41" customWidth="1"/>
    <col min="1048" max="1269" width="9.140625" style="41"/>
    <col min="1270" max="1270" width="37.7109375" style="41" customWidth="1"/>
    <col min="1271" max="1297" width="12.140625" style="41" customWidth="1"/>
    <col min="1298" max="1298" width="12.7109375" style="41" customWidth="1"/>
    <col min="1299" max="1300" width="9.140625" style="41"/>
    <col min="1301" max="1302" width="13.42578125" style="41" customWidth="1"/>
    <col min="1303" max="1303" width="13.85546875" style="41" customWidth="1"/>
    <col min="1304" max="1525" width="9.140625" style="41"/>
    <col min="1526" max="1526" width="37.7109375" style="41" customWidth="1"/>
    <col min="1527" max="1553" width="12.140625" style="41" customWidth="1"/>
    <col min="1554" max="1554" width="12.7109375" style="41" customWidth="1"/>
    <col min="1555" max="1556" width="9.140625" style="41"/>
    <col min="1557" max="1558" width="13.42578125" style="41" customWidth="1"/>
    <col min="1559" max="1559" width="13.85546875" style="41" customWidth="1"/>
    <col min="1560" max="1781" width="9.140625" style="41"/>
    <col min="1782" max="1782" width="37.7109375" style="41" customWidth="1"/>
    <col min="1783" max="1809" width="12.140625" style="41" customWidth="1"/>
    <col min="1810" max="1810" width="12.7109375" style="41" customWidth="1"/>
    <col min="1811" max="1812" width="9.140625" style="41"/>
    <col min="1813" max="1814" width="13.42578125" style="41" customWidth="1"/>
    <col min="1815" max="1815" width="13.85546875" style="41" customWidth="1"/>
    <col min="1816" max="2037" width="9.140625" style="41"/>
    <col min="2038" max="2038" width="37.7109375" style="41" customWidth="1"/>
    <col min="2039" max="2065" width="12.140625" style="41" customWidth="1"/>
    <col min="2066" max="2066" width="12.7109375" style="41" customWidth="1"/>
    <col min="2067" max="2068" width="9.140625" style="41"/>
    <col min="2069" max="2070" width="13.42578125" style="41" customWidth="1"/>
    <col min="2071" max="2071" width="13.85546875" style="41" customWidth="1"/>
    <col min="2072" max="2293" width="9.140625" style="41"/>
    <col min="2294" max="2294" width="37.7109375" style="41" customWidth="1"/>
    <col min="2295" max="2321" width="12.140625" style="41" customWidth="1"/>
    <col min="2322" max="2322" width="12.7109375" style="41" customWidth="1"/>
    <col min="2323" max="2324" width="9.140625" style="41"/>
    <col min="2325" max="2326" width="13.42578125" style="41" customWidth="1"/>
    <col min="2327" max="2327" width="13.85546875" style="41" customWidth="1"/>
    <col min="2328" max="2549" width="9.140625" style="41"/>
    <col min="2550" max="2550" width="37.7109375" style="41" customWidth="1"/>
    <col min="2551" max="2577" width="12.140625" style="41" customWidth="1"/>
    <col min="2578" max="2578" width="12.7109375" style="41" customWidth="1"/>
    <col min="2579" max="2580" width="9.140625" style="41"/>
    <col min="2581" max="2582" width="13.42578125" style="41" customWidth="1"/>
    <col min="2583" max="2583" width="13.85546875" style="41" customWidth="1"/>
    <col min="2584" max="2805" width="9.140625" style="41"/>
    <col min="2806" max="2806" width="37.7109375" style="41" customWidth="1"/>
    <col min="2807" max="2833" width="12.140625" style="41" customWidth="1"/>
    <col min="2834" max="2834" width="12.7109375" style="41" customWidth="1"/>
    <col min="2835" max="2836" width="9.140625" style="41"/>
    <col min="2837" max="2838" width="13.42578125" style="41" customWidth="1"/>
    <col min="2839" max="2839" width="13.85546875" style="41" customWidth="1"/>
    <col min="2840" max="3061" width="9.140625" style="41"/>
    <col min="3062" max="3062" width="37.7109375" style="41" customWidth="1"/>
    <col min="3063" max="3089" width="12.140625" style="41" customWidth="1"/>
    <col min="3090" max="3090" width="12.7109375" style="41" customWidth="1"/>
    <col min="3091" max="3092" width="9.140625" style="41"/>
    <col min="3093" max="3094" width="13.42578125" style="41" customWidth="1"/>
    <col min="3095" max="3095" width="13.85546875" style="41" customWidth="1"/>
    <col min="3096" max="3317" width="9.140625" style="41"/>
    <col min="3318" max="3318" width="37.7109375" style="41" customWidth="1"/>
    <col min="3319" max="3345" width="12.140625" style="41" customWidth="1"/>
    <col min="3346" max="3346" width="12.7109375" style="41" customWidth="1"/>
    <col min="3347" max="3348" width="9.140625" style="41"/>
    <col min="3349" max="3350" width="13.42578125" style="41" customWidth="1"/>
    <col min="3351" max="3351" width="13.85546875" style="41" customWidth="1"/>
    <col min="3352" max="3573" width="9.140625" style="41"/>
    <col min="3574" max="3574" width="37.7109375" style="41" customWidth="1"/>
    <col min="3575" max="3601" width="12.140625" style="41" customWidth="1"/>
    <col min="3602" max="3602" width="12.7109375" style="41" customWidth="1"/>
    <col min="3603" max="3604" width="9.140625" style="41"/>
    <col min="3605" max="3606" width="13.42578125" style="41" customWidth="1"/>
    <col min="3607" max="3607" width="13.85546875" style="41" customWidth="1"/>
    <col min="3608" max="3829" width="9.140625" style="41"/>
    <col min="3830" max="3830" width="37.7109375" style="41" customWidth="1"/>
    <col min="3831" max="3857" width="12.140625" style="41" customWidth="1"/>
    <col min="3858" max="3858" width="12.7109375" style="41" customWidth="1"/>
    <col min="3859" max="3860" width="9.140625" style="41"/>
    <col min="3861" max="3862" width="13.42578125" style="41" customWidth="1"/>
    <col min="3863" max="3863" width="13.85546875" style="41" customWidth="1"/>
    <col min="3864" max="4085" width="9.140625" style="41"/>
    <col min="4086" max="4086" width="37.7109375" style="41" customWidth="1"/>
    <col min="4087" max="4113" width="12.140625" style="41" customWidth="1"/>
    <col min="4114" max="4114" width="12.7109375" style="41" customWidth="1"/>
    <col min="4115" max="4116" width="9.140625" style="41"/>
    <col min="4117" max="4118" width="13.42578125" style="41" customWidth="1"/>
    <col min="4119" max="4119" width="13.85546875" style="41" customWidth="1"/>
    <col min="4120" max="4341" width="9.140625" style="41"/>
    <col min="4342" max="4342" width="37.7109375" style="41" customWidth="1"/>
    <col min="4343" max="4369" width="12.140625" style="41" customWidth="1"/>
    <col min="4370" max="4370" width="12.7109375" style="41" customWidth="1"/>
    <col min="4371" max="4372" width="9.140625" style="41"/>
    <col min="4373" max="4374" width="13.42578125" style="41" customWidth="1"/>
    <col min="4375" max="4375" width="13.85546875" style="41" customWidth="1"/>
    <col min="4376" max="4597" width="9.140625" style="41"/>
    <col min="4598" max="4598" width="37.7109375" style="41" customWidth="1"/>
    <col min="4599" max="4625" width="12.140625" style="41" customWidth="1"/>
    <col min="4626" max="4626" width="12.7109375" style="41" customWidth="1"/>
    <col min="4627" max="4628" width="9.140625" style="41"/>
    <col min="4629" max="4630" width="13.42578125" style="41" customWidth="1"/>
    <col min="4631" max="4631" width="13.85546875" style="41" customWidth="1"/>
    <col min="4632" max="4853" width="9.140625" style="41"/>
    <col min="4854" max="4854" width="37.7109375" style="41" customWidth="1"/>
    <col min="4855" max="4881" width="12.140625" style="41" customWidth="1"/>
    <col min="4882" max="4882" width="12.7109375" style="41" customWidth="1"/>
    <col min="4883" max="4884" width="9.140625" style="41"/>
    <col min="4885" max="4886" width="13.42578125" style="41" customWidth="1"/>
    <col min="4887" max="4887" width="13.85546875" style="41" customWidth="1"/>
    <col min="4888" max="5109" width="9.140625" style="41"/>
    <col min="5110" max="5110" width="37.7109375" style="41" customWidth="1"/>
    <col min="5111" max="5137" width="12.140625" style="41" customWidth="1"/>
    <col min="5138" max="5138" width="12.7109375" style="41" customWidth="1"/>
    <col min="5139" max="5140" width="9.140625" style="41"/>
    <col min="5141" max="5142" width="13.42578125" style="41" customWidth="1"/>
    <col min="5143" max="5143" width="13.85546875" style="41" customWidth="1"/>
    <col min="5144" max="5365" width="9.140625" style="41"/>
    <col min="5366" max="5366" width="37.7109375" style="41" customWidth="1"/>
    <col min="5367" max="5393" width="12.140625" style="41" customWidth="1"/>
    <col min="5394" max="5394" width="12.7109375" style="41" customWidth="1"/>
    <col min="5395" max="5396" width="9.140625" style="41"/>
    <col min="5397" max="5398" width="13.42578125" style="41" customWidth="1"/>
    <col min="5399" max="5399" width="13.85546875" style="41" customWidth="1"/>
    <col min="5400" max="5621" width="9.140625" style="41"/>
    <col min="5622" max="5622" width="37.7109375" style="41" customWidth="1"/>
    <col min="5623" max="5649" width="12.140625" style="41" customWidth="1"/>
    <col min="5650" max="5650" width="12.7109375" style="41" customWidth="1"/>
    <col min="5651" max="5652" width="9.140625" style="41"/>
    <col min="5653" max="5654" width="13.42578125" style="41" customWidth="1"/>
    <col min="5655" max="5655" width="13.85546875" style="41" customWidth="1"/>
    <col min="5656" max="5877" width="9.140625" style="41"/>
    <col min="5878" max="5878" width="37.7109375" style="41" customWidth="1"/>
    <col min="5879" max="5905" width="12.140625" style="41" customWidth="1"/>
    <col min="5906" max="5906" width="12.7109375" style="41" customWidth="1"/>
    <col min="5907" max="5908" width="9.140625" style="41"/>
    <col min="5909" max="5910" width="13.42578125" style="41" customWidth="1"/>
    <col min="5911" max="5911" width="13.85546875" style="41" customWidth="1"/>
    <col min="5912" max="6133" width="9.140625" style="41"/>
    <col min="6134" max="6134" width="37.7109375" style="41" customWidth="1"/>
    <col min="6135" max="6161" width="12.140625" style="41" customWidth="1"/>
    <col min="6162" max="6162" width="12.7109375" style="41" customWidth="1"/>
    <col min="6163" max="6164" width="9.140625" style="41"/>
    <col min="6165" max="6166" width="13.42578125" style="41" customWidth="1"/>
    <col min="6167" max="6167" width="13.85546875" style="41" customWidth="1"/>
    <col min="6168" max="6389" width="9.140625" style="41"/>
    <col min="6390" max="6390" width="37.7109375" style="41" customWidth="1"/>
    <col min="6391" max="6417" width="12.140625" style="41" customWidth="1"/>
    <col min="6418" max="6418" width="12.7109375" style="41" customWidth="1"/>
    <col min="6419" max="6420" width="9.140625" style="41"/>
    <col min="6421" max="6422" width="13.42578125" style="41" customWidth="1"/>
    <col min="6423" max="6423" width="13.85546875" style="41" customWidth="1"/>
    <col min="6424" max="6645" width="9.140625" style="41"/>
    <col min="6646" max="6646" width="37.7109375" style="41" customWidth="1"/>
    <col min="6647" max="6673" width="12.140625" style="41" customWidth="1"/>
    <col min="6674" max="6674" width="12.7109375" style="41" customWidth="1"/>
    <col min="6675" max="6676" width="9.140625" style="41"/>
    <col min="6677" max="6678" width="13.42578125" style="41" customWidth="1"/>
    <col min="6679" max="6679" width="13.85546875" style="41" customWidth="1"/>
    <col min="6680" max="6901" width="9.140625" style="41"/>
    <col min="6902" max="6902" width="37.7109375" style="41" customWidth="1"/>
    <col min="6903" max="6929" width="12.140625" style="41" customWidth="1"/>
    <col min="6930" max="6930" width="12.7109375" style="41" customWidth="1"/>
    <col min="6931" max="6932" width="9.140625" style="41"/>
    <col min="6933" max="6934" width="13.42578125" style="41" customWidth="1"/>
    <col min="6935" max="6935" width="13.85546875" style="41" customWidth="1"/>
    <col min="6936" max="7157" width="9.140625" style="41"/>
    <col min="7158" max="7158" width="37.7109375" style="41" customWidth="1"/>
    <col min="7159" max="7185" width="12.140625" style="41" customWidth="1"/>
    <col min="7186" max="7186" width="12.7109375" style="41" customWidth="1"/>
    <col min="7187" max="7188" width="9.140625" style="41"/>
    <col min="7189" max="7190" width="13.42578125" style="41" customWidth="1"/>
    <col min="7191" max="7191" width="13.85546875" style="41" customWidth="1"/>
    <col min="7192" max="7413" width="9.140625" style="41"/>
    <col min="7414" max="7414" width="37.7109375" style="41" customWidth="1"/>
    <col min="7415" max="7441" width="12.140625" style="41" customWidth="1"/>
    <col min="7442" max="7442" width="12.7109375" style="41" customWidth="1"/>
    <col min="7443" max="7444" width="9.140625" style="41"/>
    <col min="7445" max="7446" width="13.42578125" style="41" customWidth="1"/>
    <col min="7447" max="7447" width="13.85546875" style="41" customWidth="1"/>
    <col min="7448" max="7669" width="9.140625" style="41"/>
    <col min="7670" max="7670" width="37.7109375" style="41" customWidth="1"/>
    <col min="7671" max="7697" width="12.140625" style="41" customWidth="1"/>
    <col min="7698" max="7698" width="12.7109375" style="41" customWidth="1"/>
    <col min="7699" max="7700" width="9.140625" style="41"/>
    <col min="7701" max="7702" width="13.42578125" style="41" customWidth="1"/>
    <col min="7703" max="7703" width="13.85546875" style="41" customWidth="1"/>
    <col min="7704" max="7925" width="9.140625" style="41"/>
    <col min="7926" max="7926" width="37.7109375" style="41" customWidth="1"/>
    <col min="7927" max="7953" width="12.140625" style="41" customWidth="1"/>
    <col min="7954" max="7954" width="12.7109375" style="41" customWidth="1"/>
    <col min="7955" max="7956" width="9.140625" style="41"/>
    <col min="7957" max="7958" width="13.42578125" style="41" customWidth="1"/>
    <col min="7959" max="7959" width="13.85546875" style="41" customWidth="1"/>
    <col min="7960" max="8181" width="9.140625" style="41"/>
    <col min="8182" max="8182" width="37.7109375" style="41" customWidth="1"/>
    <col min="8183" max="8209" width="12.140625" style="41" customWidth="1"/>
    <col min="8210" max="8210" width="12.7109375" style="41" customWidth="1"/>
    <col min="8211" max="8212" width="9.140625" style="41"/>
    <col min="8213" max="8214" width="13.42578125" style="41" customWidth="1"/>
    <col min="8215" max="8215" width="13.85546875" style="41" customWidth="1"/>
    <col min="8216" max="8437" width="9.140625" style="41"/>
    <col min="8438" max="8438" width="37.7109375" style="41" customWidth="1"/>
    <col min="8439" max="8465" width="12.140625" style="41" customWidth="1"/>
    <col min="8466" max="8466" width="12.7109375" style="41" customWidth="1"/>
    <col min="8467" max="8468" width="9.140625" style="41"/>
    <col min="8469" max="8470" width="13.42578125" style="41" customWidth="1"/>
    <col min="8471" max="8471" width="13.85546875" style="41" customWidth="1"/>
    <col min="8472" max="8693" width="9.140625" style="41"/>
    <col min="8694" max="8694" width="37.7109375" style="41" customWidth="1"/>
    <col min="8695" max="8721" width="12.140625" style="41" customWidth="1"/>
    <col min="8722" max="8722" width="12.7109375" style="41" customWidth="1"/>
    <col min="8723" max="8724" width="9.140625" style="41"/>
    <col min="8725" max="8726" width="13.42578125" style="41" customWidth="1"/>
    <col min="8727" max="8727" width="13.85546875" style="41" customWidth="1"/>
    <col min="8728" max="8949" width="9.140625" style="41"/>
    <col min="8950" max="8950" width="37.7109375" style="41" customWidth="1"/>
    <col min="8951" max="8977" width="12.140625" style="41" customWidth="1"/>
    <col min="8978" max="8978" width="12.7109375" style="41" customWidth="1"/>
    <col min="8979" max="8980" width="9.140625" style="41"/>
    <col min="8981" max="8982" width="13.42578125" style="41" customWidth="1"/>
    <col min="8983" max="8983" width="13.85546875" style="41" customWidth="1"/>
    <col min="8984" max="9205" width="9.140625" style="41"/>
    <col min="9206" max="9206" width="37.7109375" style="41" customWidth="1"/>
    <col min="9207" max="9233" width="12.140625" style="41" customWidth="1"/>
    <col min="9234" max="9234" width="12.7109375" style="41" customWidth="1"/>
    <col min="9235" max="9236" width="9.140625" style="41"/>
    <col min="9237" max="9238" width="13.42578125" style="41" customWidth="1"/>
    <col min="9239" max="9239" width="13.85546875" style="41" customWidth="1"/>
    <col min="9240" max="9461" width="9.140625" style="41"/>
    <col min="9462" max="9462" width="37.7109375" style="41" customWidth="1"/>
    <col min="9463" max="9489" width="12.140625" style="41" customWidth="1"/>
    <col min="9490" max="9490" width="12.7109375" style="41" customWidth="1"/>
    <col min="9491" max="9492" width="9.140625" style="41"/>
    <col min="9493" max="9494" width="13.42578125" style="41" customWidth="1"/>
    <col min="9495" max="9495" width="13.85546875" style="41" customWidth="1"/>
    <col min="9496" max="9717" width="9.140625" style="41"/>
    <col min="9718" max="9718" width="37.7109375" style="41" customWidth="1"/>
    <col min="9719" max="9745" width="12.140625" style="41" customWidth="1"/>
    <col min="9746" max="9746" width="12.7109375" style="41" customWidth="1"/>
    <col min="9747" max="9748" width="9.140625" style="41"/>
    <col min="9749" max="9750" width="13.42578125" style="41" customWidth="1"/>
    <col min="9751" max="9751" width="13.85546875" style="41" customWidth="1"/>
    <col min="9752" max="9973" width="9.140625" style="41"/>
    <col min="9974" max="9974" width="37.7109375" style="41" customWidth="1"/>
    <col min="9975" max="10001" width="12.140625" style="41" customWidth="1"/>
    <col min="10002" max="10002" width="12.7109375" style="41" customWidth="1"/>
    <col min="10003" max="10004" width="9.140625" style="41"/>
    <col min="10005" max="10006" width="13.42578125" style="41" customWidth="1"/>
    <col min="10007" max="10007" width="13.85546875" style="41" customWidth="1"/>
    <col min="10008" max="10229" width="9.140625" style="41"/>
    <col min="10230" max="10230" width="37.7109375" style="41" customWidth="1"/>
    <col min="10231" max="10257" width="12.140625" style="41" customWidth="1"/>
    <col min="10258" max="10258" width="12.7109375" style="41" customWidth="1"/>
    <col min="10259" max="10260" width="9.140625" style="41"/>
    <col min="10261" max="10262" width="13.42578125" style="41" customWidth="1"/>
    <col min="10263" max="10263" width="13.85546875" style="41" customWidth="1"/>
    <col min="10264" max="10485" width="9.140625" style="41"/>
    <col min="10486" max="10486" width="37.7109375" style="41" customWidth="1"/>
    <col min="10487" max="10513" width="12.140625" style="41" customWidth="1"/>
    <col min="10514" max="10514" width="12.7109375" style="41" customWidth="1"/>
    <col min="10515" max="10516" width="9.140625" style="41"/>
    <col min="10517" max="10518" width="13.42578125" style="41" customWidth="1"/>
    <col min="10519" max="10519" width="13.85546875" style="41" customWidth="1"/>
    <col min="10520" max="10741" width="9.140625" style="41"/>
    <col min="10742" max="10742" width="37.7109375" style="41" customWidth="1"/>
    <col min="10743" max="10769" width="12.140625" style="41" customWidth="1"/>
    <col min="10770" max="10770" width="12.7109375" style="41" customWidth="1"/>
    <col min="10771" max="10772" width="9.140625" style="41"/>
    <col min="10773" max="10774" width="13.42578125" style="41" customWidth="1"/>
    <col min="10775" max="10775" width="13.85546875" style="41" customWidth="1"/>
    <col min="10776" max="10997" width="9.140625" style="41"/>
    <col min="10998" max="10998" width="37.7109375" style="41" customWidth="1"/>
    <col min="10999" max="11025" width="12.140625" style="41" customWidth="1"/>
    <col min="11026" max="11026" width="12.7109375" style="41" customWidth="1"/>
    <col min="11027" max="11028" width="9.140625" style="41"/>
    <col min="11029" max="11030" width="13.42578125" style="41" customWidth="1"/>
    <col min="11031" max="11031" width="13.85546875" style="41" customWidth="1"/>
    <col min="11032" max="11253" width="9.140625" style="41"/>
    <col min="11254" max="11254" width="37.7109375" style="41" customWidth="1"/>
    <col min="11255" max="11281" width="12.140625" style="41" customWidth="1"/>
    <col min="11282" max="11282" width="12.7109375" style="41" customWidth="1"/>
    <col min="11283" max="11284" width="9.140625" style="41"/>
    <col min="11285" max="11286" width="13.42578125" style="41" customWidth="1"/>
    <col min="11287" max="11287" width="13.85546875" style="41" customWidth="1"/>
    <col min="11288" max="11509" width="9.140625" style="41"/>
    <col min="11510" max="11510" width="37.7109375" style="41" customWidth="1"/>
    <col min="11511" max="11537" width="12.140625" style="41" customWidth="1"/>
    <col min="11538" max="11538" width="12.7109375" style="41" customWidth="1"/>
    <col min="11539" max="11540" width="9.140625" style="41"/>
    <col min="11541" max="11542" width="13.42578125" style="41" customWidth="1"/>
    <col min="11543" max="11543" width="13.85546875" style="41" customWidth="1"/>
    <col min="11544" max="11765" width="9.140625" style="41"/>
    <col min="11766" max="11766" width="37.7109375" style="41" customWidth="1"/>
    <col min="11767" max="11793" width="12.140625" style="41" customWidth="1"/>
    <col min="11794" max="11794" width="12.7109375" style="41" customWidth="1"/>
    <col min="11795" max="11796" width="9.140625" style="41"/>
    <col min="11797" max="11798" width="13.42578125" style="41" customWidth="1"/>
    <col min="11799" max="11799" width="13.85546875" style="41" customWidth="1"/>
    <col min="11800" max="12021" width="9.140625" style="41"/>
    <col min="12022" max="12022" width="37.7109375" style="41" customWidth="1"/>
    <col min="12023" max="12049" width="12.140625" style="41" customWidth="1"/>
    <col min="12050" max="12050" width="12.7109375" style="41" customWidth="1"/>
    <col min="12051" max="12052" width="9.140625" style="41"/>
    <col min="12053" max="12054" width="13.42578125" style="41" customWidth="1"/>
    <col min="12055" max="12055" width="13.85546875" style="41" customWidth="1"/>
    <col min="12056" max="12277" width="9.140625" style="41"/>
    <col min="12278" max="12278" width="37.7109375" style="41" customWidth="1"/>
    <col min="12279" max="12305" width="12.140625" style="41" customWidth="1"/>
    <col min="12306" max="12306" width="12.7109375" style="41" customWidth="1"/>
    <col min="12307" max="12308" width="9.140625" style="41"/>
    <col min="12309" max="12310" width="13.42578125" style="41" customWidth="1"/>
    <col min="12311" max="12311" width="13.85546875" style="41" customWidth="1"/>
    <col min="12312" max="12533" width="9.140625" style="41"/>
    <col min="12534" max="12534" width="37.7109375" style="41" customWidth="1"/>
    <col min="12535" max="12561" width="12.140625" style="41" customWidth="1"/>
    <col min="12562" max="12562" width="12.7109375" style="41" customWidth="1"/>
    <col min="12563" max="12564" width="9.140625" style="41"/>
    <col min="12565" max="12566" width="13.42578125" style="41" customWidth="1"/>
    <col min="12567" max="12567" width="13.85546875" style="41" customWidth="1"/>
    <col min="12568" max="12789" width="9.140625" style="41"/>
    <col min="12790" max="12790" width="37.7109375" style="41" customWidth="1"/>
    <col min="12791" max="12817" width="12.140625" style="41" customWidth="1"/>
    <col min="12818" max="12818" width="12.7109375" style="41" customWidth="1"/>
    <col min="12819" max="12820" width="9.140625" style="41"/>
    <col min="12821" max="12822" width="13.42578125" style="41" customWidth="1"/>
    <col min="12823" max="12823" width="13.85546875" style="41" customWidth="1"/>
    <col min="12824" max="13045" width="9.140625" style="41"/>
    <col min="13046" max="13046" width="37.7109375" style="41" customWidth="1"/>
    <col min="13047" max="13073" width="12.140625" style="41" customWidth="1"/>
    <col min="13074" max="13074" width="12.7109375" style="41" customWidth="1"/>
    <col min="13075" max="13076" width="9.140625" style="41"/>
    <col min="13077" max="13078" width="13.42578125" style="41" customWidth="1"/>
    <col min="13079" max="13079" width="13.85546875" style="41" customWidth="1"/>
    <col min="13080" max="13301" width="9.140625" style="41"/>
    <col min="13302" max="13302" width="37.7109375" style="41" customWidth="1"/>
    <col min="13303" max="13329" width="12.140625" style="41" customWidth="1"/>
    <col min="13330" max="13330" width="12.7109375" style="41" customWidth="1"/>
    <col min="13331" max="13332" width="9.140625" style="41"/>
    <col min="13333" max="13334" width="13.42578125" style="41" customWidth="1"/>
    <col min="13335" max="13335" width="13.85546875" style="41" customWidth="1"/>
    <col min="13336" max="13557" width="9.140625" style="41"/>
    <col min="13558" max="13558" width="37.7109375" style="41" customWidth="1"/>
    <col min="13559" max="13585" width="12.140625" style="41" customWidth="1"/>
    <col min="13586" max="13586" width="12.7109375" style="41" customWidth="1"/>
    <col min="13587" max="13588" width="9.140625" style="41"/>
    <col min="13589" max="13590" width="13.42578125" style="41" customWidth="1"/>
    <col min="13591" max="13591" width="13.85546875" style="41" customWidth="1"/>
    <col min="13592" max="13813" width="9.140625" style="41"/>
    <col min="13814" max="13814" width="37.7109375" style="41" customWidth="1"/>
    <col min="13815" max="13841" width="12.140625" style="41" customWidth="1"/>
    <col min="13842" max="13842" width="12.7109375" style="41" customWidth="1"/>
    <col min="13843" max="13844" width="9.140625" style="41"/>
    <col min="13845" max="13846" width="13.42578125" style="41" customWidth="1"/>
    <col min="13847" max="13847" width="13.85546875" style="41" customWidth="1"/>
    <col min="13848" max="14069" width="9.140625" style="41"/>
    <col min="14070" max="14070" width="37.7109375" style="41" customWidth="1"/>
    <col min="14071" max="14097" width="12.140625" style="41" customWidth="1"/>
    <col min="14098" max="14098" width="12.7109375" style="41" customWidth="1"/>
    <col min="14099" max="14100" width="9.140625" style="41"/>
    <col min="14101" max="14102" width="13.42578125" style="41" customWidth="1"/>
    <col min="14103" max="14103" width="13.85546875" style="41" customWidth="1"/>
    <col min="14104" max="14325" width="9.140625" style="41"/>
    <col min="14326" max="14326" width="37.7109375" style="41" customWidth="1"/>
    <col min="14327" max="14353" width="12.140625" style="41" customWidth="1"/>
    <col min="14354" max="14354" width="12.7109375" style="41" customWidth="1"/>
    <col min="14355" max="14356" width="9.140625" style="41"/>
    <col min="14357" max="14358" width="13.42578125" style="41" customWidth="1"/>
    <col min="14359" max="14359" width="13.85546875" style="41" customWidth="1"/>
    <col min="14360" max="14581" width="9.140625" style="41"/>
    <col min="14582" max="14582" width="37.7109375" style="41" customWidth="1"/>
    <col min="14583" max="14609" width="12.140625" style="41" customWidth="1"/>
    <col min="14610" max="14610" width="12.7109375" style="41" customWidth="1"/>
    <col min="14611" max="14612" width="9.140625" style="41"/>
    <col min="14613" max="14614" width="13.42578125" style="41" customWidth="1"/>
    <col min="14615" max="14615" width="13.85546875" style="41" customWidth="1"/>
    <col min="14616" max="14837" width="9.140625" style="41"/>
    <col min="14838" max="14838" width="37.7109375" style="41" customWidth="1"/>
    <col min="14839" max="14865" width="12.140625" style="41" customWidth="1"/>
    <col min="14866" max="14866" width="12.7109375" style="41" customWidth="1"/>
    <col min="14867" max="14868" width="9.140625" style="41"/>
    <col min="14869" max="14870" width="13.42578125" style="41" customWidth="1"/>
    <col min="14871" max="14871" width="13.85546875" style="41" customWidth="1"/>
    <col min="14872" max="15093" width="9.140625" style="41"/>
    <col min="15094" max="15094" width="37.7109375" style="41" customWidth="1"/>
    <col min="15095" max="15121" width="12.140625" style="41" customWidth="1"/>
    <col min="15122" max="15122" width="12.7109375" style="41" customWidth="1"/>
    <col min="15123" max="15124" width="9.140625" style="41"/>
    <col min="15125" max="15126" width="13.42578125" style="41" customWidth="1"/>
    <col min="15127" max="15127" width="13.85546875" style="41" customWidth="1"/>
    <col min="15128" max="15349" width="9.140625" style="41"/>
    <col min="15350" max="15350" width="37.7109375" style="41" customWidth="1"/>
    <col min="15351" max="15377" width="12.140625" style="41" customWidth="1"/>
    <col min="15378" max="15378" width="12.7109375" style="41" customWidth="1"/>
    <col min="15379" max="15380" width="9.140625" style="41"/>
    <col min="15381" max="15382" width="13.42578125" style="41" customWidth="1"/>
    <col min="15383" max="15383" width="13.85546875" style="41" customWidth="1"/>
    <col min="15384" max="15605" width="9.140625" style="41"/>
    <col min="15606" max="15606" width="37.7109375" style="41" customWidth="1"/>
    <col min="15607" max="15633" width="12.140625" style="41" customWidth="1"/>
    <col min="15634" max="15634" width="12.7109375" style="41" customWidth="1"/>
    <col min="15635" max="15636" width="9.140625" style="41"/>
    <col min="15637" max="15638" width="13.42578125" style="41" customWidth="1"/>
    <col min="15639" max="15639" width="13.85546875" style="41" customWidth="1"/>
    <col min="15640" max="15861" width="9.140625" style="41"/>
    <col min="15862" max="15862" width="37.7109375" style="41" customWidth="1"/>
    <col min="15863" max="15889" width="12.140625" style="41" customWidth="1"/>
    <col min="15890" max="15890" width="12.7109375" style="41" customWidth="1"/>
    <col min="15891" max="15892" width="9.140625" style="41"/>
    <col min="15893" max="15894" width="13.42578125" style="41" customWidth="1"/>
    <col min="15895" max="15895" width="13.85546875" style="41" customWidth="1"/>
    <col min="15896" max="16117" width="9.140625" style="41"/>
    <col min="16118" max="16118" width="37.7109375" style="41" customWidth="1"/>
    <col min="16119" max="16145" width="12.140625" style="41" customWidth="1"/>
    <col min="16146" max="16146" width="12.7109375" style="41" customWidth="1"/>
    <col min="16147" max="16148" width="9.140625" style="41"/>
    <col min="16149" max="16150" width="13.42578125" style="41" customWidth="1"/>
    <col min="16151" max="16151" width="13.85546875" style="41" customWidth="1"/>
    <col min="16152" max="16384" width="9.140625" style="41"/>
  </cols>
  <sheetData>
    <row r="1" spans="1:38" s="34" customFormat="1" ht="16.5" customHeight="1" thickBot="1">
      <c r="A1" s="227" t="s">
        <v>186</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c r="AE1" s="227"/>
      <c r="AF1" s="227"/>
      <c r="AG1" s="227"/>
      <c r="AH1" s="227"/>
      <c r="AI1" s="227"/>
      <c r="AJ1" s="227"/>
      <c r="AK1" s="227"/>
    </row>
    <row r="2" spans="1:38" s="46" customFormat="1" ht="16.5" customHeight="1">
      <c r="A2" s="35"/>
      <c r="B2" s="36">
        <v>1960</v>
      </c>
      <c r="C2" s="36">
        <v>1965</v>
      </c>
      <c r="D2" s="36">
        <v>1970</v>
      </c>
      <c r="E2" s="36">
        <v>1975</v>
      </c>
      <c r="F2" s="36">
        <v>1980</v>
      </c>
      <c r="G2" s="36">
        <v>1985</v>
      </c>
      <c r="H2" s="36">
        <v>1990</v>
      </c>
      <c r="I2" s="36">
        <v>1991</v>
      </c>
      <c r="J2" s="36">
        <v>1992</v>
      </c>
      <c r="K2" s="36">
        <v>1993</v>
      </c>
      <c r="L2" s="36">
        <v>1994</v>
      </c>
      <c r="M2" s="36">
        <v>1995</v>
      </c>
      <c r="N2" s="36">
        <v>1996</v>
      </c>
      <c r="O2" s="36">
        <v>1997</v>
      </c>
      <c r="P2" s="36">
        <v>1998</v>
      </c>
      <c r="Q2" s="36">
        <v>1999</v>
      </c>
      <c r="R2" s="36">
        <v>2000</v>
      </c>
      <c r="S2" s="36">
        <v>2001</v>
      </c>
      <c r="T2" s="35">
        <v>2002</v>
      </c>
      <c r="U2" s="35">
        <v>2003</v>
      </c>
      <c r="V2" s="37">
        <v>2004</v>
      </c>
      <c r="W2" s="35">
        <v>2005</v>
      </c>
      <c r="X2" s="35">
        <v>2006</v>
      </c>
      <c r="Y2" s="35">
        <v>2007</v>
      </c>
      <c r="Z2" s="35">
        <v>2008</v>
      </c>
      <c r="AA2" s="35">
        <v>2009</v>
      </c>
      <c r="AB2" s="35">
        <v>2010</v>
      </c>
      <c r="AC2" s="36">
        <v>2011</v>
      </c>
      <c r="AD2" s="36">
        <v>2012</v>
      </c>
      <c r="AE2" s="35">
        <v>2013</v>
      </c>
      <c r="AF2" s="36">
        <v>2014</v>
      </c>
      <c r="AG2" s="36">
        <v>2015</v>
      </c>
      <c r="AH2" s="36">
        <v>2016</v>
      </c>
      <c r="AI2" s="36">
        <v>2017</v>
      </c>
      <c r="AJ2" s="36">
        <v>2018</v>
      </c>
      <c r="AK2" s="36">
        <v>2019</v>
      </c>
    </row>
    <row r="3" spans="1:38" s="48" customFormat="1" ht="16.5" customHeight="1">
      <c r="A3" s="10" t="s">
        <v>185</v>
      </c>
      <c r="B3" s="38"/>
      <c r="C3" s="38"/>
      <c r="D3" s="38"/>
      <c r="E3" s="39"/>
      <c r="F3" s="39"/>
      <c r="G3" s="43"/>
      <c r="H3" s="43"/>
      <c r="I3" s="43"/>
      <c r="J3" s="43"/>
      <c r="K3" s="43"/>
      <c r="L3" s="43"/>
      <c r="M3" s="43"/>
      <c r="N3" s="43"/>
      <c r="O3" s="43"/>
      <c r="P3" s="43"/>
      <c r="Q3" s="43"/>
      <c r="R3" s="43"/>
      <c r="S3" s="38"/>
      <c r="T3" s="43"/>
      <c r="U3" s="43"/>
      <c r="V3" s="43"/>
      <c r="W3" s="43"/>
      <c r="X3" s="43"/>
      <c r="Y3" s="43"/>
      <c r="Z3" s="43"/>
      <c r="AA3" s="38"/>
      <c r="AB3" s="38"/>
      <c r="AC3" s="38"/>
      <c r="AD3" s="38"/>
      <c r="AE3" s="47"/>
      <c r="AF3" s="47"/>
      <c r="AG3" s="47"/>
      <c r="AH3" s="47"/>
      <c r="AI3" s="47"/>
      <c r="AJ3" s="47"/>
      <c r="AK3" s="47"/>
    </row>
    <row r="4" spans="1:38" s="48" customFormat="1" ht="16.5" customHeight="1">
      <c r="A4" s="8" t="s">
        <v>457</v>
      </c>
      <c r="B4" s="42">
        <v>31099</v>
      </c>
      <c r="C4" s="42">
        <v>53226</v>
      </c>
      <c r="D4" s="42">
        <v>108442</v>
      </c>
      <c r="E4" s="40">
        <v>119591.474</v>
      </c>
      <c r="F4" s="40">
        <v>190765.929</v>
      </c>
      <c r="G4" s="40">
        <v>275863.54700000002</v>
      </c>
      <c r="H4" s="40">
        <v>337215.22553599998</v>
      </c>
      <c r="I4" s="40">
        <v>329787.96750099998</v>
      </c>
      <c r="J4" s="40">
        <v>345019.61278099997</v>
      </c>
      <c r="K4" s="40">
        <v>351096.458323</v>
      </c>
      <c r="L4" s="40">
        <v>376873.402328</v>
      </c>
      <c r="M4" s="40">
        <v>391593.82941200002</v>
      </c>
      <c r="N4" s="40">
        <v>419281.55251800001</v>
      </c>
      <c r="O4" s="40">
        <v>439262.67014</v>
      </c>
      <c r="P4" s="40">
        <v>449103.79910300003</v>
      </c>
      <c r="Q4" s="40">
        <v>473081.98319599999</v>
      </c>
      <c r="R4" s="40">
        <v>500431.77514500002</v>
      </c>
      <c r="S4" s="40">
        <v>473591.64681000001</v>
      </c>
      <c r="T4" s="40">
        <v>472190.76637199998</v>
      </c>
      <c r="U4" s="40">
        <v>497648.14399399998</v>
      </c>
      <c r="V4" s="40">
        <v>547931.15319800004</v>
      </c>
      <c r="W4" s="40">
        <v>572868.82004599995</v>
      </c>
      <c r="X4" s="40">
        <v>576823.04937200004</v>
      </c>
      <c r="Y4" s="40">
        <v>594614.09036200005</v>
      </c>
      <c r="Z4" s="40">
        <v>570089.94696500001</v>
      </c>
      <c r="AA4" s="40">
        <v>540693.68270899996</v>
      </c>
      <c r="AB4" s="40">
        <v>554710.522322</v>
      </c>
      <c r="AC4" s="40">
        <v>565613.64535799995</v>
      </c>
      <c r="AD4" s="40">
        <v>570438.230553</v>
      </c>
      <c r="AE4" s="40">
        <v>579461.44977599999</v>
      </c>
      <c r="AF4" s="40">
        <v>597005.00355200004</v>
      </c>
      <c r="AG4" s="40">
        <v>632154.82412700006</v>
      </c>
      <c r="AH4" s="40">
        <v>661477.92748199997</v>
      </c>
      <c r="AI4" s="40">
        <v>685472.464806</v>
      </c>
      <c r="AJ4" s="40">
        <v>722415.33364099998</v>
      </c>
      <c r="AK4" s="40">
        <v>754303.24246600003</v>
      </c>
    </row>
    <row r="5" spans="1:38" s="48" customFormat="1" ht="16.5" customHeight="1">
      <c r="A5" s="8" t="s">
        <v>458</v>
      </c>
      <c r="B5" s="49">
        <v>2300</v>
      </c>
      <c r="C5" s="42" t="s">
        <v>178</v>
      </c>
      <c r="D5" s="49">
        <v>9100</v>
      </c>
      <c r="E5" s="42" t="s">
        <v>178</v>
      </c>
      <c r="F5" s="49">
        <v>14700</v>
      </c>
      <c r="G5" s="42" t="s">
        <v>178</v>
      </c>
      <c r="H5" s="49">
        <v>13000</v>
      </c>
      <c r="I5" s="42" t="s">
        <v>178</v>
      </c>
      <c r="J5" s="42" t="s">
        <v>178</v>
      </c>
      <c r="K5" s="42" t="s">
        <v>178</v>
      </c>
      <c r="L5" s="42" t="s">
        <v>178</v>
      </c>
      <c r="M5" s="49">
        <v>10800</v>
      </c>
      <c r="N5" s="49">
        <v>12000</v>
      </c>
      <c r="O5" s="49">
        <v>12500</v>
      </c>
      <c r="P5" s="49">
        <v>13100</v>
      </c>
      <c r="Q5" s="49">
        <v>14100</v>
      </c>
      <c r="R5" s="49">
        <v>15200</v>
      </c>
      <c r="S5" s="49">
        <v>15900</v>
      </c>
      <c r="T5" s="40" t="s">
        <v>183</v>
      </c>
      <c r="U5" s="40" t="s">
        <v>183</v>
      </c>
      <c r="V5" s="40" t="s">
        <v>183</v>
      </c>
      <c r="W5" s="40" t="s">
        <v>183</v>
      </c>
      <c r="X5" s="40" t="s">
        <v>183</v>
      </c>
      <c r="Y5" s="40" t="s">
        <v>183</v>
      </c>
      <c r="Z5" s="40" t="s">
        <v>183</v>
      </c>
      <c r="AA5" s="40" t="s">
        <v>183</v>
      </c>
      <c r="AB5" s="40" t="s">
        <v>183</v>
      </c>
      <c r="AC5" s="40" t="s">
        <v>183</v>
      </c>
      <c r="AD5" s="40" t="s">
        <v>183</v>
      </c>
      <c r="AE5" s="40" t="s">
        <v>183</v>
      </c>
      <c r="AF5" s="40" t="s">
        <v>183</v>
      </c>
      <c r="AG5" s="40" t="s">
        <v>183</v>
      </c>
      <c r="AH5" s="40" t="s">
        <v>183</v>
      </c>
      <c r="AI5" s="40" t="s">
        <v>183</v>
      </c>
      <c r="AJ5" s="40" t="s">
        <v>183</v>
      </c>
      <c r="AK5" s="40" t="s">
        <v>183</v>
      </c>
    </row>
    <row r="6" spans="1:38" s="48" customFormat="1" ht="16.5" customHeight="1">
      <c r="A6" s="32" t="s">
        <v>184</v>
      </c>
      <c r="B6" s="50">
        <v>1272078.3999999999</v>
      </c>
      <c r="C6" s="50">
        <v>1555237.28</v>
      </c>
      <c r="D6" s="50">
        <v>2042002.2799999998</v>
      </c>
      <c r="E6" s="50">
        <v>2404954.4</v>
      </c>
      <c r="F6" s="50">
        <v>2653510.21</v>
      </c>
      <c r="G6" s="50">
        <v>2991120.8</v>
      </c>
      <c r="H6" s="50">
        <v>3539602.56</v>
      </c>
      <c r="I6" s="50">
        <v>3578582.4400000004</v>
      </c>
      <c r="J6" s="50">
        <v>3676688.44</v>
      </c>
      <c r="K6" s="50">
        <v>3747067.87</v>
      </c>
      <c r="L6" s="50">
        <v>3939875</v>
      </c>
      <c r="M6" s="50">
        <v>3848458</v>
      </c>
      <c r="N6" s="50">
        <v>3951008.7272999999</v>
      </c>
      <c r="O6" s="50">
        <v>4071136.5328719998</v>
      </c>
      <c r="P6" s="50">
        <v>4182066.2400156059</v>
      </c>
      <c r="Q6" s="50">
        <v>4285299.4390774053</v>
      </c>
      <c r="R6" s="50">
        <v>4370488.7148582162</v>
      </c>
      <c r="S6" s="50">
        <v>4623397.8260386921</v>
      </c>
      <c r="T6" s="50">
        <v>4646520.9849062953</v>
      </c>
      <c r="U6" s="50">
        <v>4701825.0032426612</v>
      </c>
      <c r="V6" s="50">
        <v>4824654.4447763506</v>
      </c>
      <c r="W6" s="43">
        <v>4867608.4897589097</v>
      </c>
      <c r="X6" s="43">
        <v>4908058.8374757655</v>
      </c>
      <c r="Y6" s="43">
        <v>4959766.7012</v>
      </c>
      <c r="Z6" s="43">
        <v>4900171</v>
      </c>
      <c r="AA6" s="43">
        <v>5000591.8959189998</v>
      </c>
      <c r="AB6" s="43">
        <v>5009805.5620214241</v>
      </c>
      <c r="AC6" s="43">
        <v>4997049.3066988336</v>
      </c>
      <c r="AD6" s="43">
        <v>5046332.4132198002</v>
      </c>
      <c r="AE6" s="43">
        <v>5083123.4649372874</v>
      </c>
      <c r="AF6" s="43">
        <v>5158160.8548277542</v>
      </c>
      <c r="AG6" s="43">
        <v>5282710.2500658771</v>
      </c>
      <c r="AH6" s="43">
        <v>5411827.6229987517</v>
      </c>
      <c r="AI6" s="43">
        <v>5482189.7570441701</v>
      </c>
      <c r="AJ6" s="43">
        <v>5545845.3035232006</v>
      </c>
      <c r="AK6" s="43">
        <v>5579125.9722718718</v>
      </c>
    </row>
    <row r="7" spans="1:38" s="48" customFormat="1" ht="16.5" customHeight="1">
      <c r="A7" s="9" t="s">
        <v>459</v>
      </c>
      <c r="B7" s="40">
        <v>1144673.3999999999</v>
      </c>
      <c r="C7" s="40">
        <v>1394803.28</v>
      </c>
      <c r="D7" s="40">
        <v>1750897</v>
      </c>
      <c r="E7" s="40">
        <v>1954165.5</v>
      </c>
      <c r="F7" s="40">
        <v>2011988.76</v>
      </c>
      <c r="G7" s="40">
        <v>2094620.64</v>
      </c>
      <c r="H7" s="40">
        <v>2281390.92</v>
      </c>
      <c r="I7" s="40">
        <v>2200259.7000000002</v>
      </c>
      <c r="J7" s="40">
        <v>2208226.09</v>
      </c>
      <c r="K7" s="40">
        <v>2213281.4900000002</v>
      </c>
      <c r="L7" s="40">
        <v>2756223</v>
      </c>
      <c r="M7" s="40">
        <v>2286887</v>
      </c>
      <c r="N7" s="40">
        <v>2337068</v>
      </c>
      <c r="O7" s="40">
        <v>2389065</v>
      </c>
      <c r="P7" s="40">
        <v>2463828.420042248</v>
      </c>
      <c r="Q7" s="40">
        <v>2495140.3026243281</v>
      </c>
      <c r="R7" s="40">
        <v>2544457.3524414399</v>
      </c>
      <c r="S7" s="40">
        <v>2556481.2400000002</v>
      </c>
      <c r="T7" s="40">
        <v>2620388.92</v>
      </c>
      <c r="U7" s="40">
        <v>2641885.0920744999</v>
      </c>
      <c r="V7" s="40">
        <v>2685826.6531088967</v>
      </c>
      <c r="W7" s="40">
        <v>2699304.6428176584</v>
      </c>
      <c r="X7" s="40">
        <v>2671044.2305259043</v>
      </c>
      <c r="Y7" s="40">
        <v>3324977</v>
      </c>
      <c r="Z7" s="40">
        <v>3199116</v>
      </c>
      <c r="AA7" s="40">
        <v>3413875</v>
      </c>
      <c r="AB7" s="40">
        <v>3429995.6410861243</v>
      </c>
      <c r="AC7" s="40">
        <v>3464405.2296386864</v>
      </c>
      <c r="AD7" s="40">
        <v>3490438.2857423411</v>
      </c>
      <c r="AE7" s="40">
        <v>3507723.0973114655</v>
      </c>
      <c r="AF7" s="40">
        <v>3502000.6903627221</v>
      </c>
      <c r="AG7" s="40">
        <v>3628378.8815517384</v>
      </c>
      <c r="AH7" s="40">
        <v>3699794.4380078609</v>
      </c>
      <c r="AI7" s="40">
        <v>3709919.1961312541</v>
      </c>
      <c r="AJ7" s="40">
        <v>3729610.234329388</v>
      </c>
      <c r="AK7" s="40">
        <v>3765896.0121443863</v>
      </c>
    </row>
    <row r="8" spans="1:38" s="48" customFormat="1" ht="16.5" customHeight="1">
      <c r="A8" s="9" t="s">
        <v>460</v>
      </c>
      <c r="B8" s="42" t="s">
        <v>178</v>
      </c>
      <c r="C8" s="51" t="s">
        <v>178</v>
      </c>
      <c r="D8" s="42">
        <v>3276.9</v>
      </c>
      <c r="E8" s="42">
        <v>6191.9</v>
      </c>
      <c r="F8" s="42">
        <v>12256.8</v>
      </c>
      <c r="G8" s="42">
        <v>11811.8</v>
      </c>
      <c r="H8" s="42">
        <v>12424.1</v>
      </c>
      <c r="I8" s="42">
        <v>11656.06</v>
      </c>
      <c r="J8" s="42">
        <v>11946.25</v>
      </c>
      <c r="K8" s="42">
        <v>12184.38</v>
      </c>
      <c r="L8" s="40">
        <v>11264</v>
      </c>
      <c r="M8" s="40">
        <v>10777</v>
      </c>
      <c r="N8" s="40">
        <v>10912</v>
      </c>
      <c r="O8" s="40">
        <v>11089</v>
      </c>
      <c r="P8" s="40">
        <v>11311.197996230532</v>
      </c>
      <c r="Q8" s="40">
        <v>11642.295010415633</v>
      </c>
      <c r="R8" s="40">
        <v>11515.796151175477</v>
      </c>
      <c r="S8" s="40">
        <v>11759.58</v>
      </c>
      <c r="T8" s="40">
        <v>12131.04</v>
      </c>
      <c r="U8" s="40">
        <v>12162.999800241942</v>
      </c>
      <c r="V8" s="40">
        <v>12855.361903711795</v>
      </c>
      <c r="W8" s="40">
        <v>13276.957048550581</v>
      </c>
      <c r="X8" s="40">
        <v>15302.837710775921</v>
      </c>
      <c r="Y8" s="40">
        <v>27173</v>
      </c>
      <c r="Z8" s="40">
        <v>26430</v>
      </c>
      <c r="AA8" s="40">
        <v>24162</v>
      </c>
      <c r="AB8" s="40">
        <v>21482.715623236356</v>
      </c>
      <c r="AC8" s="40">
        <v>21516.752486125952</v>
      </c>
      <c r="AD8" s="40">
        <v>24815.916143547372</v>
      </c>
      <c r="AE8" s="40">
        <v>23633.293571165999</v>
      </c>
      <c r="AF8" s="40">
        <v>23173.173385423503</v>
      </c>
      <c r="AG8" s="40">
        <v>22751.532128664399</v>
      </c>
      <c r="AH8" s="40">
        <v>23725.111955421387</v>
      </c>
      <c r="AI8" s="40">
        <v>23381.622003386132</v>
      </c>
      <c r="AJ8" s="40">
        <v>23296.76856786057</v>
      </c>
      <c r="AK8" s="40">
        <v>22846.373475193806</v>
      </c>
    </row>
    <row r="9" spans="1:38" s="48" customFormat="1" ht="16.5" customHeight="1">
      <c r="A9" s="9" t="s">
        <v>461</v>
      </c>
      <c r="B9" s="42" t="s">
        <v>178</v>
      </c>
      <c r="C9" s="42" t="s">
        <v>178</v>
      </c>
      <c r="D9" s="42">
        <v>225613.38</v>
      </c>
      <c r="E9" s="42">
        <v>363267</v>
      </c>
      <c r="F9" s="42">
        <v>520773.65</v>
      </c>
      <c r="G9" s="42">
        <v>688091.36</v>
      </c>
      <c r="H9" s="42">
        <v>999753.54</v>
      </c>
      <c r="I9" s="42">
        <v>1116957.68</v>
      </c>
      <c r="J9" s="42">
        <v>1201667.1000000001</v>
      </c>
      <c r="K9" s="42">
        <v>1252860</v>
      </c>
      <c r="L9" s="40">
        <v>885897</v>
      </c>
      <c r="M9" s="40">
        <v>1256146</v>
      </c>
      <c r="N9" s="40">
        <v>1298299</v>
      </c>
      <c r="O9" s="40">
        <v>1352675</v>
      </c>
      <c r="P9" s="40">
        <v>1380557.2397938734</v>
      </c>
      <c r="Q9" s="40">
        <v>1432782.3794077854</v>
      </c>
      <c r="R9" s="40">
        <v>1467663.7991499156</v>
      </c>
      <c r="S9" s="40">
        <v>1678852.5595885422</v>
      </c>
      <c r="T9" s="40">
        <v>1674791.8930520001</v>
      </c>
      <c r="U9" s="40">
        <v>1706102.912463947</v>
      </c>
      <c r="V9" s="40">
        <v>1780771.1384466074</v>
      </c>
      <c r="W9" s="40">
        <v>1804848.0064037023</v>
      </c>
      <c r="X9" s="40">
        <v>1876689.847532914</v>
      </c>
      <c r="Y9" s="40">
        <v>1017007</v>
      </c>
      <c r="Z9" s="40">
        <v>1049667</v>
      </c>
      <c r="AA9" s="40">
        <v>991383</v>
      </c>
      <c r="AB9" s="40">
        <v>1001455.7277059199</v>
      </c>
      <c r="AC9" s="40">
        <v>972382.44726826402</v>
      </c>
      <c r="AD9" s="40">
        <v>970669.41516661318</v>
      </c>
      <c r="AE9" s="40">
        <v>977476.62107445241</v>
      </c>
      <c r="AF9" s="40">
        <v>1037129.0861966583</v>
      </c>
      <c r="AG9" s="40">
        <v>1028773.6840018815</v>
      </c>
      <c r="AH9" s="40">
        <v>1075233.5052042801</v>
      </c>
      <c r="AI9" s="40">
        <v>1106303.4454204475</v>
      </c>
      <c r="AJ9" s="40">
        <v>1119644.0825954296</v>
      </c>
      <c r="AK9" s="40">
        <v>1128488.8887035879</v>
      </c>
    </row>
    <row r="10" spans="1:38" s="48" customFormat="1" ht="16.5" customHeight="1">
      <c r="A10" s="8" t="s">
        <v>462</v>
      </c>
      <c r="B10" s="42">
        <v>98551</v>
      </c>
      <c r="C10" s="42">
        <v>128769</v>
      </c>
      <c r="D10" s="42">
        <v>27081</v>
      </c>
      <c r="E10" s="42">
        <v>34606</v>
      </c>
      <c r="F10" s="42">
        <v>39813</v>
      </c>
      <c r="G10" s="42">
        <v>45441</v>
      </c>
      <c r="H10" s="42">
        <v>51901</v>
      </c>
      <c r="I10" s="42">
        <v>52898</v>
      </c>
      <c r="J10" s="42">
        <v>53874</v>
      </c>
      <c r="K10" s="42">
        <v>56772</v>
      </c>
      <c r="L10" s="40">
        <v>61284</v>
      </c>
      <c r="M10" s="40">
        <v>62705</v>
      </c>
      <c r="N10" s="40">
        <v>64072</v>
      </c>
      <c r="O10" s="40">
        <v>66893</v>
      </c>
      <c r="P10" s="40">
        <v>68021</v>
      </c>
      <c r="Q10" s="40">
        <v>70311</v>
      </c>
      <c r="R10" s="40">
        <v>70500</v>
      </c>
      <c r="S10" s="40">
        <v>85488.639999999999</v>
      </c>
      <c r="T10" s="40">
        <v>75866</v>
      </c>
      <c r="U10" s="40">
        <v>77756.625026012029</v>
      </c>
      <c r="V10" s="40">
        <v>78441.001270563196</v>
      </c>
      <c r="W10" s="40">
        <v>78495.659525951312</v>
      </c>
      <c r="X10" s="40">
        <v>80344.221164056842</v>
      </c>
      <c r="Y10" s="40">
        <v>119979</v>
      </c>
      <c r="Z10" s="40">
        <v>126855</v>
      </c>
      <c r="AA10" s="40">
        <v>120207</v>
      </c>
      <c r="AB10" s="40">
        <v>110738.2452064016</v>
      </c>
      <c r="AC10" s="40">
        <v>103803.03027298137</v>
      </c>
      <c r="AD10" s="40">
        <v>105605.2225970268</v>
      </c>
      <c r="AE10" s="40">
        <v>106581.57890487878</v>
      </c>
      <c r="AF10" s="40">
        <v>109301.40619692924</v>
      </c>
      <c r="AG10" s="40">
        <v>109597.31844960712</v>
      </c>
      <c r="AH10" s="40">
        <v>113337.94163267993</v>
      </c>
      <c r="AI10" s="40">
        <v>116102.39910916959</v>
      </c>
      <c r="AJ10" s="40">
        <v>120698.99421461202</v>
      </c>
      <c r="AK10" s="40">
        <v>124745.70718075465</v>
      </c>
    </row>
    <row r="11" spans="1:38" s="48" customFormat="1" ht="16.5" customHeight="1">
      <c r="A11" s="8" t="s">
        <v>182</v>
      </c>
      <c r="B11" s="42">
        <v>28854</v>
      </c>
      <c r="C11" s="42">
        <v>31665</v>
      </c>
      <c r="D11" s="42">
        <v>35134</v>
      </c>
      <c r="E11" s="42">
        <v>46724</v>
      </c>
      <c r="F11" s="42">
        <v>68678</v>
      </c>
      <c r="G11" s="42">
        <v>78063</v>
      </c>
      <c r="H11" s="42">
        <v>94341</v>
      </c>
      <c r="I11" s="42">
        <v>96645</v>
      </c>
      <c r="J11" s="42">
        <v>99510</v>
      </c>
      <c r="K11" s="42">
        <v>103116</v>
      </c>
      <c r="L11" s="40">
        <v>108932</v>
      </c>
      <c r="M11" s="40">
        <v>115451</v>
      </c>
      <c r="N11" s="40">
        <v>118899</v>
      </c>
      <c r="O11" s="40">
        <v>124584</v>
      </c>
      <c r="P11" s="40">
        <v>128359</v>
      </c>
      <c r="Q11" s="40">
        <v>132386</v>
      </c>
      <c r="R11" s="40">
        <v>135020</v>
      </c>
      <c r="S11" s="40">
        <v>161169.12</v>
      </c>
      <c r="T11" s="40">
        <v>138737</v>
      </c>
      <c r="U11" s="40">
        <v>140159.96248174272</v>
      </c>
      <c r="V11" s="40">
        <v>142369.77185656936</v>
      </c>
      <c r="W11" s="40">
        <v>144027.63604132412</v>
      </c>
      <c r="X11" s="40">
        <v>142169.22730548185</v>
      </c>
      <c r="Y11" s="40">
        <v>184199</v>
      </c>
      <c r="Z11" s="40">
        <v>183826</v>
      </c>
      <c r="AA11" s="40">
        <v>168100</v>
      </c>
      <c r="AB11" s="40">
        <v>175788.97173715092</v>
      </c>
      <c r="AC11" s="40">
        <v>163791.29311902044</v>
      </c>
      <c r="AD11" s="40">
        <v>163601.73110557569</v>
      </c>
      <c r="AE11" s="40">
        <v>168435.63414130086</v>
      </c>
      <c r="AF11" s="40">
        <v>169830.17838475661</v>
      </c>
      <c r="AG11" s="40">
        <v>170246.27799988686</v>
      </c>
      <c r="AH11" s="40">
        <v>174556.97827435564</v>
      </c>
      <c r="AI11" s="40">
        <v>181490.18169777928</v>
      </c>
      <c r="AJ11" s="40">
        <v>184165.1211510069</v>
      </c>
      <c r="AK11" s="40">
        <v>175304.70135307586</v>
      </c>
    </row>
    <row r="12" spans="1:38" s="48" customFormat="1" ht="16.5" customHeight="1">
      <c r="A12" s="8" t="s">
        <v>463</v>
      </c>
      <c r="B12" s="42" t="s">
        <v>178</v>
      </c>
      <c r="C12" s="42" t="s">
        <v>178</v>
      </c>
      <c r="D12" s="42" t="s">
        <v>178</v>
      </c>
      <c r="E12" s="42" t="s">
        <v>178</v>
      </c>
      <c r="F12" s="42" t="s">
        <v>178</v>
      </c>
      <c r="G12" s="42">
        <v>73093</v>
      </c>
      <c r="H12" s="42">
        <v>99792</v>
      </c>
      <c r="I12" s="42">
        <v>100166</v>
      </c>
      <c r="J12" s="42">
        <v>101465</v>
      </c>
      <c r="K12" s="42">
        <v>108854</v>
      </c>
      <c r="L12" s="42">
        <v>116275</v>
      </c>
      <c r="M12" s="42">
        <v>116492</v>
      </c>
      <c r="N12" s="42">
        <v>121758.7273</v>
      </c>
      <c r="O12" s="42">
        <v>126830.53287200001</v>
      </c>
      <c r="P12" s="42">
        <v>129989.38218325401</v>
      </c>
      <c r="Q12" s="42">
        <v>143037.46203487608</v>
      </c>
      <c r="R12" s="42">
        <v>141331.7671156849</v>
      </c>
      <c r="S12" s="42">
        <v>129646.68645014966</v>
      </c>
      <c r="T12" s="42">
        <v>124606.13185429553</v>
      </c>
      <c r="U12" s="42">
        <v>123757.41139621758</v>
      </c>
      <c r="V12" s="42">
        <v>124390.5181900022</v>
      </c>
      <c r="W12" s="42">
        <v>127655.58792172259</v>
      </c>
      <c r="X12" s="42">
        <v>122508.47323663282</v>
      </c>
      <c r="Y12" s="42">
        <v>286431.70120000001</v>
      </c>
      <c r="Z12" s="42">
        <v>292075.290018</v>
      </c>
      <c r="AA12" s="42">
        <v>282864.89591900003</v>
      </c>
      <c r="AB12" s="42">
        <v>270344.2606625912</v>
      </c>
      <c r="AC12" s="40">
        <v>271150.55391375569</v>
      </c>
      <c r="AD12" s="40">
        <v>291201.84246469656</v>
      </c>
      <c r="AE12" s="40">
        <v>299273.23993402399</v>
      </c>
      <c r="AF12" s="40">
        <v>316726.32030126388</v>
      </c>
      <c r="AG12" s="40">
        <v>322962.55593409849</v>
      </c>
      <c r="AH12" s="40">
        <v>325179.64792415383</v>
      </c>
      <c r="AI12" s="40">
        <v>344992.9126821332</v>
      </c>
      <c r="AJ12" s="40">
        <v>368430.10266490339</v>
      </c>
      <c r="AK12" s="40">
        <v>361844.28941487317</v>
      </c>
    </row>
    <row r="13" spans="1:38" s="48" customFormat="1" ht="16.5" customHeight="1">
      <c r="A13" s="33" t="s">
        <v>464</v>
      </c>
      <c r="B13" s="38" t="s">
        <v>178</v>
      </c>
      <c r="C13" s="38" t="s">
        <v>178</v>
      </c>
      <c r="D13" s="38" t="s">
        <v>178</v>
      </c>
      <c r="E13" s="38" t="s">
        <v>178</v>
      </c>
      <c r="F13" s="50">
        <v>39854</v>
      </c>
      <c r="G13" s="50">
        <v>39581</v>
      </c>
      <c r="H13" s="50">
        <v>41143</v>
      </c>
      <c r="I13" s="50">
        <v>40703</v>
      </c>
      <c r="J13" s="50">
        <v>40241</v>
      </c>
      <c r="K13" s="50">
        <v>39384</v>
      </c>
      <c r="L13" s="50">
        <v>39585</v>
      </c>
      <c r="M13" s="50">
        <v>39808</v>
      </c>
      <c r="N13" s="50">
        <v>38984.124200000006</v>
      </c>
      <c r="O13" s="50">
        <v>40180.218951999996</v>
      </c>
      <c r="P13" s="50">
        <v>41605.038687999993</v>
      </c>
      <c r="Q13" s="50">
        <v>43278.862481000004</v>
      </c>
      <c r="R13" s="50">
        <v>45100.241891000005</v>
      </c>
      <c r="S13" s="50">
        <v>46507.533026999998</v>
      </c>
      <c r="T13" s="50">
        <v>46096.088878999995</v>
      </c>
      <c r="U13" s="50">
        <v>45676.831126000005</v>
      </c>
      <c r="V13" s="50">
        <v>46545.783080000001</v>
      </c>
      <c r="W13" s="50">
        <v>47124.653055000002</v>
      </c>
      <c r="X13" s="50">
        <v>49504.172899999998</v>
      </c>
      <c r="Y13" s="50">
        <v>51873.259700000002</v>
      </c>
      <c r="Z13" s="50">
        <v>53712.078122999999</v>
      </c>
      <c r="AA13" s="50">
        <v>53898.382540000013</v>
      </c>
      <c r="AB13" s="50">
        <v>52627.181348999991</v>
      </c>
      <c r="AC13" s="50">
        <v>54328.134432999992</v>
      </c>
      <c r="AD13" s="50">
        <v>55169.258447999993</v>
      </c>
      <c r="AE13" s="50">
        <v>56467.102654000009</v>
      </c>
      <c r="AF13" s="50">
        <v>57012.092909000006</v>
      </c>
      <c r="AG13" s="50">
        <v>55697.697335999997</v>
      </c>
      <c r="AH13" s="50">
        <v>56321.611936000008</v>
      </c>
      <c r="AI13" s="50">
        <v>54825.884253999997</v>
      </c>
      <c r="AJ13" s="50">
        <v>53830.315945999995</v>
      </c>
      <c r="AK13" s="43">
        <v>54097.055531000005</v>
      </c>
    </row>
    <row r="14" spans="1:38" ht="16.5" customHeight="1">
      <c r="A14" s="8" t="s">
        <v>465</v>
      </c>
      <c r="B14" s="42" t="s">
        <v>178</v>
      </c>
      <c r="C14" s="42" t="s">
        <v>178</v>
      </c>
      <c r="D14" s="42" t="s">
        <v>178</v>
      </c>
      <c r="E14" s="42" t="s">
        <v>178</v>
      </c>
      <c r="F14" s="42">
        <v>21790</v>
      </c>
      <c r="G14" s="42">
        <v>21161</v>
      </c>
      <c r="H14" s="42">
        <v>20981</v>
      </c>
      <c r="I14" s="42">
        <v>21090</v>
      </c>
      <c r="J14" s="42">
        <v>20336</v>
      </c>
      <c r="K14" s="42">
        <v>20247</v>
      </c>
      <c r="L14" s="42">
        <v>18832</v>
      </c>
      <c r="M14" s="42">
        <v>18818</v>
      </c>
      <c r="N14" s="42">
        <v>16802.168100000003</v>
      </c>
      <c r="O14" s="42">
        <v>17509.219211999996</v>
      </c>
      <c r="P14" s="42">
        <v>17873.721648999999</v>
      </c>
      <c r="Q14" s="42">
        <v>18683.797939</v>
      </c>
      <c r="R14" s="42">
        <v>18807.334752999999</v>
      </c>
      <c r="S14" s="42">
        <v>19582.868181999998</v>
      </c>
      <c r="T14" s="42">
        <v>19678.689117000002</v>
      </c>
      <c r="U14" s="42">
        <v>19178.851354999999</v>
      </c>
      <c r="V14" s="42">
        <v>18920.853862999997</v>
      </c>
      <c r="W14" s="42">
        <v>19424.922553999997</v>
      </c>
      <c r="X14" s="42">
        <v>20390.185932999997</v>
      </c>
      <c r="Y14" s="42">
        <v>20388.053</v>
      </c>
      <c r="Z14" s="42">
        <v>21198.098654000001</v>
      </c>
      <c r="AA14" s="42">
        <v>21099.988628999999</v>
      </c>
      <c r="AB14" s="42">
        <v>20569.726839999999</v>
      </c>
      <c r="AC14" s="42">
        <v>19905.426138999999</v>
      </c>
      <c r="AD14" s="42">
        <v>20129.730629000001</v>
      </c>
      <c r="AE14" s="42">
        <v>18926.876337000002</v>
      </c>
      <c r="AF14" s="42">
        <v>18964.660620999999</v>
      </c>
      <c r="AG14" s="42">
        <v>18506.425159999999</v>
      </c>
      <c r="AH14" s="42">
        <v>18149.823675</v>
      </c>
      <c r="AI14" s="42">
        <v>17075.697165000001</v>
      </c>
      <c r="AJ14" s="42">
        <v>16584.114250999999</v>
      </c>
      <c r="AK14" s="40">
        <v>16387.317525999999</v>
      </c>
      <c r="AL14" s="52"/>
    </row>
    <row r="15" spans="1:38" ht="16.5" customHeight="1">
      <c r="A15" s="8" t="s">
        <v>466</v>
      </c>
      <c r="B15" s="42" t="s">
        <v>178</v>
      </c>
      <c r="C15" s="42" t="s">
        <v>178</v>
      </c>
      <c r="D15" s="42" t="s">
        <v>178</v>
      </c>
      <c r="E15" s="42" t="s">
        <v>178</v>
      </c>
      <c r="F15" s="42" t="s">
        <v>178</v>
      </c>
      <c r="G15" s="42" t="s">
        <v>178</v>
      </c>
      <c r="H15" s="42" t="s">
        <v>178</v>
      </c>
      <c r="I15" s="42" t="s">
        <v>178</v>
      </c>
      <c r="J15" s="42" t="s">
        <v>178</v>
      </c>
      <c r="K15" s="42" t="s">
        <v>178</v>
      </c>
      <c r="L15" s="42" t="s">
        <v>178</v>
      </c>
      <c r="M15" s="42" t="s">
        <v>178</v>
      </c>
      <c r="N15" s="42" t="s">
        <v>178</v>
      </c>
      <c r="O15" s="42" t="s">
        <v>178</v>
      </c>
      <c r="P15" s="42" t="s">
        <v>178</v>
      </c>
      <c r="Q15" s="42" t="s">
        <v>178</v>
      </c>
      <c r="R15" s="42" t="s">
        <v>178</v>
      </c>
      <c r="S15" s="42" t="s">
        <v>178</v>
      </c>
      <c r="T15" s="42" t="s">
        <v>178</v>
      </c>
      <c r="U15" s="42" t="s">
        <v>178</v>
      </c>
      <c r="V15" s="42" t="s">
        <v>178</v>
      </c>
      <c r="W15" s="42" t="s">
        <v>178</v>
      </c>
      <c r="X15" s="42" t="s">
        <v>178</v>
      </c>
      <c r="Y15" s="42" t="s">
        <v>178</v>
      </c>
      <c r="Z15" s="42" t="s">
        <v>178</v>
      </c>
      <c r="AA15" s="42" t="s">
        <v>178</v>
      </c>
      <c r="AB15" s="42" t="s">
        <v>178</v>
      </c>
      <c r="AC15" s="42">
        <v>653.14929600000005</v>
      </c>
      <c r="AD15" s="42">
        <v>1012.461811</v>
      </c>
      <c r="AE15" s="42">
        <v>2330.5266470000001</v>
      </c>
      <c r="AF15" s="42">
        <v>2464.2874219999999</v>
      </c>
      <c r="AG15" s="42">
        <v>1586.7355230000001</v>
      </c>
      <c r="AH15" s="42">
        <v>2261.1835350000001</v>
      </c>
      <c r="AI15" s="42">
        <v>2147.8257210000002</v>
      </c>
      <c r="AJ15" s="42">
        <v>2040.4712919999999</v>
      </c>
      <c r="AK15" s="40">
        <v>1979.8159760000001</v>
      </c>
      <c r="AL15" s="52"/>
    </row>
    <row r="16" spans="1:38" ht="16.5" customHeight="1">
      <c r="A16" s="8" t="s">
        <v>467</v>
      </c>
      <c r="B16" s="42" t="s">
        <v>178</v>
      </c>
      <c r="C16" s="42" t="s">
        <v>178</v>
      </c>
      <c r="D16" s="42" t="s">
        <v>178</v>
      </c>
      <c r="E16" s="42" t="s">
        <v>178</v>
      </c>
      <c r="F16" s="42">
        <v>381</v>
      </c>
      <c r="G16" s="42">
        <v>350</v>
      </c>
      <c r="H16" s="42">
        <v>571</v>
      </c>
      <c r="I16" s="42">
        <v>662</v>
      </c>
      <c r="J16" s="42">
        <v>701</v>
      </c>
      <c r="K16" s="42">
        <v>705</v>
      </c>
      <c r="L16" s="42">
        <v>833</v>
      </c>
      <c r="M16" s="42">
        <v>860</v>
      </c>
      <c r="N16" s="42">
        <v>955.24509999999998</v>
      </c>
      <c r="O16" s="42">
        <v>1023.7081319999999</v>
      </c>
      <c r="P16" s="42">
        <v>1115.35194</v>
      </c>
      <c r="Q16" s="42">
        <v>1190.168551</v>
      </c>
      <c r="R16" s="42">
        <v>1339.431795</v>
      </c>
      <c r="S16" s="42">
        <v>1427.305259</v>
      </c>
      <c r="T16" s="42">
        <v>1431.6725369999999</v>
      </c>
      <c r="U16" s="42">
        <v>1476.0326319999997</v>
      </c>
      <c r="V16" s="42">
        <v>1576.197658</v>
      </c>
      <c r="W16" s="42">
        <v>1699.5838489999999</v>
      </c>
      <c r="X16" s="42">
        <v>1865.7201999999997</v>
      </c>
      <c r="Y16" s="42">
        <v>1930.2944</v>
      </c>
      <c r="Z16" s="42">
        <v>2081.062559</v>
      </c>
      <c r="AA16" s="42">
        <v>2196.117518</v>
      </c>
      <c r="AB16" s="42">
        <v>2172.7471529999998</v>
      </c>
      <c r="AC16" s="42">
        <v>2363.430715</v>
      </c>
      <c r="AD16" s="42">
        <v>2488.8479259999999</v>
      </c>
      <c r="AE16" s="42">
        <v>2564.6256589999998</v>
      </c>
      <c r="AF16" s="42">
        <v>2674.5207209999999</v>
      </c>
      <c r="AG16" s="42">
        <v>2678.1120999999998</v>
      </c>
      <c r="AH16" s="42">
        <v>2755.9249209999998</v>
      </c>
      <c r="AI16" s="42">
        <v>2776.0459599999999</v>
      </c>
      <c r="AJ16" s="42">
        <v>2728.4780609999998</v>
      </c>
      <c r="AK16" s="40">
        <v>2692.6561099999999</v>
      </c>
      <c r="AL16" s="52"/>
    </row>
    <row r="17" spans="1:38" ht="16.5" customHeight="1">
      <c r="A17" s="8" t="s">
        <v>181</v>
      </c>
      <c r="B17" s="42" t="s">
        <v>178</v>
      </c>
      <c r="C17" s="42" t="s">
        <v>178</v>
      </c>
      <c r="D17" s="42" t="s">
        <v>178</v>
      </c>
      <c r="E17" s="42" t="s">
        <v>178</v>
      </c>
      <c r="F17" s="42">
        <v>10558</v>
      </c>
      <c r="G17" s="42">
        <v>10427</v>
      </c>
      <c r="H17" s="42">
        <v>11475</v>
      </c>
      <c r="I17" s="42">
        <v>10528</v>
      </c>
      <c r="J17" s="42">
        <v>10737</v>
      </c>
      <c r="K17" s="42">
        <v>10231</v>
      </c>
      <c r="L17" s="42">
        <v>10668</v>
      </c>
      <c r="M17" s="42">
        <v>10559</v>
      </c>
      <c r="N17" s="42">
        <v>11530.220300000001</v>
      </c>
      <c r="O17" s="42">
        <v>12056.0676</v>
      </c>
      <c r="P17" s="42">
        <v>12284.382321999999</v>
      </c>
      <c r="Q17" s="42">
        <v>12902.056581000001</v>
      </c>
      <c r="R17" s="42">
        <v>13843.512074999999</v>
      </c>
      <c r="S17" s="42">
        <v>14178.091572000001</v>
      </c>
      <c r="T17" s="42">
        <v>13663.224326</v>
      </c>
      <c r="U17" s="42">
        <v>13606.195594000001</v>
      </c>
      <c r="V17" s="42">
        <v>14354.281087000001</v>
      </c>
      <c r="W17" s="42">
        <v>14417.698761</v>
      </c>
      <c r="X17" s="42">
        <v>14721.465516</v>
      </c>
      <c r="Y17" s="42">
        <v>16137.9522</v>
      </c>
      <c r="Z17" s="42">
        <v>16849.920437000001</v>
      </c>
      <c r="AA17" s="42">
        <v>16805.109970000001</v>
      </c>
      <c r="AB17" s="42">
        <v>16406.938677999999</v>
      </c>
      <c r="AC17" s="42">
        <v>17316.613255</v>
      </c>
      <c r="AD17" s="42">
        <v>17516.432841999998</v>
      </c>
      <c r="AE17" s="42">
        <v>18004.627035000001</v>
      </c>
      <c r="AF17" s="42">
        <v>18339.048674999998</v>
      </c>
      <c r="AG17" s="42">
        <v>18283.014310999999</v>
      </c>
      <c r="AH17" s="42">
        <v>18356.560739</v>
      </c>
      <c r="AI17" s="42">
        <v>17591.049738000002</v>
      </c>
      <c r="AJ17" s="42">
        <v>16914.100309000001</v>
      </c>
      <c r="AK17" s="40">
        <v>17365.828963</v>
      </c>
      <c r="AL17" s="53"/>
    </row>
    <row r="18" spans="1:38" ht="16.5" customHeight="1">
      <c r="A18" s="8" t="s">
        <v>468</v>
      </c>
      <c r="B18" s="42" t="s">
        <v>178</v>
      </c>
      <c r="C18" s="42" t="s">
        <v>178</v>
      </c>
      <c r="D18" s="42" t="s">
        <v>178</v>
      </c>
      <c r="E18" s="42" t="s">
        <v>178</v>
      </c>
      <c r="F18" s="42">
        <v>219</v>
      </c>
      <c r="G18" s="42">
        <v>306</v>
      </c>
      <c r="H18" s="42">
        <v>193</v>
      </c>
      <c r="I18" s="42">
        <v>195</v>
      </c>
      <c r="J18" s="42">
        <v>199</v>
      </c>
      <c r="K18" s="42">
        <v>188</v>
      </c>
      <c r="L18" s="42">
        <v>187</v>
      </c>
      <c r="M18" s="42">
        <v>187</v>
      </c>
      <c r="N18" s="42">
        <v>184.16370000000001</v>
      </c>
      <c r="O18" s="42">
        <v>189.170345</v>
      </c>
      <c r="P18" s="42">
        <v>181.71669800000001</v>
      </c>
      <c r="Q18" s="42">
        <v>186.10567</v>
      </c>
      <c r="R18" s="42">
        <v>191.89107100000004</v>
      </c>
      <c r="S18" s="42">
        <v>186.99797199999998</v>
      </c>
      <c r="T18" s="42">
        <v>187.793553</v>
      </c>
      <c r="U18" s="42">
        <v>176.144657</v>
      </c>
      <c r="V18" s="42">
        <v>173.21470899999997</v>
      </c>
      <c r="W18" s="42">
        <v>172.98174700000001</v>
      </c>
      <c r="X18" s="42">
        <v>163.88912900000003</v>
      </c>
      <c r="Y18" s="42">
        <v>155.51650000000001</v>
      </c>
      <c r="Z18" s="42">
        <v>160.68531200000001</v>
      </c>
      <c r="AA18" s="42">
        <v>168.066937</v>
      </c>
      <c r="AB18" s="42">
        <v>158.87200799999999</v>
      </c>
      <c r="AC18" s="42">
        <v>160.306691</v>
      </c>
      <c r="AD18" s="42">
        <v>161.88904700000001</v>
      </c>
      <c r="AE18" s="42">
        <v>156.31329400000001</v>
      </c>
      <c r="AF18" s="42">
        <v>157.73160200000001</v>
      </c>
      <c r="AG18" s="42">
        <v>146.21782099999999</v>
      </c>
      <c r="AH18" s="42">
        <v>153.97867400000001</v>
      </c>
      <c r="AI18" s="42">
        <v>140.21642199999999</v>
      </c>
      <c r="AJ18" s="42">
        <v>126.282285</v>
      </c>
      <c r="AK18" s="40">
        <v>125.805218</v>
      </c>
      <c r="AL18" s="53"/>
    </row>
    <row r="19" spans="1:38" ht="16.5" customHeight="1">
      <c r="A19" s="8" t="s">
        <v>179</v>
      </c>
      <c r="B19" s="42">
        <v>4197</v>
      </c>
      <c r="C19" s="42">
        <v>4128</v>
      </c>
      <c r="D19" s="42">
        <v>4592</v>
      </c>
      <c r="E19" s="42">
        <v>4513</v>
      </c>
      <c r="F19" s="42">
        <v>6516</v>
      </c>
      <c r="G19" s="42">
        <v>6534</v>
      </c>
      <c r="H19" s="42">
        <v>7082</v>
      </c>
      <c r="I19" s="42">
        <v>7344</v>
      </c>
      <c r="J19" s="42">
        <v>7320</v>
      </c>
      <c r="K19" s="42">
        <v>6940</v>
      </c>
      <c r="L19" s="42">
        <v>7996</v>
      </c>
      <c r="M19" s="42">
        <v>8244</v>
      </c>
      <c r="N19" s="42">
        <v>8350.4012999999995</v>
      </c>
      <c r="O19" s="42">
        <v>8037.4858980000008</v>
      </c>
      <c r="P19" s="42">
        <v>8702.2589120000011</v>
      </c>
      <c r="Q19" s="42">
        <v>8764.0169889999997</v>
      </c>
      <c r="R19" s="42">
        <v>9399.8729629999998</v>
      </c>
      <c r="S19" s="42">
        <v>9543.5642550000011</v>
      </c>
      <c r="T19" s="42">
        <v>9499.8287029999992</v>
      </c>
      <c r="U19" s="42">
        <v>9555.383124</v>
      </c>
      <c r="V19" s="42">
        <v>9715.2788890000011</v>
      </c>
      <c r="W19" s="42">
        <v>9470.1332469999998</v>
      </c>
      <c r="X19" s="42">
        <v>10358.926487000002</v>
      </c>
      <c r="Y19" s="42">
        <v>11136.821900000001</v>
      </c>
      <c r="Z19" s="42">
        <v>11031.999811</v>
      </c>
      <c r="AA19" s="42">
        <v>11129.418953</v>
      </c>
      <c r="AB19" s="42">
        <v>10773.7353</v>
      </c>
      <c r="AC19" s="42">
        <v>11314.228574000001</v>
      </c>
      <c r="AD19" s="42">
        <v>11120.63185</v>
      </c>
      <c r="AE19" s="42">
        <v>11735.558829</v>
      </c>
      <c r="AF19" s="42">
        <v>11599.846942</v>
      </c>
      <c r="AG19" s="42">
        <v>11687.41799</v>
      </c>
      <c r="AH19" s="42">
        <v>11767.703304999999</v>
      </c>
      <c r="AI19" s="42">
        <v>12250.669639</v>
      </c>
      <c r="AJ19" s="42">
        <v>12609.891154999999</v>
      </c>
      <c r="AK19" s="40">
        <v>12707.307116</v>
      </c>
      <c r="AL19" s="52"/>
    </row>
    <row r="20" spans="1:38" ht="16.5" customHeight="1">
      <c r="A20" s="9" t="s">
        <v>469</v>
      </c>
      <c r="B20" s="42" t="s">
        <v>178</v>
      </c>
      <c r="C20" s="42" t="s">
        <v>178</v>
      </c>
      <c r="D20" s="42" t="s">
        <v>178</v>
      </c>
      <c r="E20" s="42" t="s">
        <v>178</v>
      </c>
      <c r="F20" s="42" t="s">
        <v>178</v>
      </c>
      <c r="G20" s="42">
        <v>364</v>
      </c>
      <c r="H20" s="42">
        <v>431</v>
      </c>
      <c r="I20" s="42">
        <v>454</v>
      </c>
      <c r="J20" s="42">
        <v>495</v>
      </c>
      <c r="K20" s="42">
        <v>562</v>
      </c>
      <c r="L20" s="42">
        <v>577</v>
      </c>
      <c r="M20" s="42">
        <v>607</v>
      </c>
      <c r="N20" s="42">
        <v>390.9409</v>
      </c>
      <c r="O20" s="42">
        <v>531.07757100000003</v>
      </c>
      <c r="P20" s="42">
        <v>513.41098099999999</v>
      </c>
      <c r="Q20" s="42">
        <v>558.98629999999991</v>
      </c>
      <c r="R20" s="42">
        <v>587.65657799999997</v>
      </c>
      <c r="S20" s="42">
        <v>625.77712400000007</v>
      </c>
      <c r="T20" s="42">
        <v>650.98968500000001</v>
      </c>
      <c r="U20" s="42">
        <v>688.58305900000005</v>
      </c>
      <c r="V20" s="42">
        <v>703.84377199999994</v>
      </c>
      <c r="W20" s="42">
        <v>738.47902800000008</v>
      </c>
      <c r="X20" s="42">
        <v>753.30440099999998</v>
      </c>
      <c r="Y20" s="42">
        <v>777.72930000000008</v>
      </c>
      <c r="Z20" s="42">
        <v>843.926016</v>
      </c>
      <c r="AA20" s="42">
        <v>881.04851499999995</v>
      </c>
      <c r="AB20" s="42">
        <v>841.18544899999995</v>
      </c>
      <c r="AC20" s="42">
        <v>846.28385000000003</v>
      </c>
      <c r="AD20" s="42">
        <v>851.33871699999997</v>
      </c>
      <c r="AE20" s="42">
        <v>851.65238199999999</v>
      </c>
      <c r="AF20" s="42">
        <v>863.76945699999999</v>
      </c>
      <c r="AG20" s="42">
        <v>871.27002600000003</v>
      </c>
      <c r="AH20" s="42">
        <v>865.04832399999998</v>
      </c>
      <c r="AI20" s="42">
        <v>863.55728899999997</v>
      </c>
      <c r="AJ20" s="42">
        <v>851.11984399999994</v>
      </c>
      <c r="AK20" s="40">
        <v>838.53669000000002</v>
      </c>
      <c r="AL20" s="52"/>
    </row>
    <row r="21" spans="1:38" ht="16.5" customHeight="1">
      <c r="A21" s="8" t="s">
        <v>470</v>
      </c>
      <c r="B21" s="42" t="s">
        <v>178</v>
      </c>
      <c r="C21" s="42" t="s">
        <v>178</v>
      </c>
      <c r="D21" s="42" t="s">
        <v>178</v>
      </c>
      <c r="E21" s="42" t="s">
        <v>178</v>
      </c>
      <c r="F21" s="42" t="s">
        <v>178</v>
      </c>
      <c r="G21" s="42" t="s">
        <v>178</v>
      </c>
      <c r="H21" s="42">
        <v>286</v>
      </c>
      <c r="I21" s="42">
        <v>282</v>
      </c>
      <c r="J21" s="42">
        <v>271</v>
      </c>
      <c r="K21" s="42">
        <v>260</v>
      </c>
      <c r="L21" s="42">
        <v>260</v>
      </c>
      <c r="M21" s="42">
        <v>260</v>
      </c>
      <c r="N21" s="42">
        <v>255.38840000000002</v>
      </c>
      <c r="O21" s="42">
        <v>254.21924200000004</v>
      </c>
      <c r="P21" s="42">
        <v>280.125878</v>
      </c>
      <c r="Q21" s="42">
        <v>294.71404899999999</v>
      </c>
      <c r="R21" s="42">
        <v>298.132858</v>
      </c>
      <c r="S21" s="42">
        <v>295.33117599999997</v>
      </c>
      <c r="T21" s="42">
        <v>301.363563</v>
      </c>
      <c r="U21" s="42">
        <v>366.84362800000002</v>
      </c>
      <c r="V21" s="42">
        <v>356.984306</v>
      </c>
      <c r="W21" s="42">
        <v>359.19848399999995</v>
      </c>
      <c r="X21" s="42">
        <v>359.85686900000002</v>
      </c>
      <c r="Y21" s="42">
        <v>380.78190000000001</v>
      </c>
      <c r="Z21" s="42">
        <v>390.45811700000002</v>
      </c>
      <c r="AA21" s="42">
        <v>364.67172900000003</v>
      </c>
      <c r="AB21" s="42">
        <v>389.20500600000003</v>
      </c>
      <c r="AC21" s="42">
        <v>389.38419099999999</v>
      </c>
      <c r="AD21" s="42">
        <v>402.115701</v>
      </c>
      <c r="AE21" s="42">
        <v>402.30593399999998</v>
      </c>
      <c r="AF21" s="42">
        <v>414.20945999999998</v>
      </c>
      <c r="AG21" s="42">
        <v>450.52650199999999</v>
      </c>
      <c r="AH21" s="42">
        <v>489.35633300000001</v>
      </c>
      <c r="AI21" s="42">
        <v>486.03749599999998</v>
      </c>
      <c r="AJ21" s="42">
        <v>519.78385800000001</v>
      </c>
      <c r="AK21" s="40">
        <v>546.56959700000004</v>
      </c>
      <c r="AL21" s="52"/>
    </row>
    <row r="22" spans="1:38" ht="16.5" customHeight="1">
      <c r="A22" s="8" t="s">
        <v>471</v>
      </c>
      <c r="B22" s="42" t="s">
        <v>178</v>
      </c>
      <c r="C22" s="42" t="s">
        <v>178</v>
      </c>
      <c r="D22" s="42" t="s">
        <v>178</v>
      </c>
      <c r="E22" s="42" t="s">
        <v>178</v>
      </c>
      <c r="F22" s="42">
        <v>390</v>
      </c>
      <c r="G22" s="42">
        <v>439</v>
      </c>
      <c r="H22" s="42">
        <v>124</v>
      </c>
      <c r="I22" s="42">
        <v>148</v>
      </c>
      <c r="J22" s="42">
        <v>182</v>
      </c>
      <c r="K22" s="42">
        <v>251</v>
      </c>
      <c r="L22" s="42">
        <v>232</v>
      </c>
      <c r="M22" s="42">
        <v>273</v>
      </c>
      <c r="N22" s="42">
        <v>515.5963999999949</v>
      </c>
      <c r="O22" s="42">
        <v>579.27095199999894</v>
      </c>
      <c r="P22" s="42">
        <v>654.07030799999484</v>
      </c>
      <c r="Q22" s="42">
        <v>699.01640200000111</v>
      </c>
      <c r="R22" s="42">
        <v>632.40979800000787</v>
      </c>
      <c r="S22" s="42">
        <v>667.59748699999909</v>
      </c>
      <c r="T22" s="42">
        <v>682.52739499999007</v>
      </c>
      <c r="U22" s="42">
        <v>628.79707700001018</v>
      </c>
      <c r="V22" s="42">
        <v>745.12879600000451</v>
      </c>
      <c r="W22" s="42">
        <v>841.65538500000548</v>
      </c>
      <c r="X22" s="42">
        <v>890.82436499999312</v>
      </c>
      <c r="Y22" s="42">
        <v>966.1105000000025</v>
      </c>
      <c r="Z22" s="42">
        <v>1155.9272169999999</v>
      </c>
      <c r="AA22" s="42">
        <v>1253.9602890000001</v>
      </c>
      <c r="AB22" s="42">
        <v>1314.7709150000001</v>
      </c>
      <c r="AC22" s="42">
        <v>1379.3117219999999</v>
      </c>
      <c r="AD22" s="42">
        <v>1485.809925</v>
      </c>
      <c r="AE22" s="42">
        <v>1494.6165370000001</v>
      </c>
      <c r="AF22" s="42">
        <v>1534.0180089999999</v>
      </c>
      <c r="AG22" s="42">
        <v>1487.977903</v>
      </c>
      <c r="AH22" s="42">
        <v>1522.03243</v>
      </c>
      <c r="AI22" s="42">
        <v>1494.7848240000001</v>
      </c>
      <c r="AJ22" s="42">
        <v>1456.074891</v>
      </c>
      <c r="AK22" s="40">
        <v>1453.218335</v>
      </c>
      <c r="AL22" s="52"/>
    </row>
    <row r="23" spans="1:38" s="32" customFormat="1" ht="16.5" customHeight="1">
      <c r="A23" s="10" t="s">
        <v>472</v>
      </c>
      <c r="B23" s="38">
        <v>17064</v>
      </c>
      <c r="C23" s="38">
        <v>13260</v>
      </c>
      <c r="D23" s="38">
        <v>6179</v>
      </c>
      <c r="E23" s="38">
        <v>3931</v>
      </c>
      <c r="F23" s="38">
        <v>4503</v>
      </c>
      <c r="G23" s="38">
        <v>4825</v>
      </c>
      <c r="H23" s="38">
        <v>6057</v>
      </c>
      <c r="I23" s="38">
        <v>6273</v>
      </c>
      <c r="J23" s="38">
        <v>6091</v>
      </c>
      <c r="K23" s="38">
        <v>6199</v>
      </c>
      <c r="L23" s="38">
        <v>5921</v>
      </c>
      <c r="M23" s="38">
        <v>5545</v>
      </c>
      <c r="N23" s="38">
        <v>5050</v>
      </c>
      <c r="O23" s="38">
        <v>5166</v>
      </c>
      <c r="P23" s="38">
        <v>5304</v>
      </c>
      <c r="Q23" s="38">
        <v>5330</v>
      </c>
      <c r="R23" s="38">
        <v>5573.9916949999997</v>
      </c>
      <c r="S23" s="38">
        <v>5571</v>
      </c>
      <c r="T23" s="38">
        <v>5313.8277230000003</v>
      </c>
      <c r="U23" s="38">
        <v>5679.9337930000002</v>
      </c>
      <c r="V23" s="38">
        <v>5510.88</v>
      </c>
      <c r="W23" s="38">
        <v>5381.3719999999994</v>
      </c>
      <c r="X23" s="38">
        <v>5409.8040000000001</v>
      </c>
      <c r="Y23" s="38">
        <v>5782.8180000000002</v>
      </c>
      <c r="Z23" s="38">
        <v>6178.5059999999994</v>
      </c>
      <c r="AA23" s="38">
        <v>5914.0330000000004</v>
      </c>
      <c r="AB23" s="38">
        <v>6419.7687269999997</v>
      </c>
      <c r="AC23" s="43">
        <v>6567.8390909999989</v>
      </c>
      <c r="AD23" s="43">
        <v>6803.8689760000007</v>
      </c>
      <c r="AE23" s="43">
        <v>6809.5782929999996</v>
      </c>
      <c r="AF23" s="43">
        <v>6674.6818009999997</v>
      </c>
      <c r="AG23" s="43">
        <v>6535.9028010000002</v>
      </c>
      <c r="AH23" s="43">
        <v>6520.4109099999996</v>
      </c>
      <c r="AI23" s="43">
        <v>6563.3325960000002</v>
      </c>
      <c r="AJ23" s="43">
        <v>6361.2704389999999</v>
      </c>
      <c r="AK23" s="43">
        <v>6419.8326479999996</v>
      </c>
    </row>
    <row r="24" spans="1:38" s="32" customFormat="1" ht="16.5" customHeight="1">
      <c r="A24" s="10" t="s">
        <v>473</v>
      </c>
      <c r="B24" s="43" t="s">
        <v>183</v>
      </c>
      <c r="C24" s="43" t="s">
        <v>183</v>
      </c>
      <c r="D24" s="43" t="s">
        <v>183</v>
      </c>
      <c r="E24" s="43" t="s">
        <v>183</v>
      </c>
      <c r="F24" s="43" t="s">
        <v>183</v>
      </c>
      <c r="G24" s="43" t="s">
        <v>183</v>
      </c>
      <c r="H24" s="38">
        <v>11418</v>
      </c>
      <c r="I24" s="43" t="s">
        <v>183</v>
      </c>
      <c r="J24" s="43" t="s">
        <v>183</v>
      </c>
      <c r="K24" s="43" t="s">
        <v>183</v>
      </c>
      <c r="L24" s="43" t="s">
        <v>183</v>
      </c>
      <c r="M24" s="43">
        <v>10821</v>
      </c>
      <c r="N24" s="43" t="s">
        <v>183</v>
      </c>
      <c r="O24" s="43" t="s">
        <v>183</v>
      </c>
      <c r="P24" s="43" t="s">
        <v>183</v>
      </c>
      <c r="Q24" s="43" t="s">
        <v>183</v>
      </c>
      <c r="R24" s="43" t="s">
        <v>183</v>
      </c>
      <c r="S24" s="43">
        <v>24779</v>
      </c>
      <c r="T24" s="43" t="s">
        <v>183</v>
      </c>
      <c r="U24" s="43" t="s">
        <v>183</v>
      </c>
      <c r="V24" s="43" t="s">
        <v>183</v>
      </c>
      <c r="W24" s="43" t="s">
        <v>183</v>
      </c>
      <c r="X24" s="43" t="s">
        <v>183</v>
      </c>
      <c r="Y24" s="43" t="s">
        <v>183</v>
      </c>
      <c r="Z24" s="43" t="s">
        <v>183</v>
      </c>
      <c r="AA24" s="38">
        <v>27943</v>
      </c>
      <c r="AB24" s="43" t="s">
        <v>183</v>
      </c>
      <c r="AC24" s="43" t="s">
        <v>183</v>
      </c>
      <c r="AD24" s="43" t="s">
        <v>183</v>
      </c>
      <c r="AE24" s="43" t="s">
        <v>183</v>
      </c>
      <c r="AF24" s="43" t="s">
        <v>183</v>
      </c>
      <c r="AG24" s="43" t="s">
        <v>183</v>
      </c>
      <c r="AH24" s="43" t="s">
        <v>183</v>
      </c>
      <c r="AI24" s="43">
        <v>33651</v>
      </c>
      <c r="AJ24" s="43" t="s">
        <v>183</v>
      </c>
      <c r="AK24" s="43" t="s">
        <v>183</v>
      </c>
    </row>
    <row r="25" spans="1:38" s="32" customFormat="1" ht="16.5" customHeight="1" thickBot="1">
      <c r="A25" s="10" t="s">
        <v>474</v>
      </c>
      <c r="B25" s="54" t="s">
        <v>183</v>
      </c>
      <c r="C25" s="54" t="s">
        <v>183</v>
      </c>
      <c r="D25" s="54" t="s">
        <v>183</v>
      </c>
      <c r="E25" s="54" t="s">
        <v>183</v>
      </c>
      <c r="F25" s="54" t="s">
        <v>183</v>
      </c>
      <c r="G25" s="54" t="s">
        <v>183</v>
      </c>
      <c r="H25" s="55">
        <v>3471</v>
      </c>
      <c r="I25" s="54" t="s">
        <v>183</v>
      </c>
      <c r="J25" s="54" t="s">
        <v>183</v>
      </c>
      <c r="K25" s="54" t="s">
        <v>183</v>
      </c>
      <c r="L25" s="54" t="s">
        <v>183</v>
      </c>
      <c r="M25" s="54">
        <v>4593</v>
      </c>
      <c r="N25" s="54" t="s">
        <v>183</v>
      </c>
      <c r="O25" s="54" t="s">
        <v>183</v>
      </c>
      <c r="P25" s="54" t="s">
        <v>183</v>
      </c>
      <c r="Q25" s="54" t="s">
        <v>183</v>
      </c>
      <c r="R25" s="54" t="s">
        <v>183</v>
      </c>
      <c r="S25" s="55">
        <v>6266</v>
      </c>
      <c r="T25" s="54" t="s">
        <v>183</v>
      </c>
      <c r="U25" s="54" t="s">
        <v>183</v>
      </c>
      <c r="V25" s="54" t="s">
        <v>183</v>
      </c>
      <c r="W25" s="54" t="s">
        <v>183</v>
      </c>
      <c r="X25" s="54" t="s">
        <v>183</v>
      </c>
      <c r="Y25" s="54" t="s">
        <v>183</v>
      </c>
      <c r="Z25" s="54" t="s">
        <v>183</v>
      </c>
      <c r="AA25" s="55">
        <v>8956</v>
      </c>
      <c r="AB25" s="54" t="s">
        <v>183</v>
      </c>
      <c r="AC25" s="54" t="s">
        <v>183</v>
      </c>
      <c r="AD25" s="54" t="s">
        <v>183</v>
      </c>
      <c r="AE25" s="54" t="s">
        <v>183</v>
      </c>
      <c r="AF25" s="54" t="s">
        <v>183</v>
      </c>
      <c r="AG25" s="54" t="s">
        <v>183</v>
      </c>
      <c r="AH25" s="54" t="s">
        <v>183</v>
      </c>
      <c r="AI25" s="54">
        <v>8499</v>
      </c>
      <c r="AJ25" s="54" t="s">
        <v>183</v>
      </c>
      <c r="AK25" s="54" t="s">
        <v>183</v>
      </c>
    </row>
    <row r="26" spans="1:38" s="44" customFormat="1" ht="12.75" customHeight="1">
      <c r="A26" s="228" t="s">
        <v>475</v>
      </c>
      <c r="B26" s="228"/>
      <c r="C26" s="228"/>
      <c r="D26" s="228"/>
      <c r="E26" s="228"/>
      <c r="F26" s="228"/>
      <c r="G26" s="228"/>
      <c r="H26" s="228"/>
      <c r="I26" s="228"/>
      <c r="J26" s="228"/>
      <c r="K26" s="228"/>
      <c r="L26" s="228"/>
      <c r="M26" s="228"/>
      <c r="N26" s="228"/>
      <c r="O26" s="228"/>
      <c r="P26" s="228"/>
      <c r="Q26" s="228"/>
      <c r="R26" s="228"/>
      <c r="S26" s="228"/>
      <c r="T26" s="228"/>
      <c r="U26" s="228"/>
      <c r="V26" s="228"/>
      <c r="W26" s="228"/>
      <c r="X26" s="228"/>
      <c r="Y26" s="228"/>
      <c r="Z26" s="228"/>
    </row>
    <row r="27" spans="1:38" s="56" customFormat="1" ht="12.75" customHeight="1">
      <c r="A27" s="229"/>
      <c r="B27" s="229"/>
      <c r="C27" s="229"/>
      <c r="D27" s="229"/>
      <c r="E27" s="229"/>
      <c r="F27" s="229"/>
      <c r="G27" s="229"/>
      <c r="H27" s="229"/>
      <c r="I27" s="229"/>
      <c r="J27" s="229"/>
      <c r="K27" s="229"/>
      <c r="L27" s="229"/>
      <c r="M27" s="229"/>
      <c r="N27" s="229"/>
      <c r="O27" s="229"/>
      <c r="P27" s="229"/>
      <c r="Q27" s="229"/>
      <c r="R27" s="229"/>
      <c r="S27" s="229"/>
      <c r="T27" s="229"/>
      <c r="U27" s="229"/>
      <c r="V27" s="229"/>
      <c r="W27" s="229"/>
      <c r="X27" s="229"/>
      <c r="Y27" s="229"/>
      <c r="Z27" s="229"/>
    </row>
    <row r="28" spans="1:38" s="44" customFormat="1" ht="38.25" customHeight="1">
      <c r="A28" s="238" t="s">
        <v>476</v>
      </c>
      <c r="B28" s="238"/>
      <c r="C28" s="238"/>
      <c r="D28" s="238"/>
      <c r="E28" s="238"/>
      <c r="F28" s="238"/>
      <c r="G28" s="238"/>
      <c r="H28" s="238"/>
      <c r="I28" s="238"/>
      <c r="J28" s="238"/>
      <c r="K28" s="238"/>
      <c r="L28" s="238"/>
      <c r="M28" s="238"/>
      <c r="N28" s="238"/>
      <c r="O28" s="238"/>
      <c r="P28" s="238"/>
      <c r="Q28" s="238"/>
      <c r="R28" s="238"/>
      <c r="S28" s="238"/>
      <c r="T28" s="238"/>
      <c r="U28" s="238"/>
      <c r="V28" s="238"/>
      <c r="W28" s="238"/>
      <c r="X28" s="238"/>
      <c r="Y28" s="238"/>
      <c r="Z28" s="238"/>
    </row>
    <row r="29" spans="1:38" s="44" customFormat="1" ht="12.75" customHeight="1">
      <c r="A29" s="238" t="s">
        <v>477</v>
      </c>
      <c r="B29" s="238"/>
      <c r="C29" s="238"/>
      <c r="D29" s="238"/>
      <c r="E29" s="238"/>
      <c r="F29" s="238"/>
      <c r="G29" s="238"/>
      <c r="H29" s="238"/>
      <c r="I29" s="238"/>
      <c r="J29" s="238"/>
      <c r="K29" s="238"/>
      <c r="L29" s="238"/>
      <c r="M29" s="238"/>
      <c r="N29" s="238"/>
      <c r="O29" s="238"/>
      <c r="P29" s="238"/>
      <c r="Q29" s="238"/>
      <c r="R29" s="238"/>
      <c r="S29" s="238"/>
      <c r="T29" s="238"/>
      <c r="U29" s="238"/>
      <c r="V29" s="238"/>
      <c r="W29" s="238"/>
      <c r="X29" s="238"/>
      <c r="Y29" s="238"/>
      <c r="Z29" s="238"/>
    </row>
    <row r="30" spans="1:38" s="44" customFormat="1" ht="12.75" customHeight="1">
      <c r="A30" s="238" t="s">
        <v>478</v>
      </c>
      <c r="B30" s="238"/>
      <c r="C30" s="238"/>
      <c r="D30" s="238"/>
      <c r="E30" s="238"/>
      <c r="F30" s="238"/>
      <c r="G30" s="238"/>
      <c r="H30" s="238"/>
      <c r="I30" s="238"/>
      <c r="J30" s="238"/>
      <c r="K30" s="238"/>
      <c r="L30" s="238"/>
      <c r="M30" s="238"/>
      <c r="N30" s="238"/>
      <c r="O30" s="238"/>
      <c r="P30" s="238"/>
      <c r="Q30" s="238"/>
      <c r="R30" s="238"/>
      <c r="S30" s="238"/>
      <c r="T30" s="238"/>
      <c r="U30" s="238"/>
      <c r="V30" s="238"/>
      <c r="W30" s="238"/>
      <c r="X30" s="238"/>
      <c r="Y30" s="238"/>
      <c r="Z30" s="238"/>
    </row>
    <row r="31" spans="1:38" s="44" customFormat="1" ht="25.5" customHeight="1">
      <c r="A31" s="238" t="s">
        <v>479</v>
      </c>
      <c r="B31" s="238"/>
      <c r="C31" s="238"/>
      <c r="D31" s="238"/>
      <c r="E31" s="238"/>
      <c r="F31" s="238"/>
      <c r="G31" s="238"/>
      <c r="H31" s="238"/>
      <c r="I31" s="238"/>
      <c r="J31" s="238"/>
      <c r="K31" s="238"/>
      <c r="L31" s="238"/>
      <c r="M31" s="238"/>
      <c r="N31" s="238"/>
      <c r="O31" s="238"/>
      <c r="P31" s="238"/>
      <c r="Q31" s="238"/>
      <c r="R31" s="238"/>
      <c r="S31" s="238"/>
      <c r="T31" s="238"/>
      <c r="U31" s="238"/>
      <c r="V31" s="238"/>
      <c r="W31" s="238"/>
      <c r="X31" s="238"/>
      <c r="Y31" s="238"/>
      <c r="Z31" s="238"/>
    </row>
    <row r="32" spans="1:38" s="44" customFormat="1" ht="12.75" customHeight="1">
      <c r="A32" s="238" t="s">
        <v>480</v>
      </c>
      <c r="B32" s="238"/>
      <c r="C32" s="238"/>
      <c r="D32" s="238"/>
      <c r="E32" s="238"/>
      <c r="F32" s="238"/>
      <c r="G32" s="238"/>
      <c r="H32" s="238"/>
      <c r="I32" s="238"/>
      <c r="J32" s="238"/>
      <c r="K32" s="238"/>
      <c r="L32" s="238"/>
      <c r="M32" s="238"/>
      <c r="N32" s="238"/>
      <c r="O32" s="238"/>
      <c r="P32" s="238"/>
      <c r="Q32" s="238"/>
      <c r="R32" s="238"/>
      <c r="S32" s="238"/>
      <c r="T32" s="238"/>
      <c r="U32" s="238"/>
      <c r="V32" s="238"/>
      <c r="W32" s="238"/>
      <c r="X32" s="238"/>
      <c r="Y32" s="238"/>
      <c r="Z32" s="238"/>
    </row>
    <row r="33" spans="1:26" s="44" customFormat="1" ht="12.75" customHeight="1">
      <c r="A33" s="238" t="s">
        <v>481</v>
      </c>
      <c r="B33" s="238"/>
      <c r="C33" s="238"/>
      <c r="D33" s="238"/>
      <c r="E33" s="238"/>
      <c r="F33" s="238"/>
      <c r="G33" s="238"/>
      <c r="H33" s="238"/>
      <c r="I33" s="238"/>
      <c r="J33" s="238"/>
      <c r="K33" s="238"/>
      <c r="L33" s="238"/>
      <c r="M33" s="238"/>
      <c r="N33" s="238"/>
      <c r="O33" s="238"/>
      <c r="P33" s="238"/>
      <c r="Q33" s="238"/>
      <c r="R33" s="238"/>
      <c r="S33" s="238"/>
      <c r="T33" s="238"/>
      <c r="U33" s="238"/>
      <c r="V33" s="238"/>
      <c r="W33" s="238"/>
      <c r="X33" s="238"/>
      <c r="Y33" s="238"/>
      <c r="Z33" s="238"/>
    </row>
    <row r="34" spans="1:26" s="44" customFormat="1" ht="12.75" customHeight="1">
      <c r="A34" s="238" t="s">
        <v>482</v>
      </c>
      <c r="B34" s="238"/>
      <c r="C34" s="238"/>
      <c r="D34" s="238"/>
      <c r="E34" s="238"/>
      <c r="F34" s="238"/>
      <c r="G34" s="238"/>
      <c r="H34" s="238"/>
      <c r="I34" s="238"/>
      <c r="J34" s="238"/>
      <c r="K34" s="238"/>
      <c r="L34" s="238"/>
      <c r="M34" s="238"/>
      <c r="N34" s="238"/>
      <c r="O34" s="238"/>
      <c r="P34" s="238"/>
      <c r="Q34" s="238"/>
      <c r="R34" s="238"/>
      <c r="S34" s="238"/>
      <c r="T34" s="238"/>
      <c r="U34" s="238"/>
      <c r="V34" s="238"/>
      <c r="W34" s="238"/>
      <c r="X34" s="238"/>
      <c r="Y34" s="238"/>
      <c r="Z34" s="238"/>
    </row>
    <row r="35" spans="1:26" s="44" customFormat="1" ht="12.75" customHeight="1">
      <c r="A35" s="239" t="s">
        <v>483</v>
      </c>
      <c r="B35" s="239"/>
      <c r="C35" s="239"/>
      <c r="D35" s="239"/>
      <c r="E35" s="239"/>
      <c r="F35" s="239"/>
      <c r="G35" s="239"/>
      <c r="H35" s="239"/>
      <c r="I35" s="239"/>
      <c r="J35" s="239"/>
      <c r="K35" s="239"/>
      <c r="L35" s="239"/>
      <c r="M35" s="239"/>
      <c r="N35" s="239"/>
      <c r="O35" s="239"/>
      <c r="P35" s="239"/>
      <c r="Q35" s="239"/>
      <c r="R35" s="239"/>
      <c r="S35" s="239"/>
      <c r="T35" s="239"/>
      <c r="U35" s="239"/>
      <c r="V35" s="239"/>
      <c r="W35" s="239"/>
      <c r="X35" s="239"/>
      <c r="Y35" s="239"/>
      <c r="Z35" s="239"/>
    </row>
    <row r="36" spans="1:26" s="44" customFormat="1" ht="12.75" customHeight="1">
      <c r="A36" s="238" t="s">
        <v>484</v>
      </c>
      <c r="B36" s="238"/>
      <c r="C36" s="238"/>
      <c r="D36" s="238"/>
      <c r="E36" s="238"/>
      <c r="F36" s="238"/>
      <c r="G36" s="238"/>
      <c r="H36" s="238"/>
      <c r="I36" s="238"/>
      <c r="J36" s="238"/>
      <c r="K36" s="238"/>
      <c r="L36" s="238"/>
      <c r="M36" s="238"/>
      <c r="N36" s="238"/>
      <c r="O36" s="238"/>
      <c r="P36" s="238"/>
      <c r="Q36" s="238"/>
      <c r="R36" s="238"/>
      <c r="S36" s="238"/>
      <c r="T36" s="238"/>
      <c r="U36" s="238"/>
      <c r="V36" s="238"/>
      <c r="W36" s="238"/>
      <c r="X36" s="238"/>
      <c r="Y36" s="238"/>
      <c r="Z36" s="238"/>
    </row>
    <row r="37" spans="1:26" s="44" customFormat="1" ht="25.5" customHeight="1">
      <c r="A37" s="238" t="s">
        <v>485</v>
      </c>
      <c r="B37" s="238"/>
      <c r="C37" s="238"/>
      <c r="D37" s="238"/>
      <c r="E37" s="238"/>
      <c r="F37" s="238"/>
      <c r="G37" s="238"/>
      <c r="H37" s="238"/>
      <c r="I37" s="238"/>
      <c r="J37" s="238"/>
      <c r="K37" s="238"/>
      <c r="L37" s="238"/>
      <c r="M37" s="238"/>
      <c r="N37" s="238"/>
      <c r="O37" s="238"/>
      <c r="P37" s="238"/>
      <c r="Q37" s="238"/>
      <c r="R37" s="238"/>
      <c r="S37" s="238"/>
      <c r="T37" s="238"/>
      <c r="U37" s="238"/>
      <c r="V37" s="238"/>
      <c r="W37" s="238"/>
      <c r="X37" s="238"/>
      <c r="Y37" s="238"/>
      <c r="Z37" s="238"/>
    </row>
    <row r="38" spans="1:26" s="44" customFormat="1" ht="12.75" customHeight="1">
      <c r="A38" s="240"/>
      <c r="B38" s="240"/>
      <c r="C38" s="240"/>
      <c r="D38" s="240"/>
      <c r="E38" s="240"/>
      <c r="F38" s="240"/>
      <c r="G38" s="240"/>
      <c r="H38" s="240"/>
      <c r="I38" s="240"/>
      <c r="J38" s="240"/>
      <c r="K38" s="240"/>
      <c r="L38" s="240"/>
      <c r="M38" s="240"/>
      <c r="N38" s="240"/>
      <c r="O38" s="240"/>
      <c r="P38" s="240"/>
      <c r="Q38" s="240"/>
      <c r="R38" s="240"/>
      <c r="S38" s="240"/>
      <c r="T38" s="240"/>
      <c r="U38" s="240"/>
      <c r="V38" s="240"/>
      <c r="W38" s="240"/>
      <c r="X38" s="240"/>
      <c r="Y38" s="240"/>
      <c r="Z38" s="240"/>
    </row>
    <row r="39" spans="1:26" s="44" customFormat="1" ht="12.75" customHeight="1">
      <c r="A39" s="241" t="s">
        <v>177</v>
      </c>
      <c r="B39" s="241"/>
      <c r="C39" s="241"/>
      <c r="D39" s="241"/>
      <c r="E39" s="241"/>
      <c r="F39" s="241"/>
      <c r="G39" s="241"/>
      <c r="H39" s="241"/>
      <c r="I39" s="241"/>
      <c r="J39" s="241"/>
      <c r="K39" s="241"/>
      <c r="L39" s="241"/>
      <c r="M39" s="241"/>
      <c r="N39" s="241"/>
      <c r="O39" s="241"/>
      <c r="P39" s="241"/>
      <c r="Q39" s="241"/>
      <c r="R39" s="241"/>
      <c r="S39" s="241"/>
      <c r="T39" s="241"/>
      <c r="U39" s="241"/>
      <c r="V39" s="241"/>
      <c r="W39" s="241"/>
      <c r="X39" s="241"/>
      <c r="Y39" s="241"/>
      <c r="Z39" s="241"/>
    </row>
    <row r="40" spans="1:26" s="44" customFormat="1" ht="12.75" customHeight="1">
      <c r="A40" s="234" t="s">
        <v>486</v>
      </c>
      <c r="B40" s="234"/>
      <c r="C40" s="234"/>
      <c r="D40" s="234"/>
      <c r="E40" s="234"/>
      <c r="F40" s="234"/>
      <c r="G40" s="234"/>
      <c r="H40" s="234"/>
      <c r="I40" s="234"/>
      <c r="J40" s="234"/>
      <c r="K40" s="234"/>
      <c r="L40" s="234"/>
      <c r="M40" s="234"/>
      <c r="N40" s="234"/>
      <c r="O40" s="234"/>
      <c r="P40" s="234"/>
      <c r="Q40" s="234"/>
      <c r="R40" s="234"/>
      <c r="S40" s="234"/>
      <c r="T40" s="234"/>
      <c r="U40" s="234"/>
      <c r="V40" s="234"/>
      <c r="W40" s="234"/>
      <c r="X40" s="234"/>
      <c r="Y40" s="234"/>
      <c r="Z40" s="234"/>
    </row>
    <row r="41" spans="1:26" s="44" customFormat="1" ht="38.25" customHeight="1">
      <c r="A41" s="234" t="s">
        <v>176</v>
      </c>
      <c r="B41" s="234"/>
      <c r="C41" s="234"/>
      <c r="D41" s="234"/>
      <c r="E41" s="234"/>
      <c r="F41" s="234"/>
      <c r="G41" s="234"/>
      <c r="H41" s="234"/>
      <c r="I41" s="234"/>
      <c r="J41" s="234"/>
      <c r="K41" s="234"/>
      <c r="L41" s="234"/>
      <c r="M41" s="234"/>
      <c r="N41" s="234"/>
      <c r="O41" s="234"/>
      <c r="P41" s="234"/>
      <c r="Q41" s="234"/>
      <c r="R41" s="234"/>
      <c r="S41" s="234"/>
      <c r="T41" s="234"/>
      <c r="U41" s="234"/>
      <c r="V41" s="234"/>
      <c r="W41" s="234"/>
      <c r="X41" s="234"/>
      <c r="Y41" s="234"/>
      <c r="Z41" s="234"/>
    </row>
    <row r="42" spans="1:26" s="44" customFormat="1" ht="25.5" customHeight="1">
      <c r="A42" s="234" t="s">
        <v>487</v>
      </c>
      <c r="B42" s="234"/>
      <c r="C42" s="234"/>
      <c r="D42" s="234"/>
      <c r="E42" s="234"/>
      <c r="F42" s="234"/>
      <c r="G42" s="234"/>
      <c r="H42" s="234"/>
      <c r="I42" s="234"/>
      <c r="J42" s="234"/>
      <c r="K42" s="234"/>
      <c r="L42" s="234"/>
      <c r="M42" s="234"/>
      <c r="N42" s="234"/>
      <c r="O42" s="234"/>
      <c r="P42" s="234"/>
      <c r="Q42" s="234"/>
      <c r="R42" s="234"/>
      <c r="S42" s="234"/>
      <c r="T42" s="234"/>
      <c r="U42" s="234"/>
      <c r="V42" s="234"/>
      <c r="W42" s="234"/>
      <c r="X42" s="234"/>
      <c r="Y42" s="234"/>
      <c r="Z42" s="234"/>
    </row>
    <row r="43" spans="1:26" s="44" customFormat="1" ht="25.5" customHeight="1">
      <c r="A43" s="234" t="s">
        <v>488</v>
      </c>
      <c r="B43" s="234"/>
      <c r="C43" s="234"/>
      <c r="D43" s="234"/>
      <c r="E43" s="234"/>
      <c r="F43" s="234"/>
      <c r="G43" s="234"/>
      <c r="H43" s="234"/>
      <c r="I43" s="234"/>
      <c r="J43" s="234"/>
      <c r="K43" s="234"/>
      <c r="L43" s="234"/>
      <c r="M43" s="234"/>
      <c r="N43" s="234"/>
      <c r="O43" s="234"/>
      <c r="P43" s="234"/>
      <c r="Q43" s="234"/>
      <c r="R43" s="234"/>
      <c r="S43" s="234"/>
      <c r="T43" s="234"/>
      <c r="U43" s="234"/>
      <c r="V43" s="234"/>
      <c r="W43" s="234"/>
      <c r="X43" s="234"/>
      <c r="Y43" s="234"/>
      <c r="Z43" s="234"/>
    </row>
    <row r="44" spans="1:26" s="44" customFormat="1" ht="12.75" customHeight="1">
      <c r="A44" s="236" t="s">
        <v>175</v>
      </c>
      <c r="B44" s="236"/>
      <c r="C44" s="236"/>
      <c r="D44" s="236"/>
      <c r="E44" s="236"/>
      <c r="F44" s="236"/>
      <c r="G44" s="236"/>
      <c r="H44" s="236"/>
      <c r="I44" s="236"/>
      <c r="J44" s="236"/>
      <c r="K44" s="236"/>
      <c r="L44" s="236"/>
      <c r="M44" s="236"/>
      <c r="N44" s="236"/>
      <c r="O44" s="236"/>
      <c r="P44" s="236"/>
      <c r="Q44" s="236"/>
      <c r="R44" s="236"/>
      <c r="S44" s="236"/>
      <c r="T44" s="236"/>
      <c r="U44" s="236"/>
      <c r="V44" s="236"/>
      <c r="W44" s="236"/>
      <c r="X44" s="236"/>
      <c r="Y44" s="236"/>
      <c r="Z44" s="236"/>
    </row>
    <row r="45" spans="1:26" s="44" customFormat="1" ht="24.75" customHeight="1">
      <c r="A45" s="236" t="s">
        <v>489</v>
      </c>
      <c r="B45" s="236"/>
      <c r="C45" s="236"/>
      <c r="D45" s="236"/>
      <c r="E45" s="236"/>
      <c r="F45" s="236"/>
      <c r="G45" s="236"/>
      <c r="H45" s="236"/>
      <c r="I45" s="236"/>
      <c r="J45" s="236"/>
      <c r="K45" s="236"/>
      <c r="L45" s="236"/>
      <c r="M45" s="236"/>
      <c r="N45" s="236"/>
      <c r="O45" s="236"/>
      <c r="P45" s="236"/>
      <c r="Q45" s="236"/>
      <c r="R45" s="236"/>
      <c r="S45" s="236"/>
      <c r="T45" s="236"/>
      <c r="U45" s="236"/>
      <c r="V45" s="236"/>
      <c r="W45" s="236"/>
      <c r="X45" s="236"/>
      <c r="Y45" s="236"/>
      <c r="Z45" s="236"/>
    </row>
    <row r="46" spans="1:26" s="44" customFormat="1" ht="12.75" customHeight="1">
      <c r="A46" s="232" t="s">
        <v>490</v>
      </c>
      <c r="B46" s="232"/>
      <c r="C46" s="232"/>
      <c r="D46" s="232"/>
      <c r="E46" s="232"/>
      <c r="F46" s="232"/>
      <c r="G46" s="232"/>
      <c r="H46" s="232"/>
      <c r="I46" s="232"/>
      <c r="J46" s="232"/>
      <c r="K46" s="232"/>
      <c r="L46" s="232"/>
      <c r="M46" s="232"/>
      <c r="N46" s="232"/>
      <c r="O46" s="232"/>
      <c r="P46" s="232"/>
      <c r="Q46" s="232"/>
      <c r="R46" s="232"/>
      <c r="S46" s="232"/>
      <c r="T46" s="232"/>
      <c r="U46" s="232"/>
      <c r="V46" s="232"/>
      <c r="W46" s="232"/>
      <c r="X46" s="232"/>
      <c r="Y46" s="232"/>
      <c r="Z46" s="232"/>
    </row>
    <row r="47" spans="1:26" s="44" customFormat="1" ht="12.75" customHeight="1">
      <c r="A47" s="237" t="s">
        <v>174</v>
      </c>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row>
    <row r="48" spans="1:26" s="44" customFormat="1" ht="12.75" customHeight="1">
      <c r="A48" s="234" t="s">
        <v>173</v>
      </c>
      <c r="B48" s="234"/>
      <c r="C48" s="234"/>
      <c r="D48" s="234"/>
      <c r="E48" s="234"/>
      <c r="F48" s="234"/>
      <c r="G48" s="234"/>
      <c r="H48" s="234"/>
      <c r="I48" s="234"/>
      <c r="J48" s="234"/>
      <c r="K48" s="234"/>
      <c r="L48" s="234"/>
      <c r="M48" s="234"/>
      <c r="N48" s="234"/>
      <c r="O48" s="234"/>
      <c r="P48" s="234"/>
      <c r="Q48" s="234"/>
      <c r="R48" s="234"/>
      <c r="S48" s="234"/>
      <c r="T48" s="234"/>
      <c r="U48" s="234"/>
      <c r="V48" s="234"/>
      <c r="W48" s="234"/>
      <c r="X48" s="234"/>
      <c r="Y48" s="234"/>
      <c r="Z48" s="234"/>
    </row>
    <row r="49" spans="1:26" s="44" customFormat="1" ht="12.75" customHeight="1">
      <c r="A49" s="234" t="s">
        <v>491</v>
      </c>
      <c r="B49" s="234"/>
      <c r="C49" s="234"/>
      <c r="D49" s="234"/>
      <c r="E49" s="234"/>
      <c r="F49" s="234"/>
      <c r="G49" s="234"/>
      <c r="H49" s="234"/>
      <c r="I49" s="234"/>
      <c r="J49" s="234"/>
      <c r="K49" s="234"/>
      <c r="L49" s="234"/>
      <c r="M49" s="234"/>
      <c r="N49" s="234"/>
      <c r="O49" s="234"/>
      <c r="P49" s="234"/>
      <c r="Q49" s="234"/>
      <c r="R49" s="234"/>
      <c r="S49" s="234"/>
      <c r="T49" s="234"/>
      <c r="U49" s="234"/>
      <c r="V49" s="234"/>
      <c r="W49" s="234"/>
      <c r="X49" s="234"/>
      <c r="Y49" s="234"/>
      <c r="Z49" s="234"/>
    </row>
    <row r="50" spans="1:26" s="44" customFormat="1" ht="12.75" customHeight="1">
      <c r="A50" s="232"/>
      <c r="B50" s="232"/>
      <c r="C50" s="232"/>
      <c r="D50" s="232"/>
      <c r="E50" s="232"/>
      <c r="F50" s="232"/>
      <c r="G50" s="232"/>
      <c r="H50" s="232"/>
      <c r="I50" s="232"/>
      <c r="J50" s="232"/>
      <c r="K50" s="232"/>
      <c r="L50" s="232"/>
      <c r="M50" s="232"/>
      <c r="N50" s="232"/>
      <c r="O50" s="232"/>
      <c r="P50" s="232"/>
      <c r="Q50" s="232"/>
      <c r="R50" s="232"/>
      <c r="S50" s="232"/>
      <c r="T50" s="232"/>
      <c r="U50" s="232"/>
      <c r="V50" s="232"/>
      <c r="W50" s="232"/>
      <c r="X50" s="232"/>
      <c r="Y50" s="232"/>
      <c r="Z50" s="232"/>
    </row>
    <row r="51" spans="1:26" s="44" customFormat="1" ht="12.75" customHeight="1">
      <c r="A51" s="235" t="s">
        <v>172</v>
      </c>
      <c r="B51" s="235"/>
      <c r="C51" s="235"/>
      <c r="D51" s="235"/>
      <c r="E51" s="235"/>
      <c r="F51" s="235"/>
      <c r="G51" s="235"/>
      <c r="H51" s="235"/>
      <c r="I51" s="235"/>
      <c r="J51" s="235"/>
      <c r="K51" s="235"/>
      <c r="L51" s="235"/>
      <c r="M51" s="235"/>
      <c r="N51" s="235"/>
      <c r="O51" s="235"/>
      <c r="P51" s="235"/>
      <c r="Q51" s="235"/>
      <c r="R51" s="235"/>
      <c r="S51" s="235"/>
      <c r="T51" s="235"/>
      <c r="U51" s="235"/>
      <c r="V51" s="235"/>
      <c r="W51" s="235"/>
      <c r="X51" s="235"/>
      <c r="Y51" s="235"/>
      <c r="Z51" s="235"/>
    </row>
    <row r="52" spans="1:26" s="44" customFormat="1" ht="12.75" customHeight="1">
      <c r="A52" s="235" t="s">
        <v>171</v>
      </c>
      <c r="B52" s="235"/>
      <c r="C52" s="235"/>
      <c r="D52" s="235"/>
      <c r="E52" s="235"/>
      <c r="F52" s="235"/>
      <c r="G52" s="235"/>
      <c r="H52" s="235"/>
      <c r="I52" s="235"/>
      <c r="J52" s="235"/>
      <c r="K52" s="235"/>
      <c r="L52" s="235"/>
      <c r="M52" s="235"/>
      <c r="N52" s="235"/>
      <c r="O52" s="235"/>
      <c r="P52" s="235"/>
      <c r="Q52" s="235"/>
      <c r="R52" s="235"/>
      <c r="S52" s="235"/>
      <c r="T52" s="235"/>
      <c r="U52" s="235"/>
      <c r="V52" s="235"/>
      <c r="W52" s="235"/>
      <c r="X52" s="235"/>
      <c r="Y52" s="235"/>
      <c r="Z52" s="235"/>
    </row>
    <row r="53" spans="1:26" s="44" customFormat="1" ht="12.75" customHeight="1">
      <c r="A53" s="233" t="s">
        <v>492</v>
      </c>
      <c r="B53" s="233"/>
      <c r="C53" s="233"/>
      <c r="D53" s="233"/>
      <c r="E53" s="233"/>
      <c r="F53" s="233"/>
      <c r="G53" s="233"/>
      <c r="H53" s="233"/>
      <c r="I53" s="233"/>
      <c r="J53" s="233"/>
      <c r="K53" s="233"/>
      <c r="L53" s="233"/>
      <c r="M53" s="233"/>
      <c r="N53" s="233"/>
      <c r="O53" s="233"/>
      <c r="P53" s="233"/>
      <c r="Q53" s="233"/>
      <c r="R53" s="233"/>
      <c r="S53" s="233"/>
      <c r="T53" s="233"/>
      <c r="U53" s="233"/>
      <c r="V53" s="233"/>
      <c r="W53" s="233"/>
      <c r="X53" s="233"/>
      <c r="Y53" s="233"/>
      <c r="Z53" s="233"/>
    </row>
    <row r="54" spans="1:26" s="44" customFormat="1" ht="12.75" customHeight="1">
      <c r="A54" s="226" t="s">
        <v>170</v>
      </c>
      <c r="B54" s="226"/>
      <c r="C54" s="226"/>
      <c r="D54" s="226"/>
      <c r="E54" s="226"/>
      <c r="F54" s="226"/>
      <c r="G54" s="226"/>
      <c r="H54" s="226"/>
      <c r="I54" s="226"/>
      <c r="J54" s="226"/>
      <c r="K54" s="226"/>
      <c r="L54" s="226"/>
      <c r="M54" s="226"/>
      <c r="N54" s="226"/>
      <c r="O54" s="226"/>
      <c r="P54" s="226"/>
      <c r="Q54" s="226"/>
      <c r="R54" s="226"/>
      <c r="S54" s="226"/>
      <c r="T54" s="226"/>
      <c r="U54" s="226"/>
      <c r="V54" s="226"/>
      <c r="W54" s="226"/>
      <c r="X54" s="226"/>
      <c r="Y54" s="226"/>
      <c r="Z54" s="226"/>
    </row>
    <row r="55" spans="1:26" s="44" customFormat="1" ht="12.75" customHeight="1">
      <c r="A55" s="226" t="s">
        <v>493</v>
      </c>
      <c r="B55" s="226"/>
      <c r="C55" s="226"/>
      <c r="D55" s="226"/>
      <c r="E55" s="226"/>
      <c r="F55" s="226"/>
      <c r="G55" s="226"/>
      <c r="H55" s="226"/>
      <c r="I55" s="226"/>
      <c r="J55" s="226"/>
      <c r="K55" s="226"/>
      <c r="L55" s="226"/>
      <c r="M55" s="226"/>
      <c r="N55" s="226"/>
      <c r="O55" s="226"/>
      <c r="P55" s="226"/>
      <c r="Q55" s="226"/>
      <c r="R55" s="226"/>
      <c r="S55" s="226"/>
      <c r="T55" s="226"/>
      <c r="U55" s="226"/>
      <c r="V55" s="226"/>
      <c r="W55" s="226"/>
      <c r="X55" s="226"/>
      <c r="Y55" s="226"/>
      <c r="Z55" s="226"/>
    </row>
    <row r="56" spans="1:26" s="44" customFormat="1" ht="12.75" customHeight="1">
      <c r="A56" s="232" t="s">
        <v>494</v>
      </c>
      <c r="B56" s="232"/>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row>
    <row r="57" spans="1:26" s="44" customFormat="1" ht="12.75" customHeight="1">
      <c r="A57" s="232" t="s">
        <v>495</v>
      </c>
      <c r="B57" s="232"/>
      <c r="C57" s="232"/>
      <c r="D57" s="232"/>
      <c r="E57" s="232"/>
      <c r="F57" s="232"/>
      <c r="G57" s="232"/>
      <c r="H57" s="232"/>
      <c r="I57" s="232"/>
      <c r="J57" s="232"/>
      <c r="K57" s="232"/>
      <c r="L57" s="232"/>
      <c r="M57" s="232"/>
      <c r="N57" s="232"/>
      <c r="O57" s="232"/>
      <c r="P57" s="232"/>
      <c r="Q57" s="232"/>
      <c r="R57" s="232"/>
      <c r="S57" s="232"/>
      <c r="T57" s="232"/>
      <c r="U57" s="232"/>
      <c r="V57" s="232"/>
      <c r="W57" s="232"/>
      <c r="X57" s="232"/>
      <c r="Y57" s="232"/>
      <c r="Z57" s="232"/>
    </row>
    <row r="58" spans="1:26" s="44" customFormat="1" ht="12.95" customHeight="1">
      <c r="A58" s="233" t="s">
        <v>496</v>
      </c>
      <c r="B58" s="233"/>
      <c r="C58" s="233"/>
      <c r="D58" s="233"/>
      <c r="E58" s="233"/>
      <c r="F58" s="233"/>
      <c r="G58" s="233"/>
      <c r="H58" s="233"/>
      <c r="I58" s="233"/>
      <c r="J58" s="233"/>
      <c r="K58" s="233"/>
      <c r="L58" s="233"/>
      <c r="M58" s="233"/>
      <c r="N58" s="233"/>
      <c r="O58" s="233"/>
      <c r="P58" s="233"/>
      <c r="Q58" s="233"/>
      <c r="R58" s="233"/>
      <c r="S58" s="233"/>
      <c r="T58" s="233"/>
      <c r="U58" s="233"/>
      <c r="V58" s="233"/>
      <c r="W58" s="233"/>
      <c r="X58" s="233"/>
      <c r="Y58" s="233"/>
      <c r="Z58" s="233"/>
    </row>
    <row r="59" spans="1:26" s="44" customFormat="1" ht="12.95" customHeight="1">
      <c r="A59" s="232" t="s">
        <v>497</v>
      </c>
      <c r="B59" s="232"/>
      <c r="C59" s="232"/>
      <c r="D59" s="232"/>
      <c r="E59" s="232"/>
      <c r="F59" s="232"/>
      <c r="G59" s="232"/>
      <c r="H59" s="232"/>
      <c r="I59" s="232"/>
      <c r="J59" s="232"/>
      <c r="K59" s="232"/>
      <c r="L59" s="232"/>
      <c r="M59" s="232"/>
      <c r="N59" s="232"/>
      <c r="O59" s="232"/>
      <c r="P59" s="232"/>
      <c r="Q59" s="232"/>
      <c r="R59" s="232"/>
      <c r="S59" s="232"/>
      <c r="T59" s="232"/>
      <c r="U59" s="232"/>
      <c r="V59" s="232"/>
      <c r="W59" s="232"/>
      <c r="X59" s="232"/>
      <c r="Y59" s="232"/>
      <c r="Z59" s="232"/>
    </row>
    <row r="60" spans="1:26" s="44" customFormat="1" ht="12.75" customHeight="1">
      <c r="A60" s="230" t="s">
        <v>169</v>
      </c>
      <c r="B60" s="230"/>
      <c r="C60" s="230"/>
      <c r="D60" s="230"/>
      <c r="E60" s="230"/>
      <c r="F60" s="230"/>
      <c r="G60" s="230"/>
      <c r="H60" s="230"/>
      <c r="I60" s="230"/>
      <c r="J60" s="230"/>
      <c r="K60" s="230"/>
      <c r="L60" s="230"/>
      <c r="M60" s="230"/>
      <c r="N60" s="230"/>
      <c r="O60" s="230"/>
      <c r="P60" s="230"/>
      <c r="Q60" s="230"/>
      <c r="R60" s="230"/>
      <c r="S60" s="230"/>
      <c r="T60" s="230"/>
      <c r="U60" s="230"/>
      <c r="V60" s="230"/>
      <c r="W60" s="230"/>
      <c r="X60" s="230"/>
      <c r="Y60" s="230"/>
      <c r="Z60" s="230"/>
    </row>
    <row r="61" spans="1:26" s="44" customFormat="1" ht="12.75" customHeight="1">
      <c r="A61" s="231" t="s">
        <v>498</v>
      </c>
      <c r="B61" s="231"/>
      <c r="C61" s="231"/>
      <c r="D61" s="231"/>
      <c r="E61" s="231"/>
      <c r="F61" s="231"/>
      <c r="G61" s="231"/>
      <c r="H61" s="231"/>
      <c r="I61" s="231"/>
      <c r="J61" s="231"/>
      <c r="K61" s="231"/>
      <c r="L61" s="231"/>
      <c r="M61" s="231"/>
      <c r="N61" s="231"/>
      <c r="O61" s="231"/>
      <c r="P61" s="231"/>
      <c r="Q61" s="231"/>
      <c r="R61" s="231"/>
      <c r="S61" s="231"/>
      <c r="T61" s="231"/>
      <c r="U61" s="231"/>
      <c r="V61" s="231"/>
      <c r="W61" s="231"/>
      <c r="X61" s="231"/>
      <c r="Y61" s="231"/>
      <c r="Z61" s="231"/>
    </row>
    <row r="62" spans="1:26" s="44" customFormat="1" ht="12.75" customHeight="1">
      <c r="A62" s="232" t="s">
        <v>499</v>
      </c>
      <c r="B62" s="232"/>
      <c r="C62" s="232"/>
      <c r="D62" s="232"/>
      <c r="E62" s="232"/>
      <c r="F62" s="232"/>
      <c r="G62" s="232"/>
      <c r="H62" s="232"/>
      <c r="I62" s="232"/>
      <c r="J62" s="232"/>
      <c r="K62" s="232"/>
      <c r="L62" s="232"/>
      <c r="M62" s="232"/>
      <c r="N62" s="232"/>
      <c r="O62" s="232"/>
      <c r="P62" s="232"/>
      <c r="Q62" s="232"/>
      <c r="R62" s="232"/>
      <c r="S62" s="232"/>
      <c r="T62" s="232"/>
      <c r="U62" s="232"/>
      <c r="V62" s="232"/>
      <c r="W62" s="232"/>
      <c r="X62" s="232"/>
      <c r="Y62" s="232"/>
      <c r="Z62" s="232"/>
    </row>
    <row r="63" spans="1:26" s="45" customFormat="1" ht="12.75" customHeight="1">
      <c r="A63" s="226" t="s">
        <v>500</v>
      </c>
      <c r="B63" s="226"/>
      <c r="C63" s="226"/>
      <c r="D63" s="226"/>
      <c r="E63" s="226"/>
      <c r="F63" s="226"/>
      <c r="G63" s="226"/>
      <c r="H63" s="226"/>
      <c r="I63" s="226"/>
      <c r="J63" s="226"/>
      <c r="K63" s="226"/>
      <c r="L63" s="226"/>
      <c r="M63" s="226"/>
      <c r="N63" s="226"/>
      <c r="O63" s="226"/>
      <c r="P63" s="226"/>
      <c r="Q63" s="226"/>
      <c r="R63" s="226"/>
      <c r="S63" s="226"/>
      <c r="T63" s="226"/>
      <c r="U63" s="226"/>
      <c r="V63" s="226"/>
      <c r="W63" s="226"/>
      <c r="X63" s="226"/>
      <c r="Y63" s="226"/>
      <c r="Z63" s="226"/>
    </row>
    <row r="64" spans="1:26" s="45" customFormat="1" ht="12.75" customHeight="1">
      <c r="A64" s="231" t="s">
        <v>164</v>
      </c>
      <c r="B64" s="231"/>
      <c r="C64" s="231"/>
      <c r="D64" s="231"/>
      <c r="E64" s="231"/>
      <c r="F64" s="231"/>
      <c r="G64" s="231"/>
      <c r="H64" s="231"/>
      <c r="I64" s="231"/>
      <c r="J64" s="231"/>
      <c r="K64" s="231"/>
      <c r="L64" s="231"/>
      <c r="M64" s="231"/>
      <c r="N64" s="231"/>
      <c r="O64" s="231"/>
      <c r="P64" s="231"/>
      <c r="Q64" s="231"/>
      <c r="R64" s="231"/>
      <c r="S64" s="231"/>
      <c r="T64" s="231"/>
      <c r="U64" s="231"/>
      <c r="V64" s="231"/>
      <c r="W64" s="231"/>
      <c r="X64" s="231"/>
      <c r="Y64" s="231"/>
      <c r="Z64" s="231"/>
    </row>
    <row r="65" spans="1:26" s="44" customFormat="1" ht="12.75" customHeight="1">
      <c r="A65" s="232" t="s">
        <v>501</v>
      </c>
      <c r="B65" s="232"/>
      <c r="C65" s="232"/>
      <c r="D65" s="232"/>
      <c r="E65" s="232"/>
      <c r="F65" s="232"/>
      <c r="G65" s="232"/>
      <c r="H65" s="232"/>
      <c r="I65" s="232"/>
      <c r="J65" s="232"/>
      <c r="K65" s="232"/>
      <c r="L65" s="232"/>
      <c r="M65" s="232"/>
      <c r="N65" s="232"/>
      <c r="O65" s="232"/>
      <c r="P65" s="232"/>
      <c r="Q65" s="232"/>
      <c r="R65" s="232"/>
      <c r="S65" s="232"/>
      <c r="T65" s="232"/>
      <c r="U65" s="232"/>
      <c r="V65" s="232"/>
      <c r="W65" s="232"/>
      <c r="X65" s="232"/>
      <c r="Y65" s="232"/>
      <c r="Z65" s="232"/>
    </row>
    <row r="66" spans="1:26" s="45" customFormat="1" ht="12.75" customHeight="1">
      <c r="A66" s="226" t="s">
        <v>502</v>
      </c>
      <c r="B66" s="226"/>
      <c r="C66" s="226"/>
      <c r="D66" s="226"/>
      <c r="E66" s="226"/>
      <c r="F66" s="226"/>
      <c r="G66" s="226"/>
      <c r="H66" s="226"/>
      <c r="I66" s="226"/>
      <c r="J66" s="226"/>
      <c r="K66" s="226"/>
      <c r="L66" s="226"/>
      <c r="M66" s="226"/>
      <c r="N66" s="226"/>
      <c r="O66" s="226"/>
      <c r="P66" s="226"/>
      <c r="Q66" s="226"/>
      <c r="R66" s="226"/>
      <c r="S66" s="226"/>
      <c r="T66" s="226"/>
      <c r="U66" s="226"/>
      <c r="V66" s="226"/>
      <c r="W66" s="226"/>
      <c r="X66" s="226"/>
      <c r="Y66" s="226"/>
      <c r="Z66" s="226"/>
    </row>
    <row r="67" spans="1:26" s="45" customFormat="1" ht="12.75" customHeight="1">
      <c r="A67" s="230" t="s">
        <v>168</v>
      </c>
      <c r="B67" s="230"/>
      <c r="C67" s="230"/>
      <c r="D67" s="230"/>
      <c r="E67" s="230"/>
      <c r="F67" s="230"/>
      <c r="G67" s="230"/>
      <c r="H67" s="230"/>
      <c r="I67" s="230"/>
      <c r="J67" s="230"/>
      <c r="K67" s="230"/>
      <c r="L67" s="230"/>
      <c r="M67" s="230"/>
      <c r="N67" s="230"/>
      <c r="O67" s="230"/>
      <c r="P67" s="230"/>
      <c r="Q67" s="230"/>
      <c r="R67" s="230"/>
      <c r="S67" s="230"/>
      <c r="T67" s="230"/>
      <c r="U67" s="230"/>
      <c r="V67" s="230"/>
      <c r="W67" s="230"/>
      <c r="X67" s="230"/>
      <c r="Y67" s="230"/>
      <c r="Z67" s="230"/>
    </row>
    <row r="68" spans="1:26" s="45" customFormat="1" ht="12.75" customHeight="1">
      <c r="A68" s="231" t="s">
        <v>167</v>
      </c>
      <c r="B68" s="231"/>
      <c r="C68" s="231"/>
      <c r="D68" s="231"/>
      <c r="E68" s="231"/>
      <c r="F68" s="231"/>
      <c r="G68" s="231"/>
      <c r="H68" s="231"/>
      <c r="I68" s="231"/>
      <c r="J68" s="231"/>
      <c r="K68" s="231"/>
      <c r="L68" s="231"/>
      <c r="M68" s="231"/>
      <c r="N68" s="231"/>
      <c r="O68" s="231"/>
      <c r="P68" s="231"/>
      <c r="Q68" s="231"/>
      <c r="R68" s="231"/>
      <c r="S68" s="231"/>
      <c r="T68" s="231"/>
      <c r="U68" s="231"/>
      <c r="V68" s="231"/>
      <c r="W68" s="231"/>
      <c r="X68" s="231"/>
      <c r="Y68" s="231"/>
      <c r="Z68" s="231"/>
    </row>
    <row r="69" spans="1:26" s="45" customFormat="1" ht="12.75" customHeight="1">
      <c r="A69" s="226" t="s">
        <v>166</v>
      </c>
      <c r="B69" s="226"/>
      <c r="C69" s="226"/>
      <c r="D69" s="226"/>
      <c r="E69" s="226"/>
      <c r="F69" s="226"/>
      <c r="G69" s="226"/>
      <c r="H69" s="226"/>
      <c r="I69" s="226"/>
      <c r="J69" s="226"/>
      <c r="K69" s="226"/>
      <c r="L69" s="226"/>
      <c r="M69" s="226"/>
      <c r="N69" s="226"/>
      <c r="O69" s="226"/>
      <c r="P69" s="226"/>
      <c r="Q69" s="226"/>
      <c r="R69" s="226"/>
      <c r="S69" s="226"/>
      <c r="T69" s="226"/>
      <c r="U69" s="226"/>
      <c r="V69" s="226"/>
      <c r="W69" s="226"/>
      <c r="X69" s="226"/>
      <c r="Y69" s="226"/>
      <c r="Z69" s="226"/>
    </row>
    <row r="70" spans="1:26" s="44" customFormat="1" ht="12.75" customHeight="1">
      <c r="A70" s="226" t="s">
        <v>165</v>
      </c>
      <c r="B70" s="226"/>
      <c r="C70" s="226"/>
      <c r="D70" s="226"/>
      <c r="E70" s="226"/>
      <c r="F70" s="226"/>
      <c r="G70" s="226"/>
      <c r="H70" s="226"/>
      <c r="I70" s="226"/>
      <c r="J70" s="226"/>
      <c r="K70" s="226"/>
      <c r="L70" s="226"/>
      <c r="M70" s="226"/>
      <c r="N70" s="226"/>
      <c r="O70" s="226"/>
      <c r="P70" s="226"/>
      <c r="Q70" s="226"/>
      <c r="R70" s="226"/>
      <c r="S70" s="226"/>
      <c r="T70" s="226"/>
      <c r="U70" s="226"/>
      <c r="V70" s="226"/>
      <c r="W70" s="226"/>
      <c r="X70" s="226"/>
      <c r="Y70" s="226"/>
      <c r="Z70" s="226"/>
    </row>
    <row r="71" spans="1:26" s="44" customFormat="1" ht="12.75" customHeight="1">
      <c r="A71" s="226" t="s">
        <v>503</v>
      </c>
      <c r="B71" s="226"/>
      <c r="C71" s="226"/>
      <c r="D71" s="226"/>
      <c r="E71" s="226"/>
      <c r="F71" s="226"/>
      <c r="G71" s="226"/>
      <c r="H71" s="226"/>
      <c r="I71" s="226"/>
      <c r="J71" s="226"/>
      <c r="K71" s="226"/>
      <c r="L71" s="226"/>
      <c r="M71" s="226"/>
      <c r="N71" s="226"/>
      <c r="O71" s="226"/>
      <c r="P71" s="226"/>
      <c r="Q71" s="226"/>
      <c r="R71" s="226"/>
      <c r="S71" s="226"/>
      <c r="T71" s="226"/>
      <c r="U71" s="226"/>
      <c r="V71" s="226"/>
      <c r="W71" s="226"/>
      <c r="X71" s="226"/>
      <c r="Y71" s="226"/>
      <c r="Z71" s="226"/>
    </row>
    <row r="72" spans="1:26" s="44" customFormat="1" ht="12.75" customHeight="1">
      <c r="A72" s="226" t="s">
        <v>504</v>
      </c>
      <c r="B72" s="226"/>
      <c r="C72" s="226"/>
      <c r="D72" s="226"/>
      <c r="E72" s="226"/>
      <c r="F72" s="226"/>
      <c r="G72" s="226"/>
      <c r="H72" s="226"/>
      <c r="I72" s="226"/>
      <c r="J72" s="226"/>
      <c r="K72" s="226"/>
      <c r="L72" s="226"/>
      <c r="M72" s="226"/>
      <c r="N72" s="226"/>
      <c r="O72" s="226"/>
      <c r="P72" s="226"/>
      <c r="Q72" s="226"/>
      <c r="R72" s="226"/>
      <c r="S72" s="226"/>
      <c r="T72" s="226"/>
      <c r="U72" s="226"/>
      <c r="V72" s="226"/>
      <c r="W72" s="226"/>
      <c r="X72" s="226"/>
      <c r="Y72" s="226"/>
      <c r="Z72" s="226"/>
    </row>
    <row r="73" spans="1:26" s="44" customFormat="1" ht="12.75" customHeight="1">
      <c r="A73" s="231" t="s">
        <v>164</v>
      </c>
      <c r="B73" s="231"/>
      <c r="C73" s="231"/>
      <c r="D73" s="231"/>
      <c r="E73" s="231"/>
      <c r="F73" s="231"/>
      <c r="G73" s="231"/>
      <c r="H73" s="231"/>
      <c r="I73" s="231"/>
      <c r="J73" s="231"/>
      <c r="K73" s="231"/>
      <c r="L73" s="231"/>
      <c r="M73" s="231"/>
      <c r="N73" s="231"/>
      <c r="O73" s="231"/>
      <c r="P73" s="231"/>
      <c r="Q73" s="231"/>
      <c r="R73" s="231"/>
      <c r="S73" s="231"/>
      <c r="T73" s="231"/>
      <c r="U73" s="231"/>
      <c r="V73" s="231"/>
      <c r="W73" s="231"/>
      <c r="X73" s="231"/>
      <c r="Y73" s="231"/>
      <c r="Z73" s="231"/>
    </row>
    <row r="74" spans="1:26" s="45" customFormat="1" ht="12.75" customHeight="1">
      <c r="A74" s="226" t="s">
        <v>163</v>
      </c>
      <c r="B74" s="226"/>
      <c r="C74" s="226"/>
      <c r="D74" s="226"/>
      <c r="E74" s="226"/>
      <c r="F74" s="226"/>
      <c r="G74" s="226"/>
      <c r="H74" s="226"/>
      <c r="I74" s="226"/>
      <c r="J74" s="226"/>
      <c r="K74" s="226"/>
      <c r="L74" s="226"/>
      <c r="M74" s="226"/>
      <c r="N74" s="226"/>
      <c r="O74" s="226"/>
      <c r="P74" s="226"/>
      <c r="Q74" s="226"/>
      <c r="R74" s="226"/>
      <c r="S74" s="226"/>
      <c r="T74" s="226"/>
      <c r="U74" s="226"/>
      <c r="V74" s="226"/>
      <c r="W74" s="226"/>
      <c r="X74" s="226"/>
      <c r="Y74" s="226"/>
      <c r="Z74" s="226"/>
    </row>
    <row r="75" spans="1:26" s="44" customFormat="1" ht="12.75" customHeight="1">
      <c r="A75" s="226" t="s">
        <v>505</v>
      </c>
      <c r="B75" s="226"/>
      <c r="C75" s="226"/>
      <c r="D75" s="226"/>
      <c r="E75" s="226"/>
      <c r="F75" s="226"/>
      <c r="G75" s="226"/>
      <c r="H75" s="226"/>
      <c r="I75" s="226"/>
      <c r="J75" s="226"/>
      <c r="K75" s="226"/>
      <c r="L75" s="226"/>
      <c r="M75" s="226"/>
      <c r="N75" s="226"/>
      <c r="O75" s="226"/>
      <c r="P75" s="226"/>
      <c r="Q75" s="226"/>
      <c r="R75" s="226"/>
      <c r="S75" s="226"/>
      <c r="T75" s="226"/>
      <c r="U75" s="226"/>
      <c r="V75" s="226"/>
      <c r="W75" s="226"/>
      <c r="X75" s="226"/>
      <c r="Y75" s="226"/>
      <c r="Z75" s="226"/>
    </row>
    <row r="76" spans="1:26" s="44" customFormat="1" ht="12.75" customHeight="1">
      <c r="A76" s="226" t="s">
        <v>506</v>
      </c>
      <c r="B76" s="226"/>
      <c r="C76" s="226"/>
      <c r="D76" s="226"/>
      <c r="E76" s="226"/>
      <c r="F76" s="226"/>
      <c r="G76" s="226"/>
      <c r="H76" s="226"/>
      <c r="I76" s="226"/>
      <c r="J76" s="226"/>
      <c r="K76" s="226"/>
      <c r="L76" s="226"/>
      <c r="M76" s="226"/>
      <c r="N76" s="226"/>
      <c r="O76" s="226"/>
      <c r="P76" s="226"/>
      <c r="Q76" s="226"/>
      <c r="R76" s="226"/>
      <c r="S76" s="226"/>
      <c r="T76" s="226"/>
      <c r="U76" s="226"/>
      <c r="V76" s="226"/>
      <c r="W76" s="226"/>
      <c r="X76" s="226"/>
      <c r="Y76" s="226"/>
      <c r="Z76" s="226"/>
    </row>
    <row r="77" spans="1:26" s="44" customFormat="1" ht="12.75" customHeight="1">
      <c r="A77" s="230" t="s">
        <v>507</v>
      </c>
      <c r="B77" s="230"/>
      <c r="C77" s="230"/>
      <c r="D77" s="230"/>
      <c r="E77" s="230"/>
      <c r="F77" s="230"/>
      <c r="G77" s="230"/>
      <c r="H77" s="230"/>
      <c r="I77" s="230"/>
      <c r="J77" s="230"/>
      <c r="K77" s="230"/>
      <c r="L77" s="230"/>
      <c r="M77" s="230"/>
      <c r="N77" s="230"/>
      <c r="O77" s="230"/>
      <c r="P77" s="230"/>
      <c r="Q77" s="230"/>
      <c r="R77" s="230"/>
      <c r="S77" s="230"/>
      <c r="T77" s="230"/>
      <c r="U77" s="230"/>
      <c r="V77" s="230"/>
      <c r="W77" s="230"/>
      <c r="X77" s="230"/>
      <c r="Y77" s="230"/>
      <c r="Z77" s="230"/>
    </row>
    <row r="78" spans="1:26" s="44" customFormat="1" ht="12.75" customHeight="1">
      <c r="A78" s="226" t="s">
        <v>162</v>
      </c>
      <c r="B78" s="226"/>
      <c r="C78" s="226"/>
      <c r="D78" s="226"/>
      <c r="E78" s="226"/>
      <c r="F78" s="226"/>
      <c r="G78" s="226"/>
      <c r="H78" s="226"/>
      <c r="I78" s="226"/>
      <c r="J78" s="226"/>
      <c r="K78" s="226"/>
      <c r="L78" s="226"/>
      <c r="M78" s="226"/>
      <c r="N78" s="226"/>
      <c r="O78" s="226"/>
      <c r="P78" s="226"/>
      <c r="Q78" s="226"/>
      <c r="R78" s="226"/>
      <c r="S78" s="226"/>
      <c r="T78" s="226"/>
      <c r="U78" s="226"/>
      <c r="V78" s="226"/>
      <c r="W78" s="226"/>
      <c r="X78" s="226"/>
      <c r="Y78" s="226"/>
      <c r="Z78" s="226"/>
    </row>
    <row r="79" spans="1:26" s="44" customFormat="1" ht="12.75" customHeight="1">
      <c r="A79" s="226" t="s">
        <v>161</v>
      </c>
      <c r="B79" s="226"/>
      <c r="C79" s="226"/>
      <c r="D79" s="226"/>
      <c r="E79" s="226"/>
      <c r="F79" s="226"/>
      <c r="G79" s="226"/>
      <c r="H79" s="226"/>
      <c r="I79" s="226"/>
      <c r="J79" s="226"/>
      <c r="K79" s="226"/>
      <c r="L79" s="226"/>
      <c r="M79" s="226"/>
      <c r="N79" s="226"/>
      <c r="O79" s="226"/>
      <c r="P79" s="226"/>
      <c r="Q79" s="226"/>
      <c r="R79" s="226"/>
      <c r="S79" s="226"/>
      <c r="T79" s="226"/>
      <c r="U79" s="226"/>
      <c r="V79" s="226"/>
      <c r="W79" s="226"/>
      <c r="X79" s="226"/>
      <c r="Y79" s="226"/>
      <c r="Z79" s="226"/>
    </row>
    <row r="80" spans="1:26" s="44" customFormat="1" ht="12.75" customHeight="1">
      <c r="A80" s="226" t="s">
        <v>508</v>
      </c>
      <c r="B80" s="226"/>
      <c r="C80" s="226"/>
      <c r="D80" s="226"/>
      <c r="E80" s="226"/>
      <c r="F80" s="226"/>
      <c r="G80" s="226"/>
      <c r="H80" s="226"/>
      <c r="I80" s="226"/>
      <c r="J80" s="226"/>
      <c r="K80" s="226"/>
      <c r="L80" s="226"/>
      <c r="M80" s="226"/>
      <c r="N80" s="226"/>
      <c r="O80" s="226"/>
      <c r="P80" s="226"/>
      <c r="Q80" s="226"/>
      <c r="R80" s="226"/>
      <c r="S80" s="226"/>
      <c r="T80" s="226"/>
      <c r="U80" s="226"/>
      <c r="V80" s="226"/>
      <c r="W80" s="226"/>
      <c r="X80" s="226"/>
      <c r="Y80" s="226"/>
      <c r="Z80" s="226"/>
    </row>
    <row r="81" spans="1:26" ht="12.75" customHeight="1">
      <c r="A81" s="226" t="s">
        <v>509</v>
      </c>
      <c r="B81" s="226"/>
      <c r="C81" s="226"/>
      <c r="D81" s="226"/>
      <c r="E81" s="226"/>
      <c r="F81" s="226"/>
      <c r="G81" s="226"/>
      <c r="H81" s="226"/>
      <c r="I81" s="226"/>
      <c r="J81" s="226"/>
      <c r="K81" s="226"/>
      <c r="L81" s="226"/>
      <c r="M81" s="226"/>
      <c r="N81" s="226"/>
      <c r="O81" s="226"/>
      <c r="P81" s="226"/>
      <c r="Q81" s="226"/>
      <c r="R81" s="226"/>
      <c r="S81" s="226"/>
      <c r="T81" s="226"/>
      <c r="U81" s="226"/>
      <c r="V81" s="226"/>
      <c r="W81" s="226"/>
      <c r="X81" s="226"/>
      <c r="Y81" s="226"/>
      <c r="Z81" s="226"/>
    </row>
    <row r="82" spans="1:26" ht="12.75" customHeight="1">
      <c r="A82" s="230" t="s">
        <v>510</v>
      </c>
      <c r="B82" s="230"/>
      <c r="C82" s="230"/>
      <c r="D82" s="230"/>
      <c r="E82" s="230"/>
      <c r="F82" s="230"/>
      <c r="G82" s="230"/>
      <c r="H82" s="230"/>
      <c r="I82" s="230"/>
      <c r="J82" s="230"/>
      <c r="K82" s="230"/>
      <c r="L82" s="230"/>
      <c r="M82" s="230"/>
      <c r="N82" s="230"/>
      <c r="O82" s="230"/>
      <c r="P82" s="230"/>
      <c r="Q82" s="230"/>
      <c r="R82" s="230"/>
      <c r="S82" s="230"/>
      <c r="T82" s="230"/>
      <c r="U82" s="230"/>
      <c r="V82" s="230"/>
      <c r="W82" s="230"/>
      <c r="X82" s="230"/>
      <c r="Y82" s="230"/>
      <c r="Z82" s="230"/>
    </row>
    <row r="83" spans="1:26" ht="12.75" customHeight="1">
      <c r="A83" s="226" t="s">
        <v>511</v>
      </c>
      <c r="B83" s="226"/>
      <c r="C83" s="226"/>
      <c r="D83" s="226"/>
      <c r="E83" s="226"/>
      <c r="F83" s="226"/>
      <c r="G83" s="226"/>
      <c r="H83" s="226"/>
      <c r="I83" s="226"/>
      <c r="J83" s="226"/>
      <c r="K83" s="226"/>
      <c r="L83" s="226"/>
      <c r="M83" s="226"/>
      <c r="N83" s="226"/>
      <c r="O83" s="226"/>
      <c r="P83" s="226"/>
      <c r="Q83" s="226"/>
      <c r="R83" s="226"/>
      <c r="S83" s="226"/>
      <c r="T83" s="226"/>
      <c r="U83" s="226"/>
      <c r="V83" s="226"/>
      <c r="W83" s="226"/>
      <c r="X83" s="226"/>
      <c r="Y83" s="226"/>
      <c r="Z83" s="226"/>
    </row>
  </sheetData>
  <mergeCells count="59">
    <mergeCell ref="A38:Z38"/>
    <mergeCell ref="A39:Z39"/>
    <mergeCell ref="A40:Z40"/>
    <mergeCell ref="A41:Z41"/>
    <mergeCell ref="A42:Z42"/>
    <mergeCell ref="A28:Z28"/>
    <mergeCell ref="A29:Z29"/>
    <mergeCell ref="A30:Z30"/>
    <mergeCell ref="A31:Z31"/>
    <mergeCell ref="A37:Z37"/>
    <mergeCell ref="A32:Z32"/>
    <mergeCell ref="A33:Z33"/>
    <mergeCell ref="A34:Z34"/>
    <mergeCell ref="A35:Z35"/>
    <mergeCell ref="A36:Z36"/>
    <mergeCell ref="A43:Z43"/>
    <mergeCell ref="A44:Z44"/>
    <mergeCell ref="A45:Z45"/>
    <mergeCell ref="A46:Z46"/>
    <mergeCell ref="A47:Z47"/>
    <mergeCell ref="A48:Z48"/>
    <mergeCell ref="A49:Z49"/>
    <mergeCell ref="A50:Z50"/>
    <mergeCell ref="A51:Z51"/>
    <mergeCell ref="A52:Z52"/>
    <mergeCell ref="A53:Z53"/>
    <mergeCell ref="A54:Z54"/>
    <mergeCell ref="A55:Z55"/>
    <mergeCell ref="A56:Z56"/>
    <mergeCell ref="A57:Z57"/>
    <mergeCell ref="A58:Z58"/>
    <mergeCell ref="A59:Z59"/>
    <mergeCell ref="A60:Z60"/>
    <mergeCell ref="A61:Z61"/>
    <mergeCell ref="A62:Z62"/>
    <mergeCell ref="A70:Z70"/>
    <mergeCell ref="A71:Z71"/>
    <mergeCell ref="A72:Z72"/>
    <mergeCell ref="A63:Z63"/>
    <mergeCell ref="A64:Z64"/>
    <mergeCell ref="A65:Z65"/>
    <mergeCell ref="A66:Z66"/>
    <mergeCell ref="A67:Z67"/>
    <mergeCell ref="A83:Z83"/>
    <mergeCell ref="A1:AK1"/>
    <mergeCell ref="A26:Z26"/>
    <mergeCell ref="A27:Z27"/>
    <mergeCell ref="A78:Z78"/>
    <mergeCell ref="A79:Z79"/>
    <mergeCell ref="A80:Z80"/>
    <mergeCell ref="A81:Z81"/>
    <mergeCell ref="A82:Z82"/>
    <mergeCell ref="A73:Z73"/>
    <mergeCell ref="A74:Z74"/>
    <mergeCell ref="A75:Z75"/>
    <mergeCell ref="A76:Z76"/>
    <mergeCell ref="A77:Z77"/>
    <mergeCell ref="A68:Z68"/>
    <mergeCell ref="A69:Z69"/>
  </mergeCells>
  <pageMargins left="0.25" right="0.25" top="0.25" bottom="0.25" header="0.3" footer="0.3"/>
  <pageSetup scale="42" fitToHeight="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1"/>
  <sheetViews>
    <sheetView workbookViewId="0"/>
  </sheetViews>
  <sheetFormatPr defaultRowHeight="15"/>
  <cols>
    <col min="1" max="1" width="26.85546875" customWidth="1"/>
    <col min="2" max="2" width="16.7109375" customWidth="1"/>
    <col min="3" max="3" width="12.5703125" customWidth="1"/>
    <col min="4" max="4" width="14.140625" customWidth="1"/>
    <col min="5" max="5" width="16.7109375" customWidth="1"/>
    <col min="6" max="6" width="16.28515625" customWidth="1"/>
    <col min="7" max="7" width="15.85546875" customWidth="1"/>
  </cols>
  <sheetData>
    <row r="1" spans="1:7">
      <c r="A1" s="1" t="s">
        <v>137</v>
      </c>
    </row>
    <row r="2" spans="1:7">
      <c r="A2" s="1"/>
    </row>
    <row r="3" spans="1:7" ht="45">
      <c r="A3" s="5" t="s">
        <v>138</v>
      </c>
      <c r="B3" s="5" t="s">
        <v>139</v>
      </c>
      <c r="C3" s="5" t="s">
        <v>140</v>
      </c>
      <c r="D3" s="5" t="s">
        <v>141</v>
      </c>
      <c r="E3" s="5" t="s">
        <v>142</v>
      </c>
      <c r="F3" s="5" t="s">
        <v>143</v>
      </c>
      <c r="G3" s="5" t="s">
        <v>144</v>
      </c>
    </row>
    <row r="4" spans="1:7">
      <c r="A4" t="s">
        <v>145</v>
      </c>
      <c r="B4" s="6">
        <v>21611</v>
      </c>
      <c r="C4" s="6">
        <v>244203</v>
      </c>
      <c r="D4" s="6">
        <v>3584</v>
      </c>
      <c r="E4">
        <v>11.3</v>
      </c>
      <c r="F4">
        <v>5.7</v>
      </c>
      <c r="G4">
        <v>2.4</v>
      </c>
    </row>
    <row r="5" spans="1:7">
      <c r="A5" t="s">
        <v>146</v>
      </c>
      <c r="B5" s="6">
        <v>10147</v>
      </c>
      <c r="C5" s="6">
        <v>121865</v>
      </c>
      <c r="D5" s="6">
        <v>2035</v>
      </c>
      <c r="E5">
        <v>12</v>
      </c>
      <c r="F5">
        <v>6</v>
      </c>
      <c r="G5">
        <v>2.7</v>
      </c>
    </row>
    <row r="6" spans="1:7">
      <c r="A6" t="s">
        <v>147</v>
      </c>
      <c r="B6">
        <v>735</v>
      </c>
      <c r="C6" s="6">
        <v>8137</v>
      </c>
      <c r="D6">
        <v>154</v>
      </c>
      <c r="E6">
        <v>11.1</v>
      </c>
      <c r="F6">
        <v>7.8</v>
      </c>
      <c r="G6">
        <v>2.4</v>
      </c>
    </row>
    <row r="7" spans="1:7">
      <c r="A7" t="s">
        <v>148</v>
      </c>
      <c r="B7">
        <v>854</v>
      </c>
      <c r="C7" s="6">
        <v>12694</v>
      </c>
      <c r="D7">
        <v>220</v>
      </c>
      <c r="E7">
        <v>14.9</v>
      </c>
      <c r="F7">
        <v>4.0999999999999996</v>
      </c>
      <c r="G7">
        <v>3.8</v>
      </c>
    </row>
    <row r="8" spans="1:7">
      <c r="A8" t="s">
        <v>149</v>
      </c>
      <c r="B8" s="6">
        <v>1704</v>
      </c>
      <c r="C8" s="6">
        <v>18728</v>
      </c>
      <c r="D8">
        <v>212</v>
      </c>
      <c r="E8">
        <v>11</v>
      </c>
      <c r="F8">
        <v>4.7</v>
      </c>
      <c r="G8">
        <v>2.2999999999999998</v>
      </c>
    </row>
    <row r="9" spans="1:7">
      <c r="A9" t="s">
        <v>150</v>
      </c>
      <c r="B9" s="6">
        <v>2508</v>
      </c>
      <c r="C9" s="6">
        <v>21580</v>
      </c>
      <c r="D9">
        <v>362</v>
      </c>
      <c r="E9">
        <v>8.6</v>
      </c>
      <c r="F9">
        <v>6.3</v>
      </c>
      <c r="G9">
        <v>2.2999999999999998</v>
      </c>
    </row>
    <row r="10" spans="1:7">
      <c r="A10" t="s">
        <v>151</v>
      </c>
      <c r="B10" s="6">
        <v>3916</v>
      </c>
      <c r="C10" s="6">
        <v>43741</v>
      </c>
      <c r="D10">
        <v>280</v>
      </c>
      <c r="E10">
        <v>11.2</v>
      </c>
      <c r="F10">
        <v>4.5999999999999996</v>
      </c>
      <c r="G10">
        <v>1.3</v>
      </c>
    </row>
    <row r="11" spans="1:7">
      <c r="A11" t="s">
        <v>152</v>
      </c>
      <c r="B11" s="6">
        <v>1747</v>
      </c>
      <c r="C11" s="6">
        <v>17458</v>
      </c>
      <c r="D11">
        <v>322</v>
      </c>
      <c r="E11">
        <v>10</v>
      </c>
      <c r="F11">
        <v>6.8</v>
      </c>
      <c r="G11">
        <v>2.4</v>
      </c>
    </row>
  </sheetData>
  <pageMargins left="0.7" right="0.7" top="0.75" bottom="0.75" header="0.3" footer="0.3"/>
  <pageSetup orientation="portrait" horizontalDpi="1200" verticalDpi="12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A6E8C-F9E2-4E8C-A2D7-0160180E2354}">
  <dimension ref="A1:AX71"/>
  <sheetViews>
    <sheetView workbookViewId="0"/>
  </sheetViews>
  <sheetFormatPr defaultRowHeight="15"/>
  <cols>
    <col min="14" max="14" width="9.140625" style="92"/>
    <col min="15" max="23" width="0" hidden="1" customWidth="1"/>
    <col min="24" max="24" width="11.42578125" style="92" customWidth="1"/>
    <col min="25" max="45" width="0" hidden="1" customWidth="1"/>
    <col min="46" max="46" width="13.5703125" style="92" customWidth="1"/>
  </cols>
  <sheetData>
    <row r="1" spans="1:50" ht="79.5">
      <c r="A1" s="72" t="s">
        <v>672</v>
      </c>
      <c r="B1" s="72" t="s">
        <v>673</v>
      </c>
      <c r="C1" s="72" t="s">
        <v>674</v>
      </c>
      <c r="D1" s="72" t="s">
        <v>675</v>
      </c>
      <c r="E1" s="72" t="s">
        <v>676</v>
      </c>
      <c r="F1" s="72" t="s">
        <v>677</v>
      </c>
      <c r="G1" s="72" t="s">
        <v>678</v>
      </c>
      <c r="H1" s="72" t="s">
        <v>679</v>
      </c>
      <c r="I1" s="72" t="s">
        <v>680</v>
      </c>
      <c r="J1" s="72" t="s">
        <v>681</v>
      </c>
      <c r="K1" s="72" t="s">
        <v>682</v>
      </c>
      <c r="L1" s="72" t="s">
        <v>683</v>
      </c>
      <c r="M1" s="72" t="s">
        <v>684</v>
      </c>
      <c r="N1" s="73" t="s">
        <v>685</v>
      </c>
      <c r="O1" s="72" t="s">
        <v>686</v>
      </c>
      <c r="P1" s="72" t="s">
        <v>687</v>
      </c>
      <c r="Q1" s="72" t="s">
        <v>688</v>
      </c>
      <c r="R1" s="72" t="s">
        <v>689</v>
      </c>
      <c r="S1" s="72" t="s">
        <v>690</v>
      </c>
      <c r="T1" s="72" t="s">
        <v>691</v>
      </c>
      <c r="U1" s="72" t="s">
        <v>692</v>
      </c>
      <c r="V1" s="72" t="s">
        <v>693</v>
      </c>
      <c r="W1" s="72" t="s">
        <v>694</v>
      </c>
      <c r="X1" s="74" t="s">
        <v>695</v>
      </c>
      <c r="Y1" s="72" t="s">
        <v>696</v>
      </c>
      <c r="Z1" s="72" t="s">
        <v>697</v>
      </c>
      <c r="AA1" s="72" t="s">
        <v>698</v>
      </c>
      <c r="AB1" s="72" t="s">
        <v>699</v>
      </c>
      <c r="AC1" s="75" t="s">
        <v>700</v>
      </c>
      <c r="AD1" s="76" t="s">
        <v>701</v>
      </c>
      <c r="AE1" s="75" t="s">
        <v>702</v>
      </c>
      <c r="AF1" s="76" t="s">
        <v>703</v>
      </c>
      <c r="AG1" s="75" t="s">
        <v>704</v>
      </c>
      <c r="AH1" s="76" t="s">
        <v>705</v>
      </c>
      <c r="AI1" s="75" t="s">
        <v>706</v>
      </c>
      <c r="AJ1" s="76" t="s">
        <v>707</v>
      </c>
      <c r="AK1" s="75" t="s">
        <v>708</v>
      </c>
      <c r="AL1" s="76" t="s">
        <v>709</v>
      </c>
      <c r="AM1" s="75" t="s">
        <v>710</v>
      </c>
      <c r="AN1" s="76" t="s">
        <v>711</v>
      </c>
      <c r="AO1" s="75" t="s">
        <v>712</v>
      </c>
      <c r="AP1" s="76" t="s">
        <v>713</v>
      </c>
      <c r="AQ1" s="75" t="s">
        <v>714</v>
      </c>
      <c r="AR1" s="76" t="s">
        <v>715</v>
      </c>
      <c r="AS1" s="75" t="s">
        <v>716</v>
      </c>
      <c r="AT1" s="77" t="s">
        <v>717</v>
      </c>
      <c r="AU1" s="78" t="s">
        <v>718</v>
      </c>
      <c r="AV1" s="79" t="s">
        <v>719</v>
      </c>
      <c r="AW1" s="78" t="s">
        <v>720</v>
      </c>
      <c r="AX1" s="72" t="s">
        <v>721</v>
      </c>
    </row>
    <row r="2" spans="1:50">
      <c r="A2" s="80" t="s">
        <v>722</v>
      </c>
      <c r="B2" s="80" t="s">
        <v>723</v>
      </c>
      <c r="C2" s="80" t="s">
        <v>724</v>
      </c>
      <c r="D2" s="81">
        <v>2008</v>
      </c>
      <c r="E2" s="82">
        <v>20008</v>
      </c>
      <c r="F2" s="80" t="s">
        <v>725</v>
      </c>
      <c r="G2" s="80" t="s">
        <v>726</v>
      </c>
      <c r="H2" s="83">
        <v>18351295</v>
      </c>
      <c r="I2" s="84">
        <v>10427</v>
      </c>
      <c r="J2" s="80" t="s">
        <v>727</v>
      </c>
      <c r="K2" s="80" t="s">
        <v>728</v>
      </c>
      <c r="L2" s="85">
        <v>5413</v>
      </c>
      <c r="M2" s="80"/>
      <c r="N2" s="86">
        <v>527</v>
      </c>
      <c r="O2" s="84"/>
      <c r="P2" s="87">
        <v>18.215599999999998</v>
      </c>
      <c r="Q2" s="84"/>
      <c r="R2" s="87">
        <v>4.2031999999999998</v>
      </c>
      <c r="S2" s="84"/>
      <c r="T2" s="87">
        <v>62.403700000000001</v>
      </c>
      <c r="U2" s="84"/>
      <c r="V2" s="83">
        <v>376401985</v>
      </c>
      <c r="W2" s="84"/>
      <c r="X2" s="88">
        <v>334949157</v>
      </c>
      <c r="Y2" s="84"/>
      <c r="Z2" s="83">
        <v>324782077</v>
      </c>
      <c r="AA2" s="84"/>
      <c r="AB2" s="83">
        <v>10167080</v>
      </c>
      <c r="AC2" s="84"/>
      <c r="AD2" s="83">
        <v>18782357</v>
      </c>
      <c r="AE2" s="84"/>
      <c r="AF2" s="83">
        <v>17829918</v>
      </c>
      <c r="AG2" s="84"/>
      <c r="AH2" s="83">
        <v>952439</v>
      </c>
      <c r="AI2" s="84"/>
      <c r="AJ2" s="83">
        <v>36770774</v>
      </c>
      <c r="AK2" s="84"/>
      <c r="AL2" s="83">
        <v>35625281</v>
      </c>
      <c r="AM2" s="84"/>
      <c r="AN2" s="83">
        <v>2060234</v>
      </c>
      <c r="AO2" s="84"/>
      <c r="AP2" s="89">
        <v>1955760</v>
      </c>
      <c r="AQ2" s="84"/>
      <c r="AR2" s="83">
        <v>1112653405</v>
      </c>
      <c r="AS2" s="84"/>
      <c r="AT2" s="88">
        <v>4676670633</v>
      </c>
      <c r="AU2" s="80"/>
      <c r="AV2" s="90">
        <v>493.68</v>
      </c>
      <c r="AW2" s="80" t="s">
        <v>103</v>
      </c>
      <c r="AX2" s="80" t="s">
        <v>729</v>
      </c>
    </row>
    <row r="3" spans="1:50">
      <c r="A3" s="80" t="s">
        <v>730</v>
      </c>
      <c r="B3" s="80" t="s">
        <v>731</v>
      </c>
      <c r="C3" s="80" t="s">
        <v>732</v>
      </c>
      <c r="D3" s="81">
        <v>2080</v>
      </c>
      <c r="E3" s="82">
        <v>20080</v>
      </c>
      <c r="F3" s="80" t="s">
        <v>733</v>
      </c>
      <c r="G3" s="80" t="s">
        <v>726</v>
      </c>
      <c r="H3" s="83">
        <v>18351295</v>
      </c>
      <c r="I3" s="84">
        <v>3646</v>
      </c>
      <c r="J3" s="80" t="s">
        <v>734</v>
      </c>
      <c r="K3" s="80" t="s">
        <v>735</v>
      </c>
      <c r="L3" s="85">
        <v>42</v>
      </c>
      <c r="M3" s="80"/>
      <c r="N3" s="86">
        <v>20</v>
      </c>
      <c r="O3" s="84"/>
      <c r="P3" s="87">
        <v>16.576499999999999</v>
      </c>
      <c r="Q3" s="84"/>
      <c r="R3" s="87">
        <v>3.7544</v>
      </c>
      <c r="S3" s="84"/>
      <c r="T3" s="87">
        <v>104.70910000000001</v>
      </c>
      <c r="U3" s="84"/>
      <c r="V3" s="83">
        <v>1809860</v>
      </c>
      <c r="W3" s="84"/>
      <c r="X3" s="88">
        <v>1929113</v>
      </c>
      <c r="Y3" s="84"/>
      <c r="Z3" s="83">
        <v>1893039</v>
      </c>
      <c r="AA3" s="84"/>
      <c r="AB3" s="83">
        <v>36074</v>
      </c>
      <c r="AC3" s="84"/>
      <c r="AD3" s="83">
        <v>115699</v>
      </c>
      <c r="AE3" s="84"/>
      <c r="AF3" s="83">
        <v>114200</v>
      </c>
      <c r="AG3" s="84"/>
      <c r="AH3" s="83">
        <v>1499</v>
      </c>
      <c r="AI3" s="84"/>
      <c r="AJ3" s="83">
        <v>1096779</v>
      </c>
      <c r="AK3" s="84"/>
      <c r="AL3" s="83">
        <v>1076347</v>
      </c>
      <c r="AM3" s="84"/>
      <c r="AN3" s="83">
        <v>64689</v>
      </c>
      <c r="AO3" s="84"/>
      <c r="AP3" s="89">
        <v>63804</v>
      </c>
      <c r="AQ3" s="84"/>
      <c r="AR3" s="83">
        <v>11957780</v>
      </c>
      <c r="AS3" s="84"/>
      <c r="AT3" s="88">
        <v>44894834</v>
      </c>
      <c r="AU3" s="80"/>
      <c r="AV3" s="90">
        <v>34.08</v>
      </c>
      <c r="AW3" s="80" t="s">
        <v>103</v>
      </c>
      <c r="AX3" s="80" t="s">
        <v>729</v>
      </c>
    </row>
    <row r="4" spans="1:50">
      <c r="A4" s="80" t="s">
        <v>730</v>
      </c>
      <c r="B4" s="80" t="s">
        <v>731</v>
      </c>
      <c r="C4" s="80" t="s">
        <v>732</v>
      </c>
      <c r="D4" s="81">
        <v>2080</v>
      </c>
      <c r="E4" s="82">
        <v>20080</v>
      </c>
      <c r="F4" s="80" t="s">
        <v>733</v>
      </c>
      <c r="G4" s="80" t="s">
        <v>726</v>
      </c>
      <c r="H4" s="83">
        <v>18351295</v>
      </c>
      <c r="I4" s="84">
        <v>3646</v>
      </c>
      <c r="J4" s="80" t="s">
        <v>734</v>
      </c>
      <c r="K4" s="80" t="s">
        <v>728</v>
      </c>
      <c r="L4" s="85">
        <v>15</v>
      </c>
      <c r="M4" s="80"/>
      <c r="N4" s="86">
        <v>15</v>
      </c>
      <c r="O4" s="84"/>
      <c r="P4" s="87">
        <v>9.3912999999999993</v>
      </c>
      <c r="Q4" s="84"/>
      <c r="R4" s="87">
        <v>2.2517</v>
      </c>
      <c r="S4" s="84"/>
      <c r="T4" s="87">
        <v>88.662099999999995</v>
      </c>
      <c r="U4" s="84"/>
      <c r="V4" s="83">
        <v>458806</v>
      </c>
      <c r="W4" s="84"/>
      <c r="X4" s="88">
        <v>481308</v>
      </c>
      <c r="Y4" s="84"/>
      <c r="Z4" s="83">
        <v>470004</v>
      </c>
      <c r="AA4" s="84"/>
      <c r="AB4" s="83">
        <v>11304</v>
      </c>
      <c r="AC4" s="84"/>
      <c r="AD4" s="83">
        <v>55608</v>
      </c>
      <c r="AE4" s="84"/>
      <c r="AF4" s="83">
        <v>50047</v>
      </c>
      <c r="AG4" s="84"/>
      <c r="AH4" s="83">
        <v>5561</v>
      </c>
      <c r="AI4" s="84"/>
      <c r="AJ4" s="83">
        <v>481308</v>
      </c>
      <c r="AK4" s="84"/>
      <c r="AL4" s="83">
        <v>470004</v>
      </c>
      <c r="AM4" s="84"/>
      <c r="AN4" s="83">
        <v>55608</v>
      </c>
      <c r="AO4" s="84"/>
      <c r="AP4" s="89">
        <v>50047</v>
      </c>
      <c r="AQ4" s="84"/>
      <c r="AR4" s="83">
        <v>4437270</v>
      </c>
      <c r="AS4" s="84"/>
      <c r="AT4" s="88">
        <v>9991369</v>
      </c>
      <c r="AU4" s="80"/>
      <c r="AV4" s="90">
        <v>12.42</v>
      </c>
      <c r="AW4" s="80" t="s">
        <v>103</v>
      </c>
      <c r="AX4" s="80" t="s">
        <v>729</v>
      </c>
    </row>
    <row r="5" spans="1:50">
      <c r="A5" s="80" t="s">
        <v>730</v>
      </c>
      <c r="B5" s="80" t="s">
        <v>731</v>
      </c>
      <c r="C5" s="80" t="s">
        <v>732</v>
      </c>
      <c r="D5" s="81">
        <v>2080</v>
      </c>
      <c r="E5" s="82">
        <v>20080</v>
      </c>
      <c r="F5" s="80" t="s">
        <v>733</v>
      </c>
      <c r="G5" s="80" t="s">
        <v>726</v>
      </c>
      <c r="H5" s="83">
        <v>18351295</v>
      </c>
      <c r="I5" s="84">
        <v>3646</v>
      </c>
      <c r="J5" s="80" t="s">
        <v>736</v>
      </c>
      <c r="K5" s="80" t="s">
        <v>728</v>
      </c>
      <c r="L5" s="85">
        <v>904</v>
      </c>
      <c r="M5" s="80"/>
      <c r="N5" s="86">
        <v>105</v>
      </c>
      <c r="O5" s="84"/>
      <c r="P5" s="87">
        <v>32.758000000000003</v>
      </c>
      <c r="Q5" s="84"/>
      <c r="R5" s="87">
        <v>22.010100000000001</v>
      </c>
      <c r="S5" s="84"/>
      <c r="T5" s="87">
        <v>40.014699999999998</v>
      </c>
      <c r="U5" s="84"/>
      <c r="V5" s="83">
        <v>54847772</v>
      </c>
      <c r="W5" s="84"/>
      <c r="X5" s="88">
        <v>57155030</v>
      </c>
      <c r="Y5" s="84"/>
      <c r="Z5" s="83">
        <v>54301350</v>
      </c>
      <c r="AA5" s="84"/>
      <c r="AB5" s="83">
        <v>2853680</v>
      </c>
      <c r="AC5" s="84"/>
      <c r="AD5" s="83">
        <v>1953118</v>
      </c>
      <c r="AE5" s="84"/>
      <c r="AF5" s="83">
        <v>1657653</v>
      </c>
      <c r="AG5" s="84"/>
      <c r="AH5" s="83">
        <v>295465</v>
      </c>
      <c r="AI5" s="84"/>
      <c r="AJ5" s="83">
        <v>8422625</v>
      </c>
      <c r="AK5" s="84"/>
      <c r="AL5" s="83">
        <v>7942892</v>
      </c>
      <c r="AM5" s="84"/>
      <c r="AN5" s="83">
        <v>287491</v>
      </c>
      <c r="AO5" s="84"/>
      <c r="AP5" s="89">
        <v>248272</v>
      </c>
      <c r="AQ5" s="84"/>
      <c r="AR5" s="83">
        <v>66330426</v>
      </c>
      <c r="AS5" s="84"/>
      <c r="AT5" s="88">
        <v>1459936301</v>
      </c>
      <c r="AU5" s="80"/>
      <c r="AV5" s="90">
        <v>920.4</v>
      </c>
      <c r="AW5" s="80" t="s">
        <v>103</v>
      </c>
      <c r="AX5" s="80" t="s">
        <v>729</v>
      </c>
    </row>
    <row r="6" spans="1:50">
      <c r="A6" s="80" t="s">
        <v>737</v>
      </c>
      <c r="B6" s="80" t="s">
        <v>738</v>
      </c>
      <c r="C6" s="80" t="s">
        <v>739</v>
      </c>
      <c r="D6" s="81">
        <v>9154</v>
      </c>
      <c r="E6" s="82">
        <v>90154</v>
      </c>
      <c r="F6" s="80" t="s">
        <v>740</v>
      </c>
      <c r="G6" s="80" t="s">
        <v>726</v>
      </c>
      <c r="H6" s="83">
        <v>12150996</v>
      </c>
      <c r="I6" s="84">
        <v>3482</v>
      </c>
      <c r="J6" s="80" t="s">
        <v>734</v>
      </c>
      <c r="K6" s="80" t="s">
        <v>728</v>
      </c>
      <c r="L6" s="85">
        <v>203</v>
      </c>
      <c r="M6" s="80"/>
      <c r="N6" s="86">
        <v>74</v>
      </c>
      <c r="O6" s="84"/>
      <c r="P6" s="87">
        <v>20.558</v>
      </c>
      <c r="Q6" s="84"/>
      <c r="R6" s="87">
        <v>7.5712999999999999</v>
      </c>
      <c r="S6" s="84"/>
      <c r="T6" s="87">
        <v>55.704000000000001</v>
      </c>
      <c r="U6" s="84"/>
      <c r="V6" s="83">
        <v>15592469</v>
      </c>
      <c r="W6" s="84"/>
      <c r="X6" s="88">
        <v>16090545</v>
      </c>
      <c r="Y6" s="84"/>
      <c r="Z6" s="83">
        <v>15536688</v>
      </c>
      <c r="AA6" s="84"/>
      <c r="AB6" s="83">
        <v>553857</v>
      </c>
      <c r="AC6" s="84"/>
      <c r="AD6" s="83">
        <v>792734</v>
      </c>
      <c r="AE6" s="84"/>
      <c r="AF6" s="83">
        <v>755749</v>
      </c>
      <c r="AG6" s="84"/>
      <c r="AH6" s="83">
        <v>36985</v>
      </c>
      <c r="AI6" s="84"/>
      <c r="AJ6" s="83">
        <v>6384468</v>
      </c>
      <c r="AK6" s="84"/>
      <c r="AL6" s="83">
        <v>6156417</v>
      </c>
      <c r="AM6" s="84"/>
      <c r="AN6" s="83">
        <v>309440</v>
      </c>
      <c r="AO6" s="84"/>
      <c r="AP6" s="89">
        <v>294220</v>
      </c>
      <c r="AQ6" s="84"/>
      <c r="AR6" s="83">
        <v>42098255</v>
      </c>
      <c r="AS6" s="84"/>
      <c r="AT6" s="88">
        <v>318737668</v>
      </c>
      <c r="AU6" s="80"/>
      <c r="AV6" s="90">
        <v>171.92</v>
      </c>
      <c r="AW6" s="80" t="s">
        <v>103</v>
      </c>
      <c r="AX6" s="80" t="s">
        <v>729</v>
      </c>
    </row>
    <row r="7" spans="1:50">
      <c r="A7" s="80" t="s">
        <v>737</v>
      </c>
      <c r="B7" s="80" t="s">
        <v>738</v>
      </c>
      <c r="C7" s="80" t="s">
        <v>739</v>
      </c>
      <c r="D7" s="81">
        <v>9154</v>
      </c>
      <c r="E7" s="82">
        <v>90154</v>
      </c>
      <c r="F7" s="80" t="s">
        <v>740</v>
      </c>
      <c r="G7" s="80" t="s">
        <v>726</v>
      </c>
      <c r="H7" s="83">
        <v>12150996</v>
      </c>
      <c r="I7" s="84">
        <v>3482</v>
      </c>
      <c r="J7" s="80" t="s">
        <v>727</v>
      </c>
      <c r="K7" s="80" t="s">
        <v>728</v>
      </c>
      <c r="L7" s="85">
        <v>68</v>
      </c>
      <c r="M7" s="80"/>
      <c r="N7" s="86">
        <v>13</v>
      </c>
      <c r="O7" s="84"/>
      <c r="P7" s="87">
        <v>21.8993</v>
      </c>
      <c r="Q7" s="84"/>
      <c r="R7" s="87">
        <v>4.8391999999999999</v>
      </c>
      <c r="S7" s="84"/>
      <c r="T7" s="87">
        <v>108.40730000000001</v>
      </c>
      <c r="U7" s="84"/>
      <c r="V7" s="83">
        <v>6821561</v>
      </c>
      <c r="W7" s="84"/>
      <c r="X7" s="88">
        <v>6973555</v>
      </c>
      <c r="Y7" s="84"/>
      <c r="Z7" s="83">
        <v>6801301</v>
      </c>
      <c r="AA7" s="84"/>
      <c r="AB7" s="83">
        <v>172254</v>
      </c>
      <c r="AC7" s="84"/>
      <c r="AD7" s="83">
        <v>327668</v>
      </c>
      <c r="AE7" s="84"/>
      <c r="AF7" s="83">
        <v>310572</v>
      </c>
      <c r="AG7" s="84"/>
      <c r="AH7" s="83">
        <v>17096</v>
      </c>
      <c r="AI7" s="84"/>
      <c r="AJ7" s="83">
        <v>1383514</v>
      </c>
      <c r="AK7" s="84"/>
      <c r="AL7" s="83">
        <v>1350454</v>
      </c>
      <c r="AM7" s="84"/>
      <c r="AN7" s="83">
        <v>66480</v>
      </c>
      <c r="AO7" s="84"/>
      <c r="AP7" s="89">
        <v>63158</v>
      </c>
      <c r="AQ7" s="84"/>
      <c r="AR7" s="83">
        <v>33668265</v>
      </c>
      <c r="AS7" s="84"/>
      <c r="AT7" s="88">
        <v>162927528</v>
      </c>
      <c r="AU7" s="80"/>
      <c r="AV7" s="90">
        <v>31.9</v>
      </c>
      <c r="AW7" s="80" t="s">
        <v>103</v>
      </c>
      <c r="AX7" s="80" t="s">
        <v>729</v>
      </c>
    </row>
    <row r="8" spans="1:50">
      <c r="A8" s="80" t="s">
        <v>741</v>
      </c>
      <c r="B8" s="80" t="s">
        <v>742</v>
      </c>
      <c r="C8" s="80" t="s">
        <v>743</v>
      </c>
      <c r="D8" s="81">
        <v>3030</v>
      </c>
      <c r="E8" s="82">
        <v>30030</v>
      </c>
      <c r="F8" s="80" t="s">
        <v>740</v>
      </c>
      <c r="G8" s="80" t="s">
        <v>726</v>
      </c>
      <c r="H8" s="83">
        <v>4586770</v>
      </c>
      <c r="I8" s="84">
        <v>3304</v>
      </c>
      <c r="J8" s="80" t="s">
        <v>727</v>
      </c>
      <c r="K8" s="80" t="s">
        <v>728</v>
      </c>
      <c r="L8" s="85">
        <v>998</v>
      </c>
      <c r="M8" s="80"/>
      <c r="N8" s="86">
        <v>129</v>
      </c>
      <c r="O8" s="84"/>
      <c r="P8" s="87">
        <v>23.3386</v>
      </c>
      <c r="Q8" s="84"/>
      <c r="R8" s="87">
        <v>5.6486999999999998</v>
      </c>
      <c r="S8" s="84"/>
      <c r="T8" s="87">
        <v>51.016399999999997</v>
      </c>
      <c r="U8" s="84"/>
      <c r="V8" s="83">
        <v>81860566</v>
      </c>
      <c r="W8" s="84"/>
      <c r="X8" s="88">
        <v>82234530</v>
      </c>
      <c r="Y8" s="84"/>
      <c r="Z8" s="83">
        <v>79847615</v>
      </c>
      <c r="AA8" s="84"/>
      <c r="AB8" s="83">
        <v>2386915</v>
      </c>
      <c r="AC8" s="84"/>
      <c r="AD8" s="83">
        <v>3524685</v>
      </c>
      <c r="AE8" s="84"/>
      <c r="AF8" s="83">
        <v>3421264</v>
      </c>
      <c r="AG8" s="84"/>
      <c r="AH8" s="83">
        <v>103421</v>
      </c>
      <c r="AI8" s="84"/>
      <c r="AJ8" s="83">
        <v>11770449</v>
      </c>
      <c r="AK8" s="84"/>
      <c r="AL8" s="83">
        <v>11432619</v>
      </c>
      <c r="AM8" s="84"/>
      <c r="AN8" s="83">
        <v>505929</v>
      </c>
      <c r="AO8" s="84"/>
      <c r="AP8" s="89">
        <v>489793</v>
      </c>
      <c r="AQ8" s="84"/>
      <c r="AR8" s="83">
        <v>174540714</v>
      </c>
      <c r="AS8" s="84"/>
      <c r="AT8" s="88">
        <v>985922295</v>
      </c>
      <c r="AU8" s="80"/>
      <c r="AV8" s="90">
        <v>234.2</v>
      </c>
      <c r="AW8" s="80" t="s">
        <v>103</v>
      </c>
      <c r="AX8" s="80" t="s">
        <v>729</v>
      </c>
    </row>
    <row r="9" spans="1:50">
      <c r="A9" s="80" t="s">
        <v>744</v>
      </c>
      <c r="B9" s="80" t="s">
        <v>745</v>
      </c>
      <c r="C9" s="80" t="s">
        <v>746</v>
      </c>
      <c r="D9" s="81">
        <v>5066</v>
      </c>
      <c r="E9" s="82">
        <v>50066</v>
      </c>
      <c r="F9" s="80" t="s">
        <v>740</v>
      </c>
      <c r="G9" s="80" t="s">
        <v>726</v>
      </c>
      <c r="H9" s="83">
        <v>8608208</v>
      </c>
      <c r="I9" s="84">
        <v>2703</v>
      </c>
      <c r="J9" s="80" t="s">
        <v>727</v>
      </c>
      <c r="K9" s="80" t="s">
        <v>728</v>
      </c>
      <c r="L9" s="85">
        <v>1148</v>
      </c>
      <c r="M9" s="80"/>
      <c r="N9" s="86">
        <v>158</v>
      </c>
      <c r="O9" s="84"/>
      <c r="P9" s="87">
        <v>18.0276</v>
      </c>
      <c r="Q9" s="84"/>
      <c r="R9" s="87">
        <v>6.3144</v>
      </c>
      <c r="S9" s="84" t="s">
        <v>747</v>
      </c>
      <c r="T9" s="87">
        <v>19.723500000000001</v>
      </c>
      <c r="U9" s="84"/>
      <c r="V9" s="83">
        <v>82996946</v>
      </c>
      <c r="W9" s="84"/>
      <c r="X9" s="88">
        <v>70519745</v>
      </c>
      <c r="Y9" s="84"/>
      <c r="Z9" s="83">
        <v>69510641</v>
      </c>
      <c r="AA9" s="84"/>
      <c r="AB9" s="83">
        <v>1009104</v>
      </c>
      <c r="AC9" s="84"/>
      <c r="AD9" s="83">
        <v>4177041</v>
      </c>
      <c r="AE9" s="84"/>
      <c r="AF9" s="83">
        <v>3855798</v>
      </c>
      <c r="AG9" s="84"/>
      <c r="AH9" s="83">
        <v>321243</v>
      </c>
      <c r="AI9" s="84"/>
      <c r="AJ9" s="83">
        <v>10533049</v>
      </c>
      <c r="AK9" s="84"/>
      <c r="AL9" s="83">
        <v>10388783</v>
      </c>
      <c r="AM9" s="84"/>
      <c r="AN9" s="83">
        <v>631507</v>
      </c>
      <c r="AO9" s="84"/>
      <c r="AP9" s="89">
        <v>582079</v>
      </c>
      <c r="AQ9" s="84"/>
      <c r="AR9" s="83">
        <v>76049871</v>
      </c>
      <c r="AS9" s="84"/>
      <c r="AT9" s="88">
        <v>480210760</v>
      </c>
      <c r="AU9" s="80" t="s">
        <v>747</v>
      </c>
      <c r="AV9" s="90">
        <v>207.84</v>
      </c>
      <c r="AW9" s="80" t="s">
        <v>103</v>
      </c>
      <c r="AX9" s="80" t="s">
        <v>748</v>
      </c>
    </row>
    <row r="10" spans="1:50">
      <c r="A10" s="80" t="s">
        <v>749</v>
      </c>
      <c r="B10" s="80" t="s">
        <v>750</v>
      </c>
      <c r="C10" s="80" t="s">
        <v>751</v>
      </c>
      <c r="D10" s="81">
        <v>1003</v>
      </c>
      <c r="E10" s="82">
        <v>10003</v>
      </c>
      <c r="F10" s="80" t="s">
        <v>740</v>
      </c>
      <c r="G10" s="80" t="s">
        <v>726</v>
      </c>
      <c r="H10" s="83">
        <v>4181019</v>
      </c>
      <c r="I10" s="84">
        <v>2428</v>
      </c>
      <c r="J10" s="80" t="s">
        <v>734</v>
      </c>
      <c r="K10" s="80" t="s">
        <v>728</v>
      </c>
      <c r="L10" s="85">
        <v>154</v>
      </c>
      <c r="M10" s="80"/>
      <c r="N10" s="86">
        <v>86</v>
      </c>
      <c r="O10" s="84"/>
      <c r="P10" s="87">
        <v>7.3029000000000002</v>
      </c>
      <c r="Q10" s="84"/>
      <c r="R10" s="87">
        <v>2.3538000000000001</v>
      </c>
      <c r="S10" s="84"/>
      <c r="T10" s="87">
        <v>57.774500000000003</v>
      </c>
      <c r="U10" s="84"/>
      <c r="V10" s="83">
        <v>5714964</v>
      </c>
      <c r="W10" s="84"/>
      <c r="X10" s="88">
        <v>5260506</v>
      </c>
      <c r="Y10" s="84"/>
      <c r="Z10" s="83">
        <v>5241369</v>
      </c>
      <c r="AA10" s="84"/>
      <c r="AB10" s="83">
        <v>19137</v>
      </c>
      <c r="AC10" s="84"/>
      <c r="AD10" s="83">
        <v>726323</v>
      </c>
      <c r="AE10" s="84"/>
      <c r="AF10" s="83">
        <v>717709</v>
      </c>
      <c r="AG10" s="84"/>
      <c r="AH10" s="83">
        <v>8614</v>
      </c>
      <c r="AI10" s="84" t="s">
        <v>752</v>
      </c>
      <c r="AJ10" s="83">
        <v>2876932</v>
      </c>
      <c r="AK10" s="84"/>
      <c r="AL10" s="83">
        <v>2870560</v>
      </c>
      <c r="AM10" s="84"/>
      <c r="AN10" s="83">
        <v>321018</v>
      </c>
      <c r="AO10" s="84"/>
      <c r="AP10" s="89">
        <v>315916</v>
      </c>
      <c r="AQ10" s="84"/>
      <c r="AR10" s="83">
        <v>41465243</v>
      </c>
      <c r="AS10" s="84"/>
      <c r="AT10" s="88">
        <v>97602251</v>
      </c>
      <c r="AU10" s="80"/>
      <c r="AV10" s="90">
        <v>51</v>
      </c>
      <c r="AW10" s="80" t="s">
        <v>103</v>
      </c>
      <c r="AX10" s="80" t="s">
        <v>748</v>
      </c>
    </row>
    <row r="11" spans="1:50">
      <c r="A11" s="80" t="s">
        <v>749</v>
      </c>
      <c r="B11" s="80" t="s">
        <v>750</v>
      </c>
      <c r="C11" s="80" t="s">
        <v>751</v>
      </c>
      <c r="D11" s="81">
        <v>1003</v>
      </c>
      <c r="E11" s="82">
        <v>10003</v>
      </c>
      <c r="F11" s="80" t="s">
        <v>740</v>
      </c>
      <c r="G11" s="80" t="s">
        <v>726</v>
      </c>
      <c r="H11" s="83">
        <v>4181019</v>
      </c>
      <c r="I11" s="84">
        <v>2428</v>
      </c>
      <c r="J11" s="80" t="s">
        <v>727</v>
      </c>
      <c r="K11" s="80" t="s">
        <v>728</v>
      </c>
      <c r="L11" s="85">
        <v>338</v>
      </c>
      <c r="M11" s="80"/>
      <c r="N11" s="86">
        <v>56</v>
      </c>
      <c r="O11" s="84"/>
      <c r="P11" s="87">
        <v>16.707100000000001</v>
      </c>
      <c r="Q11" s="84"/>
      <c r="R11" s="87">
        <v>3.5198</v>
      </c>
      <c r="S11" s="84"/>
      <c r="T11" s="87">
        <v>87.046400000000006</v>
      </c>
      <c r="U11" s="84"/>
      <c r="V11" s="83">
        <v>23317516</v>
      </c>
      <c r="W11" s="84"/>
      <c r="X11" s="88">
        <v>22746421</v>
      </c>
      <c r="Y11" s="84"/>
      <c r="Z11" s="83">
        <v>22203578</v>
      </c>
      <c r="AA11" s="84"/>
      <c r="AB11" s="83">
        <v>542843</v>
      </c>
      <c r="AC11" s="84"/>
      <c r="AD11" s="83">
        <v>1393950</v>
      </c>
      <c r="AE11" s="84"/>
      <c r="AF11" s="83">
        <v>1328990</v>
      </c>
      <c r="AG11" s="84"/>
      <c r="AH11" s="83">
        <v>64960</v>
      </c>
      <c r="AI11" s="84"/>
      <c r="AJ11" s="83">
        <v>3791070</v>
      </c>
      <c r="AK11" s="84"/>
      <c r="AL11" s="83">
        <v>3700596</v>
      </c>
      <c r="AM11" s="84"/>
      <c r="AN11" s="83">
        <v>253575</v>
      </c>
      <c r="AO11" s="84"/>
      <c r="AP11" s="89">
        <v>242748</v>
      </c>
      <c r="AQ11" s="84"/>
      <c r="AR11" s="83">
        <v>115683733</v>
      </c>
      <c r="AS11" s="84"/>
      <c r="AT11" s="88">
        <v>407181618</v>
      </c>
      <c r="AU11" s="80"/>
      <c r="AV11" s="90">
        <v>76.3</v>
      </c>
      <c r="AW11" s="80" t="s">
        <v>103</v>
      </c>
      <c r="AX11" s="80" t="s">
        <v>729</v>
      </c>
    </row>
    <row r="12" spans="1:50">
      <c r="A12" s="80" t="s">
        <v>749</v>
      </c>
      <c r="B12" s="80" t="s">
        <v>750</v>
      </c>
      <c r="C12" s="80" t="s">
        <v>751</v>
      </c>
      <c r="D12" s="81">
        <v>1003</v>
      </c>
      <c r="E12" s="82">
        <v>10003</v>
      </c>
      <c r="F12" s="80" t="s">
        <v>740</v>
      </c>
      <c r="G12" s="80" t="s">
        <v>726</v>
      </c>
      <c r="H12" s="83">
        <v>4181019</v>
      </c>
      <c r="I12" s="84">
        <v>2428</v>
      </c>
      <c r="J12" s="80" t="s">
        <v>736</v>
      </c>
      <c r="K12" s="80" t="s">
        <v>735</v>
      </c>
      <c r="L12" s="85">
        <v>436</v>
      </c>
      <c r="M12" s="80"/>
      <c r="N12" s="86">
        <v>67</v>
      </c>
      <c r="O12" s="84"/>
      <c r="P12" s="87">
        <v>29.729199999999999</v>
      </c>
      <c r="Q12" s="84"/>
      <c r="R12" s="87">
        <v>20.751000000000001</v>
      </c>
      <c r="S12" s="84"/>
      <c r="T12" s="87">
        <v>33.01</v>
      </c>
      <c r="U12" s="84"/>
      <c r="V12" s="83">
        <v>22195183</v>
      </c>
      <c r="W12" s="84"/>
      <c r="X12" s="88">
        <v>22810502</v>
      </c>
      <c r="Y12" s="84"/>
      <c r="Z12" s="83">
        <v>22300695</v>
      </c>
      <c r="AA12" s="84"/>
      <c r="AB12" s="83">
        <v>509807</v>
      </c>
      <c r="AC12" s="84"/>
      <c r="AD12" s="83">
        <v>768699</v>
      </c>
      <c r="AE12" s="84"/>
      <c r="AF12" s="83">
        <v>750128</v>
      </c>
      <c r="AG12" s="84"/>
      <c r="AH12" s="83">
        <v>18571</v>
      </c>
      <c r="AI12" s="84"/>
      <c r="AJ12" s="83">
        <v>4189947</v>
      </c>
      <c r="AK12" s="84"/>
      <c r="AL12" s="83">
        <v>4093393</v>
      </c>
      <c r="AM12" s="84"/>
      <c r="AN12" s="83">
        <v>141215</v>
      </c>
      <c r="AO12" s="84"/>
      <c r="AP12" s="89">
        <v>137738</v>
      </c>
      <c r="AQ12" s="84"/>
      <c r="AR12" s="83">
        <v>24761705</v>
      </c>
      <c r="AS12" s="84"/>
      <c r="AT12" s="88">
        <v>513830968</v>
      </c>
      <c r="AU12" s="80"/>
      <c r="AV12" s="90">
        <v>776.08</v>
      </c>
      <c r="AW12" s="80" t="s">
        <v>103</v>
      </c>
      <c r="AX12" s="80" t="s">
        <v>729</v>
      </c>
    </row>
    <row r="13" spans="1:50">
      <c r="A13" s="80" t="s">
        <v>753</v>
      </c>
      <c r="B13" s="80" t="s">
        <v>754</v>
      </c>
      <c r="C13" s="80" t="s">
        <v>755</v>
      </c>
      <c r="D13" s="81">
        <v>3019</v>
      </c>
      <c r="E13" s="82">
        <v>30019</v>
      </c>
      <c r="F13" s="80" t="s">
        <v>740</v>
      </c>
      <c r="G13" s="80" t="s">
        <v>726</v>
      </c>
      <c r="H13" s="83">
        <v>5441567</v>
      </c>
      <c r="I13" s="84">
        <v>2406</v>
      </c>
      <c r="J13" s="80" t="s">
        <v>727</v>
      </c>
      <c r="K13" s="80" t="s">
        <v>728</v>
      </c>
      <c r="L13" s="85">
        <v>286</v>
      </c>
      <c r="M13" s="80"/>
      <c r="N13" s="86">
        <v>61</v>
      </c>
      <c r="O13" s="84"/>
      <c r="P13" s="87">
        <v>17.097100000000001</v>
      </c>
      <c r="Q13" s="84"/>
      <c r="R13" s="87">
        <v>4.4253999999999998</v>
      </c>
      <c r="S13" s="84" t="s">
        <v>747</v>
      </c>
      <c r="T13" s="87">
        <v>75.514099999999999</v>
      </c>
      <c r="U13" s="84" t="s">
        <v>747</v>
      </c>
      <c r="V13" s="83">
        <v>16431036</v>
      </c>
      <c r="W13" s="84"/>
      <c r="X13" s="88">
        <v>16168711</v>
      </c>
      <c r="Y13" s="84"/>
      <c r="Z13" s="83">
        <v>16089713</v>
      </c>
      <c r="AA13" s="84"/>
      <c r="AB13" s="83">
        <v>78998</v>
      </c>
      <c r="AC13" s="84"/>
      <c r="AD13" s="83">
        <v>945947</v>
      </c>
      <c r="AE13" s="84"/>
      <c r="AF13" s="83">
        <v>941080</v>
      </c>
      <c r="AG13" s="84"/>
      <c r="AH13" s="83">
        <v>4867</v>
      </c>
      <c r="AI13" s="84"/>
      <c r="AJ13" s="83">
        <v>3121305</v>
      </c>
      <c r="AK13" s="84"/>
      <c r="AL13" s="83">
        <v>3101700</v>
      </c>
      <c r="AM13" s="84"/>
      <c r="AN13" s="83">
        <v>182557</v>
      </c>
      <c r="AO13" s="84"/>
      <c r="AP13" s="89">
        <v>181391</v>
      </c>
      <c r="AQ13" s="84"/>
      <c r="AR13" s="83">
        <v>71064786</v>
      </c>
      <c r="AS13" s="84" t="s">
        <v>747</v>
      </c>
      <c r="AT13" s="88">
        <v>314489396</v>
      </c>
      <c r="AU13" s="80" t="s">
        <v>747</v>
      </c>
      <c r="AV13" s="90">
        <v>74.900000000000006</v>
      </c>
      <c r="AW13" s="80" t="s">
        <v>103</v>
      </c>
      <c r="AX13" s="80" t="s">
        <v>748</v>
      </c>
    </row>
    <row r="14" spans="1:50">
      <c r="A14" s="80" t="s">
        <v>753</v>
      </c>
      <c r="B14" s="80" t="s">
        <v>754</v>
      </c>
      <c r="C14" s="80" t="s">
        <v>755</v>
      </c>
      <c r="D14" s="81">
        <v>3019</v>
      </c>
      <c r="E14" s="82">
        <v>30019</v>
      </c>
      <c r="F14" s="80" t="s">
        <v>740</v>
      </c>
      <c r="G14" s="80" t="s">
        <v>726</v>
      </c>
      <c r="H14" s="83">
        <v>5441567</v>
      </c>
      <c r="I14" s="84">
        <v>2406</v>
      </c>
      <c r="J14" s="80" t="s">
        <v>736</v>
      </c>
      <c r="K14" s="80" t="s">
        <v>728</v>
      </c>
      <c r="L14" s="85">
        <v>357</v>
      </c>
      <c r="M14" s="80"/>
      <c r="N14" s="86">
        <v>84</v>
      </c>
      <c r="O14" s="84"/>
      <c r="P14" s="87">
        <v>19.690899999999999</v>
      </c>
      <c r="Q14" s="84"/>
      <c r="R14" s="87">
        <v>13.449400000000001</v>
      </c>
      <c r="S14" s="84" t="s">
        <v>747</v>
      </c>
      <c r="T14" s="87">
        <v>29.793900000000001</v>
      </c>
      <c r="U14" s="84" t="s">
        <v>747</v>
      </c>
      <c r="V14" s="83">
        <v>16896038</v>
      </c>
      <c r="W14" s="84"/>
      <c r="X14" s="88">
        <v>17498310</v>
      </c>
      <c r="Y14" s="84"/>
      <c r="Z14" s="83">
        <v>16621821</v>
      </c>
      <c r="AA14" s="84"/>
      <c r="AB14" s="83">
        <v>876489</v>
      </c>
      <c r="AC14" s="84"/>
      <c r="AD14" s="83">
        <v>882766</v>
      </c>
      <c r="AE14" s="84"/>
      <c r="AF14" s="83">
        <v>844136</v>
      </c>
      <c r="AG14" s="84"/>
      <c r="AH14" s="83">
        <v>38630</v>
      </c>
      <c r="AI14" s="84"/>
      <c r="AJ14" s="83">
        <v>4453116</v>
      </c>
      <c r="AK14" s="84"/>
      <c r="AL14" s="83">
        <v>4225898</v>
      </c>
      <c r="AM14" s="84"/>
      <c r="AN14" s="83">
        <v>224140</v>
      </c>
      <c r="AO14" s="84"/>
      <c r="AP14" s="89">
        <v>214329</v>
      </c>
      <c r="AQ14" s="84"/>
      <c r="AR14" s="83">
        <v>25150117</v>
      </c>
      <c r="AS14" s="84" t="s">
        <v>747</v>
      </c>
      <c r="AT14" s="88">
        <v>338253606</v>
      </c>
      <c r="AU14" s="80" t="s">
        <v>747</v>
      </c>
      <c r="AV14" s="90">
        <v>446.94</v>
      </c>
      <c r="AW14" s="80" t="s">
        <v>103</v>
      </c>
      <c r="AX14" s="80" t="s">
        <v>748</v>
      </c>
    </row>
    <row r="15" spans="1:50">
      <c r="A15" s="80" t="s">
        <v>756</v>
      </c>
      <c r="B15" s="80" t="s">
        <v>757</v>
      </c>
      <c r="C15" s="80" t="s">
        <v>758</v>
      </c>
      <c r="D15" s="81">
        <v>6008</v>
      </c>
      <c r="E15" s="82">
        <v>60008</v>
      </c>
      <c r="F15" s="80" t="s">
        <v>740</v>
      </c>
      <c r="G15" s="80" t="s">
        <v>726</v>
      </c>
      <c r="H15" s="83">
        <v>4944332</v>
      </c>
      <c r="I15" s="84">
        <v>2157</v>
      </c>
      <c r="J15" s="80" t="s">
        <v>734</v>
      </c>
      <c r="K15" s="80" t="s">
        <v>728</v>
      </c>
      <c r="L15" s="85">
        <v>56</v>
      </c>
      <c r="M15" s="80"/>
      <c r="N15" s="86">
        <v>29</v>
      </c>
      <c r="O15" s="84"/>
      <c r="P15" s="87">
        <v>12.147399999999999</v>
      </c>
      <c r="Q15" s="84"/>
      <c r="R15" s="87">
        <v>2.9095</v>
      </c>
      <c r="S15" s="84"/>
      <c r="T15" s="87">
        <v>48.3795</v>
      </c>
      <c r="U15" s="84"/>
      <c r="V15" s="83">
        <v>3257209</v>
      </c>
      <c r="W15" s="84"/>
      <c r="X15" s="88">
        <v>3247125</v>
      </c>
      <c r="Y15" s="84"/>
      <c r="Z15" s="83">
        <v>3236011</v>
      </c>
      <c r="AA15" s="84"/>
      <c r="AB15" s="83">
        <v>11114</v>
      </c>
      <c r="AC15" s="84"/>
      <c r="AD15" s="83">
        <v>268268</v>
      </c>
      <c r="AE15" s="84"/>
      <c r="AF15" s="83">
        <v>266396</v>
      </c>
      <c r="AG15" s="84"/>
      <c r="AH15" s="83">
        <v>1872</v>
      </c>
      <c r="AI15" s="84"/>
      <c r="AJ15" s="83">
        <v>1940638</v>
      </c>
      <c r="AK15" s="84"/>
      <c r="AL15" s="83">
        <v>1929524</v>
      </c>
      <c r="AM15" s="84"/>
      <c r="AN15" s="83">
        <v>176143</v>
      </c>
      <c r="AO15" s="84"/>
      <c r="AP15" s="89">
        <v>174271</v>
      </c>
      <c r="AQ15" s="84"/>
      <c r="AR15" s="83">
        <v>12888105</v>
      </c>
      <c r="AS15" s="84"/>
      <c r="AT15" s="88">
        <v>37497523</v>
      </c>
      <c r="AU15" s="80"/>
      <c r="AV15" s="90">
        <v>43.59</v>
      </c>
      <c r="AW15" s="80" t="s">
        <v>103</v>
      </c>
      <c r="AX15" s="80" t="s">
        <v>729</v>
      </c>
    </row>
    <row r="16" spans="1:50">
      <c r="A16" s="80" t="s">
        <v>759</v>
      </c>
      <c r="B16" s="80" t="s">
        <v>760</v>
      </c>
      <c r="C16" s="80" t="s">
        <v>761</v>
      </c>
      <c r="D16" s="81">
        <v>3034</v>
      </c>
      <c r="E16" s="82">
        <v>30034</v>
      </c>
      <c r="F16" s="80" t="s">
        <v>762</v>
      </c>
      <c r="G16" s="80" t="s">
        <v>726</v>
      </c>
      <c r="H16" s="83">
        <v>2203663</v>
      </c>
      <c r="I16" s="84">
        <v>1888</v>
      </c>
      <c r="J16" s="80" t="s">
        <v>734</v>
      </c>
      <c r="K16" s="80" t="s">
        <v>728</v>
      </c>
      <c r="L16" s="85">
        <v>38</v>
      </c>
      <c r="M16" s="80"/>
      <c r="N16" s="86">
        <v>18</v>
      </c>
      <c r="O16" s="84"/>
      <c r="P16" s="87">
        <v>19.6769</v>
      </c>
      <c r="Q16" s="84"/>
      <c r="R16" s="87">
        <v>5.7127999999999997</v>
      </c>
      <c r="S16" s="84" t="s">
        <v>747</v>
      </c>
      <c r="T16" s="87">
        <v>35.373800000000003</v>
      </c>
      <c r="U16" s="84"/>
      <c r="V16" s="83">
        <v>2774375</v>
      </c>
      <c r="W16" s="84"/>
      <c r="X16" s="88">
        <v>2676810</v>
      </c>
      <c r="Y16" s="84"/>
      <c r="Z16" s="83">
        <v>2588105</v>
      </c>
      <c r="AA16" s="84"/>
      <c r="AB16" s="83">
        <v>88705</v>
      </c>
      <c r="AC16" s="84"/>
      <c r="AD16" s="83">
        <v>138492</v>
      </c>
      <c r="AE16" s="84"/>
      <c r="AF16" s="83">
        <v>131530</v>
      </c>
      <c r="AG16" s="84"/>
      <c r="AH16" s="83">
        <v>6962</v>
      </c>
      <c r="AI16" s="84"/>
      <c r="AJ16" s="83">
        <v>1046361</v>
      </c>
      <c r="AK16" s="84"/>
      <c r="AL16" s="83">
        <v>1044905</v>
      </c>
      <c r="AM16" s="84"/>
      <c r="AN16" s="83">
        <v>58730</v>
      </c>
      <c r="AO16" s="84"/>
      <c r="AP16" s="89">
        <v>58193</v>
      </c>
      <c r="AQ16" s="84"/>
      <c r="AR16" s="83">
        <v>4652718</v>
      </c>
      <c r="AS16" s="84"/>
      <c r="AT16" s="88">
        <v>26579844</v>
      </c>
      <c r="AU16" s="80" t="s">
        <v>747</v>
      </c>
      <c r="AV16" s="90">
        <v>57.6</v>
      </c>
      <c r="AW16" s="80" t="s">
        <v>103</v>
      </c>
      <c r="AX16" s="80" t="s">
        <v>748</v>
      </c>
    </row>
    <row r="17" spans="1:50">
      <c r="A17" s="80" t="s">
        <v>759</v>
      </c>
      <c r="B17" s="80" t="s">
        <v>760</v>
      </c>
      <c r="C17" s="80" t="s">
        <v>761</v>
      </c>
      <c r="D17" s="81">
        <v>3034</v>
      </c>
      <c r="E17" s="82">
        <v>30034</v>
      </c>
      <c r="F17" s="80" t="s">
        <v>762</v>
      </c>
      <c r="G17" s="80" t="s">
        <v>726</v>
      </c>
      <c r="H17" s="83">
        <v>2203663</v>
      </c>
      <c r="I17" s="84">
        <v>1888</v>
      </c>
      <c r="J17" s="80" t="s">
        <v>727</v>
      </c>
      <c r="K17" s="80" t="s">
        <v>728</v>
      </c>
      <c r="L17" s="85">
        <v>54</v>
      </c>
      <c r="M17" s="80"/>
      <c r="N17" s="86">
        <v>9</v>
      </c>
      <c r="O17" s="84"/>
      <c r="P17" s="87">
        <v>26.092600000000001</v>
      </c>
      <c r="Q17" s="84"/>
      <c r="R17" s="87">
        <v>4.7674000000000003</v>
      </c>
      <c r="S17" s="84" t="s">
        <v>747</v>
      </c>
      <c r="T17" s="87">
        <v>36.698</v>
      </c>
      <c r="U17" s="84"/>
      <c r="V17" s="83">
        <v>4289979</v>
      </c>
      <c r="W17" s="84"/>
      <c r="X17" s="88">
        <v>4659371</v>
      </c>
      <c r="Y17" s="84"/>
      <c r="Z17" s="83">
        <v>4169492</v>
      </c>
      <c r="AA17" s="84"/>
      <c r="AB17" s="83">
        <v>489879</v>
      </c>
      <c r="AC17" s="84"/>
      <c r="AD17" s="83">
        <v>180401</v>
      </c>
      <c r="AE17" s="84"/>
      <c r="AF17" s="83">
        <v>159796</v>
      </c>
      <c r="AG17" s="84"/>
      <c r="AH17" s="83">
        <v>20605</v>
      </c>
      <c r="AI17" s="84"/>
      <c r="AJ17" s="83">
        <v>845652</v>
      </c>
      <c r="AK17" s="84"/>
      <c r="AL17" s="83">
        <v>734915</v>
      </c>
      <c r="AM17" s="84"/>
      <c r="AN17" s="83">
        <v>32887</v>
      </c>
      <c r="AO17" s="84"/>
      <c r="AP17" s="89">
        <v>28462</v>
      </c>
      <c r="AQ17" s="84"/>
      <c r="AR17" s="83">
        <v>5864191</v>
      </c>
      <c r="AS17" s="84"/>
      <c r="AT17" s="88">
        <v>27957087</v>
      </c>
      <c r="AU17" s="80" t="s">
        <v>747</v>
      </c>
      <c r="AV17" s="90">
        <v>29.4</v>
      </c>
      <c r="AW17" s="80" t="s">
        <v>103</v>
      </c>
      <c r="AX17" s="80" t="s">
        <v>748</v>
      </c>
    </row>
    <row r="18" spans="1:50">
      <c r="A18" s="80" t="s">
        <v>759</v>
      </c>
      <c r="B18" s="80" t="s">
        <v>760</v>
      </c>
      <c r="C18" s="80" t="s">
        <v>761</v>
      </c>
      <c r="D18" s="81">
        <v>3034</v>
      </c>
      <c r="E18" s="82">
        <v>30034</v>
      </c>
      <c r="F18" s="80" t="s">
        <v>762</v>
      </c>
      <c r="G18" s="80" t="s">
        <v>726</v>
      </c>
      <c r="H18" s="83">
        <v>2203663</v>
      </c>
      <c r="I18" s="84">
        <v>1888</v>
      </c>
      <c r="J18" s="80" t="s">
        <v>736</v>
      </c>
      <c r="K18" s="80" t="s">
        <v>735</v>
      </c>
      <c r="L18" s="85">
        <v>149</v>
      </c>
      <c r="M18" s="80"/>
      <c r="N18" s="86">
        <v>28</v>
      </c>
      <c r="O18" s="84"/>
      <c r="P18" s="87">
        <v>38.328299999999999</v>
      </c>
      <c r="Q18" s="84"/>
      <c r="R18" s="87">
        <v>29.584599999999998</v>
      </c>
      <c r="S18" s="84" t="s">
        <v>747</v>
      </c>
      <c r="T18" s="87">
        <v>45.747900000000001</v>
      </c>
      <c r="U18" s="84"/>
      <c r="V18" s="83">
        <v>6001808</v>
      </c>
      <c r="W18" s="84"/>
      <c r="X18" s="88">
        <v>5996542</v>
      </c>
      <c r="Y18" s="84"/>
      <c r="Z18" s="83">
        <v>5596811</v>
      </c>
      <c r="AA18" s="84"/>
      <c r="AB18" s="83">
        <v>399731</v>
      </c>
      <c r="AC18" s="84"/>
      <c r="AD18" s="83">
        <v>155174</v>
      </c>
      <c r="AE18" s="84"/>
      <c r="AF18" s="83">
        <v>146023</v>
      </c>
      <c r="AG18" s="84"/>
      <c r="AH18" s="83">
        <v>9151</v>
      </c>
      <c r="AI18" s="84"/>
      <c r="AJ18" s="83">
        <v>1094365</v>
      </c>
      <c r="AK18" s="84"/>
      <c r="AL18" s="83">
        <v>1036558</v>
      </c>
      <c r="AM18" s="84"/>
      <c r="AN18" s="83">
        <v>30902</v>
      </c>
      <c r="AO18" s="84"/>
      <c r="AP18" s="89">
        <v>28513</v>
      </c>
      <c r="AQ18" s="84"/>
      <c r="AR18" s="83">
        <v>6680248</v>
      </c>
      <c r="AS18" s="84"/>
      <c r="AT18" s="88">
        <v>197632189</v>
      </c>
      <c r="AU18" s="80" t="s">
        <v>747</v>
      </c>
      <c r="AV18" s="90">
        <v>400.4</v>
      </c>
      <c r="AW18" s="80" t="s">
        <v>103</v>
      </c>
      <c r="AX18" s="80" t="s">
        <v>748</v>
      </c>
    </row>
    <row r="19" spans="1:50">
      <c r="A19" s="80" t="s">
        <v>763</v>
      </c>
      <c r="B19" s="80" t="s">
        <v>764</v>
      </c>
      <c r="C19" s="80" t="s">
        <v>765</v>
      </c>
      <c r="D19" s="81">
        <v>4034</v>
      </c>
      <c r="E19" s="82">
        <v>40034</v>
      </c>
      <c r="F19" s="80" t="s">
        <v>766</v>
      </c>
      <c r="G19" s="80" t="s">
        <v>726</v>
      </c>
      <c r="H19" s="83">
        <v>5502379</v>
      </c>
      <c r="I19" s="84">
        <v>1452</v>
      </c>
      <c r="J19" s="80" t="s">
        <v>727</v>
      </c>
      <c r="K19" s="80" t="s">
        <v>728</v>
      </c>
      <c r="L19" s="85">
        <v>76</v>
      </c>
      <c r="M19" s="80"/>
      <c r="N19" s="86">
        <v>18</v>
      </c>
      <c r="O19" s="84"/>
      <c r="P19" s="87">
        <v>21.7622</v>
      </c>
      <c r="Q19" s="84"/>
      <c r="R19" s="87">
        <v>7.3830999999999998</v>
      </c>
      <c r="S19" s="84" t="s">
        <v>747</v>
      </c>
      <c r="T19" s="87">
        <v>35.960099999999997</v>
      </c>
      <c r="U19" s="84"/>
      <c r="V19" s="83">
        <v>7212362</v>
      </c>
      <c r="W19" s="84"/>
      <c r="X19" s="88">
        <v>7598157</v>
      </c>
      <c r="Y19" s="84"/>
      <c r="Z19" s="83">
        <v>7178627</v>
      </c>
      <c r="AA19" s="84"/>
      <c r="AB19" s="83">
        <v>419530</v>
      </c>
      <c r="AC19" s="84"/>
      <c r="AD19" s="83">
        <v>362201</v>
      </c>
      <c r="AE19" s="84"/>
      <c r="AF19" s="83">
        <v>329867</v>
      </c>
      <c r="AG19" s="84"/>
      <c r="AH19" s="83">
        <v>32334</v>
      </c>
      <c r="AI19" s="84"/>
      <c r="AJ19" s="83">
        <v>1899556</v>
      </c>
      <c r="AK19" s="84"/>
      <c r="AL19" s="83">
        <v>1794673</v>
      </c>
      <c r="AM19" s="84"/>
      <c r="AN19" s="83">
        <v>90549</v>
      </c>
      <c r="AO19" s="84"/>
      <c r="AP19" s="89">
        <v>82465</v>
      </c>
      <c r="AQ19" s="84"/>
      <c r="AR19" s="83">
        <v>11862059</v>
      </c>
      <c r="AS19" s="84"/>
      <c r="AT19" s="88">
        <v>87578321</v>
      </c>
      <c r="AU19" s="80" t="s">
        <v>747</v>
      </c>
      <c r="AV19" s="90">
        <v>49.84</v>
      </c>
      <c r="AW19" s="80" t="s">
        <v>103</v>
      </c>
      <c r="AX19" s="80" t="s">
        <v>748</v>
      </c>
    </row>
    <row r="20" spans="1:50">
      <c r="A20" s="80" t="s">
        <v>767</v>
      </c>
      <c r="B20" s="80" t="s">
        <v>768</v>
      </c>
      <c r="C20" s="80" t="s">
        <v>650</v>
      </c>
      <c r="D20" s="81">
        <v>8006</v>
      </c>
      <c r="E20" s="82">
        <v>80006</v>
      </c>
      <c r="F20" s="80" t="s">
        <v>740</v>
      </c>
      <c r="G20" s="80" t="s">
        <v>726</v>
      </c>
      <c r="H20" s="83">
        <v>2374203</v>
      </c>
      <c r="I20" s="84">
        <v>1431</v>
      </c>
      <c r="J20" s="80" t="s">
        <v>734</v>
      </c>
      <c r="K20" s="80" t="s">
        <v>728</v>
      </c>
      <c r="L20" s="85">
        <v>156</v>
      </c>
      <c r="M20" s="80"/>
      <c r="N20" s="86">
        <v>41</v>
      </c>
      <c r="O20" s="84"/>
      <c r="P20" s="87">
        <v>17.200199999999999</v>
      </c>
      <c r="Q20" s="84"/>
      <c r="R20" s="87">
        <v>6.9672999999999998</v>
      </c>
      <c r="S20" s="84"/>
      <c r="T20" s="87">
        <v>19.858599999999999</v>
      </c>
      <c r="U20" s="84"/>
      <c r="V20" s="83">
        <v>9004264</v>
      </c>
      <c r="W20" s="84"/>
      <c r="X20" s="88">
        <v>9327859</v>
      </c>
      <c r="Y20" s="84"/>
      <c r="Z20" s="83">
        <v>9063803</v>
      </c>
      <c r="AA20" s="84"/>
      <c r="AB20" s="83">
        <v>264056</v>
      </c>
      <c r="AC20" s="84"/>
      <c r="AD20" s="83">
        <v>590892</v>
      </c>
      <c r="AE20" s="84"/>
      <c r="AF20" s="83">
        <v>526960</v>
      </c>
      <c r="AG20" s="84"/>
      <c r="AH20" s="83">
        <v>63932</v>
      </c>
      <c r="AI20" s="84"/>
      <c r="AJ20" s="83">
        <v>3900081</v>
      </c>
      <c r="AK20" s="84"/>
      <c r="AL20" s="83">
        <v>3745938</v>
      </c>
      <c r="AM20" s="84"/>
      <c r="AN20" s="83">
        <v>267096</v>
      </c>
      <c r="AO20" s="84"/>
      <c r="AP20" s="89">
        <v>226007</v>
      </c>
      <c r="AQ20" s="84"/>
      <c r="AR20" s="83">
        <v>10464678</v>
      </c>
      <c r="AS20" s="84"/>
      <c r="AT20" s="88">
        <v>72910951</v>
      </c>
      <c r="AU20" s="80"/>
      <c r="AV20" s="90">
        <v>119.78</v>
      </c>
      <c r="AW20" s="80" t="s">
        <v>103</v>
      </c>
      <c r="AX20" s="80" t="s">
        <v>729</v>
      </c>
    </row>
    <row r="21" spans="1:50">
      <c r="A21" s="80" t="s">
        <v>767</v>
      </c>
      <c r="B21" s="80" t="s">
        <v>768</v>
      </c>
      <c r="C21" s="80" t="s">
        <v>650</v>
      </c>
      <c r="D21" s="81">
        <v>8006</v>
      </c>
      <c r="E21" s="82">
        <v>80006</v>
      </c>
      <c r="F21" s="80" t="s">
        <v>740</v>
      </c>
      <c r="G21" s="80" t="s">
        <v>726</v>
      </c>
      <c r="H21" s="83">
        <v>2374203</v>
      </c>
      <c r="I21" s="84">
        <v>1431</v>
      </c>
      <c r="J21" s="80" t="s">
        <v>736</v>
      </c>
      <c r="K21" s="80" t="s">
        <v>735</v>
      </c>
      <c r="L21" s="85">
        <v>44</v>
      </c>
      <c r="M21" s="80"/>
      <c r="N21" s="86">
        <v>12</v>
      </c>
      <c r="O21" s="84"/>
      <c r="P21" s="87">
        <v>27.563099999999999</v>
      </c>
      <c r="Q21" s="84"/>
      <c r="R21" s="87">
        <v>11.5166</v>
      </c>
      <c r="S21" s="84"/>
      <c r="T21" s="87">
        <v>21.7837</v>
      </c>
      <c r="U21" s="84"/>
      <c r="V21" s="83">
        <v>6222945</v>
      </c>
      <c r="W21" s="84"/>
      <c r="X21" s="88">
        <v>6197643</v>
      </c>
      <c r="Y21" s="84"/>
      <c r="Z21" s="83">
        <v>6048702</v>
      </c>
      <c r="AA21" s="84"/>
      <c r="AB21" s="83">
        <v>148941</v>
      </c>
      <c r="AC21" s="84"/>
      <c r="AD21" s="83">
        <v>228257</v>
      </c>
      <c r="AE21" s="84"/>
      <c r="AF21" s="83">
        <v>219449</v>
      </c>
      <c r="AG21" s="84"/>
      <c r="AH21" s="83">
        <v>8808</v>
      </c>
      <c r="AI21" s="84"/>
      <c r="AJ21" s="83">
        <v>2010537</v>
      </c>
      <c r="AK21" s="84"/>
      <c r="AL21" s="83">
        <v>1917204</v>
      </c>
      <c r="AM21" s="84"/>
      <c r="AN21" s="83">
        <v>74540</v>
      </c>
      <c r="AO21" s="84"/>
      <c r="AP21" s="89">
        <v>70293</v>
      </c>
      <c r="AQ21" s="84"/>
      <c r="AR21" s="83">
        <v>4780402</v>
      </c>
      <c r="AS21" s="84"/>
      <c r="AT21" s="88">
        <v>55053882</v>
      </c>
      <c r="AU21" s="80"/>
      <c r="AV21" s="90">
        <v>72.760000000000005</v>
      </c>
      <c r="AW21" s="80" t="s">
        <v>103</v>
      </c>
      <c r="AX21" s="80" t="s">
        <v>729</v>
      </c>
    </row>
    <row r="22" spans="1:50">
      <c r="A22" s="80" t="s">
        <v>767</v>
      </c>
      <c r="B22" s="80" t="s">
        <v>768</v>
      </c>
      <c r="C22" s="80" t="s">
        <v>650</v>
      </c>
      <c r="D22" s="81">
        <v>8006</v>
      </c>
      <c r="E22" s="82">
        <v>80006</v>
      </c>
      <c r="F22" s="80" t="s">
        <v>740</v>
      </c>
      <c r="G22" s="80" t="s">
        <v>726</v>
      </c>
      <c r="H22" s="83">
        <v>2374203</v>
      </c>
      <c r="I22" s="84">
        <v>1431</v>
      </c>
      <c r="J22" s="80" t="s">
        <v>736</v>
      </c>
      <c r="K22" s="80" t="s">
        <v>728</v>
      </c>
      <c r="L22" s="85">
        <v>8</v>
      </c>
      <c r="M22" s="80"/>
      <c r="N22" s="86">
        <v>3</v>
      </c>
      <c r="O22" s="84"/>
      <c r="P22" s="87">
        <v>20.484200000000001</v>
      </c>
      <c r="Q22" s="84"/>
      <c r="R22" s="87">
        <v>8.6130999999999993</v>
      </c>
      <c r="S22" s="84"/>
      <c r="T22" s="87">
        <v>18.016100000000002</v>
      </c>
      <c r="U22" s="84"/>
      <c r="V22" s="83">
        <v>203262</v>
      </c>
      <c r="W22" s="84"/>
      <c r="X22" s="88">
        <v>223786</v>
      </c>
      <c r="Y22" s="84"/>
      <c r="Z22" s="83">
        <v>197570</v>
      </c>
      <c r="AA22" s="84"/>
      <c r="AB22" s="83">
        <v>26216</v>
      </c>
      <c r="AC22" s="84"/>
      <c r="AD22" s="83">
        <v>12511</v>
      </c>
      <c r="AE22" s="84"/>
      <c r="AF22" s="83">
        <v>9645</v>
      </c>
      <c r="AG22" s="84"/>
      <c r="AH22" s="83">
        <v>2866</v>
      </c>
      <c r="AI22" s="84"/>
      <c r="AJ22" s="83">
        <v>115030</v>
      </c>
      <c r="AK22" s="84"/>
      <c r="AL22" s="83">
        <v>98743</v>
      </c>
      <c r="AM22" s="84"/>
      <c r="AN22" s="83">
        <v>6243</v>
      </c>
      <c r="AO22" s="84"/>
      <c r="AP22" s="89">
        <v>4937</v>
      </c>
      <c r="AQ22" s="84"/>
      <c r="AR22" s="83">
        <v>173765</v>
      </c>
      <c r="AS22" s="84"/>
      <c r="AT22" s="88">
        <v>1496661</v>
      </c>
      <c r="AU22" s="80"/>
      <c r="AV22" s="90">
        <v>26.32</v>
      </c>
      <c r="AW22" s="80" t="s">
        <v>103</v>
      </c>
      <c r="AX22" s="80" t="s">
        <v>729</v>
      </c>
    </row>
    <row r="23" spans="1:50">
      <c r="A23" s="80" t="s">
        <v>769</v>
      </c>
      <c r="B23" s="80" t="s">
        <v>770</v>
      </c>
      <c r="C23" s="80" t="s">
        <v>724</v>
      </c>
      <c r="D23" s="81">
        <v>2078</v>
      </c>
      <c r="E23" s="82">
        <v>20078</v>
      </c>
      <c r="F23" s="80" t="s">
        <v>725</v>
      </c>
      <c r="G23" s="80" t="s">
        <v>726</v>
      </c>
      <c r="H23" s="83">
        <v>18351295</v>
      </c>
      <c r="I23" s="84">
        <v>1133</v>
      </c>
      <c r="J23" s="80" t="s">
        <v>736</v>
      </c>
      <c r="K23" s="80" t="s">
        <v>728</v>
      </c>
      <c r="L23" s="85">
        <v>1122</v>
      </c>
      <c r="M23" s="80"/>
      <c r="N23" s="86">
        <v>135</v>
      </c>
      <c r="O23" s="84"/>
      <c r="P23" s="87">
        <v>31.299700000000001</v>
      </c>
      <c r="Q23" s="84"/>
      <c r="R23" s="87">
        <v>22.852399999999999</v>
      </c>
      <c r="S23" s="84" t="s">
        <v>747</v>
      </c>
      <c r="T23" s="87">
        <v>18.882400000000001</v>
      </c>
      <c r="U23" s="84"/>
      <c r="V23" s="83">
        <v>47488237</v>
      </c>
      <c r="W23" s="84"/>
      <c r="X23" s="88">
        <v>53139671</v>
      </c>
      <c r="Y23" s="84"/>
      <c r="Z23" s="83">
        <v>48719168</v>
      </c>
      <c r="AA23" s="84"/>
      <c r="AB23" s="83">
        <v>4420503</v>
      </c>
      <c r="AC23" s="84"/>
      <c r="AD23" s="83">
        <v>1709469</v>
      </c>
      <c r="AE23" s="84"/>
      <c r="AF23" s="83">
        <v>1556539</v>
      </c>
      <c r="AG23" s="84"/>
      <c r="AH23" s="83">
        <v>152930</v>
      </c>
      <c r="AI23" s="84"/>
      <c r="AJ23" s="83">
        <v>7201726</v>
      </c>
      <c r="AK23" s="84"/>
      <c r="AL23" s="83">
        <v>6564652</v>
      </c>
      <c r="AM23" s="84"/>
      <c r="AN23" s="83">
        <v>225218</v>
      </c>
      <c r="AO23" s="84"/>
      <c r="AP23" s="89">
        <v>203440</v>
      </c>
      <c r="AQ23" s="84"/>
      <c r="AR23" s="83">
        <v>29391259</v>
      </c>
      <c r="AS23" s="84"/>
      <c r="AT23" s="88">
        <v>671661254</v>
      </c>
      <c r="AU23" s="80" t="s">
        <v>747</v>
      </c>
      <c r="AV23" s="90">
        <v>545.74</v>
      </c>
      <c r="AW23" s="80" t="s">
        <v>103</v>
      </c>
      <c r="AX23" s="80" t="s">
        <v>748</v>
      </c>
    </row>
    <row r="24" spans="1:50">
      <c r="A24" s="80" t="s">
        <v>771</v>
      </c>
      <c r="B24" s="80" t="s">
        <v>772</v>
      </c>
      <c r="C24" s="80" t="s">
        <v>758</v>
      </c>
      <c r="D24" s="81">
        <v>6056</v>
      </c>
      <c r="E24" s="82">
        <v>60056</v>
      </c>
      <c r="F24" s="80" t="s">
        <v>740</v>
      </c>
      <c r="G24" s="80" t="s">
        <v>726</v>
      </c>
      <c r="H24" s="83">
        <v>5121892</v>
      </c>
      <c r="I24" s="84">
        <v>1082</v>
      </c>
      <c r="J24" s="80" t="s">
        <v>734</v>
      </c>
      <c r="K24" s="80" t="s">
        <v>728</v>
      </c>
      <c r="L24" s="85">
        <v>117</v>
      </c>
      <c r="M24" s="80"/>
      <c r="N24" s="86">
        <v>44</v>
      </c>
      <c r="O24" s="84"/>
      <c r="P24" s="87">
        <v>20.510100000000001</v>
      </c>
      <c r="Q24" s="84"/>
      <c r="R24" s="87">
        <v>8.1821999999999999</v>
      </c>
      <c r="S24" s="84"/>
      <c r="T24" s="87">
        <v>41.742400000000004</v>
      </c>
      <c r="U24" s="84"/>
      <c r="V24" s="83">
        <v>9953657</v>
      </c>
      <c r="W24" s="84"/>
      <c r="X24" s="88">
        <v>9937246</v>
      </c>
      <c r="Y24" s="84"/>
      <c r="Z24" s="83">
        <v>9866803</v>
      </c>
      <c r="AA24" s="84"/>
      <c r="AB24" s="83">
        <v>70443</v>
      </c>
      <c r="AC24" s="84"/>
      <c r="AD24" s="83">
        <v>486886</v>
      </c>
      <c r="AE24" s="84"/>
      <c r="AF24" s="83">
        <v>481071</v>
      </c>
      <c r="AG24" s="84"/>
      <c r="AH24" s="83">
        <v>5815</v>
      </c>
      <c r="AI24" s="84"/>
      <c r="AJ24" s="83">
        <v>5348975</v>
      </c>
      <c r="AK24" s="84"/>
      <c r="AL24" s="83">
        <v>5310292</v>
      </c>
      <c r="AM24" s="84"/>
      <c r="AN24" s="83">
        <v>261692</v>
      </c>
      <c r="AO24" s="84"/>
      <c r="AP24" s="89">
        <v>258495</v>
      </c>
      <c r="AQ24" s="84"/>
      <c r="AR24" s="83">
        <v>20081036</v>
      </c>
      <c r="AS24" s="84"/>
      <c r="AT24" s="88">
        <v>164306746</v>
      </c>
      <c r="AU24" s="80"/>
      <c r="AV24" s="90">
        <v>182.44</v>
      </c>
      <c r="AW24" s="80" t="s">
        <v>103</v>
      </c>
      <c r="AX24" s="80" t="s">
        <v>729</v>
      </c>
    </row>
    <row r="25" spans="1:50">
      <c r="A25" s="80" t="s">
        <v>771</v>
      </c>
      <c r="B25" s="80" t="s">
        <v>772</v>
      </c>
      <c r="C25" s="80" t="s">
        <v>758</v>
      </c>
      <c r="D25" s="81">
        <v>6056</v>
      </c>
      <c r="E25" s="82">
        <v>60056</v>
      </c>
      <c r="F25" s="80" t="s">
        <v>740</v>
      </c>
      <c r="G25" s="80" t="s">
        <v>726</v>
      </c>
      <c r="H25" s="83">
        <v>5121892</v>
      </c>
      <c r="I25" s="84">
        <v>1082</v>
      </c>
      <c r="J25" s="80" t="s">
        <v>736</v>
      </c>
      <c r="K25" s="80" t="s">
        <v>735</v>
      </c>
      <c r="L25" s="85">
        <v>23</v>
      </c>
      <c r="M25" s="80"/>
      <c r="N25" s="86">
        <v>3</v>
      </c>
      <c r="O25" s="84"/>
      <c r="P25" s="87">
        <v>22.474</v>
      </c>
      <c r="Q25" s="84"/>
      <c r="R25" s="87">
        <v>17.300799999999999</v>
      </c>
      <c r="S25" s="84"/>
      <c r="T25" s="87">
        <v>20.252400000000002</v>
      </c>
      <c r="U25" s="84"/>
      <c r="V25" s="83">
        <v>1390207</v>
      </c>
      <c r="W25" s="84"/>
      <c r="X25" s="88">
        <v>1437340</v>
      </c>
      <c r="Y25" s="84"/>
      <c r="Z25" s="83">
        <v>1404961</v>
      </c>
      <c r="AA25" s="84"/>
      <c r="AB25" s="83">
        <v>32379</v>
      </c>
      <c r="AC25" s="84"/>
      <c r="AD25" s="83">
        <v>63773</v>
      </c>
      <c r="AE25" s="84"/>
      <c r="AF25" s="83">
        <v>62515</v>
      </c>
      <c r="AG25" s="84"/>
      <c r="AH25" s="83">
        <v>1258</v>
      </c>
      <c r="AI25" s="84"/>
      <c r="AJ25" s="83">
        <v>506768</v>
      </c>
      <c r="AK25" s="84"/>
      <c r="AL25" s="83">
        <v>495677</v>
      </c>
      <c r="AM25" s="84"/>
      <c r="AN25" s="83">
        <v>22535</v>
      </c>
      <c r="AO25" s="84"/>
      <c r="AP25" s="89">
        <v>22090</v>
      </c>
      <c r="AQ25" s="84"/>
      <c r="AR25" s="83">
        <v>1266076</v>
      </c>
      <c r="AS25" s="84"/>
      <c r="AT25" s="88">
        <v>21904126</v>
      </c>
      <c r="AU25" s="80"/>
      <c r="AV25" s="90">
        <v>72.3</v>
      </c>
      <c r="AW25" s="80" t="s">
        <v>103</v>
      </c>
      <c r="AX25" s="80" t="s">
        <v>729</v>
      </c>
    </row>
    <row r="26" spans="1:50">
      <c r="A26" s="80" t="s">
        <v>773</v>
      </c>
      <c r="B26" s="80" t="s">
        <v>774</v>
      </c>
      <c r="C26" s="80" t="s">
        <v>775</v>
      </c>
      <c r="D26" s="81">
        <v>8001</v>
      </c>
      <c r="E26" s="82">
        <v>80001</v>
      </c>
      <c r="F26" s="80" t="s">
        <v>740</v>
      </c>
      <c r="G26" s="80" t="s">
        <v>726</v>
      </c>
      <c r="H26" s="83">
        <v>1021243</v>
      </c>
      <c r="I26" s="84">
        <v>1081</v>
      </c>
      <c r="J26" s="80" t="s">
        <v>734</v>
      </c>
      <c r="K26" s="80" t="s">
        <v>728</v>
      </c>
      <c r="L26" s="85">
        <v>89</v>
      </c>
      <c r="M26" s="80"/>
      <c r="N26" s="86">
        <v>22</v>
      </c>
      <c r="O26" s="84"/>
      <c r="P26" s="87">
        <v>17.192799999999998</v>
      </c>
      <c r="Q26" s="84"/>
      <c r="R26" s="87">
        <v>4.7436999999999996</v>
      </c>
      <c r="S26" s="84"/>
      <c r="T26" s="87">
        <v>23.191400000000002</v>
      </c>
      <c r="U26" s="84"/>
      <c r="V26" s="83">
        <v>6112222</v>
      </c>
      <c r="W26" s="84"/>
      <c r="X26" s="88">
        <v>6204641</v>
      </c>
      <c r="Y26" s="84"/>
      <c r="Z26" s="83">
        <v>6114108</v>
      </c>
      <c r="AA26" s="84"/>
      <c r="AB26" s="83">
        <v>90533</v>
      </c>
      <c r="AC26" s="84"/>
      <c r="AD26" s="83">
        <v>367255</v>
      </c>
      <c r="AE26" s="84"/>
      <c r="AF26" s="83">
        <v>355621</v>
      </c>
      <c r="AG26" s="84"/>
      <c r="AH26" s="83">
        <v>11634</v>
      </c>
      <c r="AI26" s="84"/>
      <c r="AJ26" s="83">
        <v>2255583</v>
      </c>
      <c r="AK26" s="84"/>
      <c r="AL26" s="83">
        <v>2223959</v>
      </c>
      <c r="AM26" s="84"/>
      <c r="AN26" s="83">
        <v>136213</v>
      </c>
      <c r="AO26" s="84"/>
      <c r="AP26" s="89">
        <v>131989</v>
      </c>
      <c r="AQ26" s="84"/>
      <c r="AR26" s="83">
        <v>8247364</v>
      </c>
      <c r="AS26" s="84"/>
      <c r="AT26" s="88">
        <v>39122864</v>
      </c>
      <c r="AU26" s="80"/>
      <c r="AV26" s="90">
        <v>93.91</v>
      </c>
      <c r="AW26" s="80" t="s">
        <v>103</v>
      </c>
      <c r="AX26" s="80" t="s">
        <v>729</v>
      </c>
    </row>
    <row r="27" spans="1:50">
      <c r="A27" s="80" t="s">
        <v>773</v>
      </c>
      <c r="B27" s="80" t="s">
        <v>774</v>
      </c>
      <c r="C27" s="80" t="s">
        <v>775</v>
      </c>
      <c r="D27" s="81">
        <v>8001</v>
      </c>
      <c r="E27" s="82">
        <v>80001</v>
      </c>
      <c r="F27" s="80" t="s">
        <v>740</v>
      </c>
      <c r="G27" s="80" t="s">
        <v>726</v>
      </c>
      <c r="H27" s="83">
        <v>1021243</v>
      </c>
      <c r="I27" s="84">
        <v>1081</v>
      </c>
      <c r="J27" s="80" t="s">
        <v>736</v>
      </c>
      <c r="K27" s="80" t="s">
        <v>728</v>
      </c>
      <c r="L27" s="85">
        <v>50</v>
      </c>
      <c r="M27" s="80"/>
      <c r="N27" s="86">
        <v>9</v>
      </c>
      <c r="O27" s="84"/>
      <c r="P27" s="87">
        <v>32.473599999999998</v>
      </c>
      <c r="Q27" s="84"/>
      <c r="R27" s="87">
        <v>25.643899999999999</v>
      </c>
      <c r="S27" s="84"/>
      <c r="T27" s="87">
        <v>16.274799999999999</v>
      </c>
      <c r="U27" s="84"/>
      <c r="V27" s="83">
        <v>4053946</v>
      </c>
      <c r="W27" s="84"/>
      <c r="X27" s="88">
        <v>4051779</v>
      </c>
      <c r="Y27" s="84"/>
      <c r="Z27" s="83">
        <v>4039581</v>
      </c>
      <c r="AA27" s="84"/>
      <c r="AB27" s="83">
        <v>12198</v>
      </c>
      <c r="AC27" s="84"/>
      <c r="AD27" s="83">
        <v>128674</v>
      </c>
      <c r="AE27" s="84"/>
      <c r="AF27" s="83">
        <v>124396</v>
      </c>
      <c r="AG27" s="84"/>
      <c r="AH27" s="83">
        <v>4278</v>
      </c>
      <c r="AI27" s="84"/>
      <c r="AJ27" s="83">
        <v>1067699</v>
      </c>
      <c r="AK27" s="84"/>
      <c r="AL27" s="83">
        <v>1064546</v>
      </c>
      <c r="AM27" s="84"/>
      <c r="AN27" s="83">
        <v>33846</v>
      </c>
      <c r="AO27" s="84"/>
      <c r="AP27" s="89">
        <v>32741</v>
      </c>
      <c r="AQ27" s="84"/>
      <c r="AR27" s="83">
        <v>2024524</v>
      </c>
      <c r="AS27" s="84"/>
      <c r="AT27" s="88">
        <v>51916777</v>
      </c>
      <c r="AU27" s="80"/>
      <c r="AV27" s="90">
        <v>174.46</v>
      </c>
      <c r="AW27" s="80" t="s">
        <v>103</v>
      </c>
      <c r="AX27" s="80" t="s">
        <v>729</v>
      </c>
    </row>
    <row r="28" spans="1:50">
      <c r="A28" s="80" t="s">
        <v>776</v>
      </c>
      <c r="B28" s="80" t="s">
        <v>745</v>
      </c>
      <c r="C28" s="80" t="s">
        <v>746</v>
      </c>
      <c r="D28" s="81">
        <v>5118</v>
      </c>
      <c r="E28" s="82">
        <v>50118</v>
      </c>
      <c r="F28" s="80" t="s">
        <v>740</v>
      </c>
      <c r="G28" s="80" t="s">
        <v>726</v>
      </c>
      <c r="H28" s="83">
        <v>8608208</v>
      </c>
      <c r="I28" s="84">
        <v>1066</v>
      </c>
      <c r="J28" s="80" t="s">
        <v>736</v>
      </c>
      <c r="K28" s="80" t="s">
        <v>735</v>
      </c>
      <c r="L28" s="85">
        <v>527</v>
      </c>
      <c r="M28" s="80"/>
      <c r="N28" s="86">
        <v>40</v>
      </c>
      <c r="O28" s="84"/>
      <c r="P28" s="87">
        <v>30.932500000000001</v>
      </c>
      <c r="Q28" s="84"/>
      <c r="R28" s="87">
        <v>21.712499999999999</v>
      </c>
      <c r="S28" s="84"/>
      <c r="T28" s="87">
        <v>18.979099999999999</v>
      </c>
      <c r="U28" s="84"/>
      <c r="V28" s="83">
        <v>16284231</v>
      </c>
      <c r="W28" s="84"/>
      <c r="X28" s="88">
        <v>16302662</v>
      </c>
      <c r="Y28" s="84"/>
      <c r="Z28" s="83">
        <v>15388572</v>
      </c>
      <c r="AA28" s="84"/>
      <c r="AB28" s="83">
        <v>914090</v>
      </c>
      <c r="AC28" s="84"/>
      <c r="AD28" s="83">
        <v>520340</v>
      </c>
      <c r="AE28" s="84"/>
      <c r="AF28" s="83">
        <v>497488</v>
      </c>
      <c r="AG28" s="84"/>
      <c r="AH28" s="83">
        <v>22852</v>
      </c>
      <c r="AI28" s="84"/>
      <c r="AJ28" s="83">
        <v>2394714</v>
      </c>
      <c r="AK28" s="84"/>
      <c r="AL28" s="83">
        <v>2258067</v>
      </c>
      <c r="AM28" s="84"/>
      <c r="AN28" s="83">
        <v>76862</v>
      </c>
      <c r="AO28" s="84"/>
      <c r="AP28" s="89">
        <v>73504</v>
      </c>
      <c r="AQ28" s="84"/>
      <c r="AR28" s="83">
        <v>9441882</v>
      </c>
      <c r="AS28" s="84"/>
      <c r="AT28" s="88">
        <v>205006670</v>
      </c>
      <c r="AU28" s="80"/>
      <c r="AV28" s="90">
        <v>399.6</v>
      </c>
      <c r="AW28" s="80" t="s">
        <v>103</v>
      </c>
      <c r="AX28" s="80" t="s">
        <v>729</v>
      </c>
    </row>
    <row r="29" spans="1:50">
      <c r="A29" s="80" t="s">
        <v>776</v>
      </c>
      <c r="B29" s="80" t="s">
        <v>745</v>
      </c>
      <c r="C29" s="80" t="s">
        <v>746</v>
      </c>
      <c r="D29" s="81">
        <v>5118</v>
      </c>
      <c r="E29" s="82">
        <v>50118</v>
      </c>
      <c r="F29" s="80" t="s">
        <v>740</v>
      </c>
      <c r="G29" s="80" t="s">
        <v>726</v>
      </c>
      <c r="H29" s="83">
        <v>8608208</v>
      </c>
      <c r="I29" s="84">
        <v>1066</v>
      </c>
      <c r="J29" s="80" t="s">
        <v>736</v>
      </c>
      <c r="K29" s="80" t="s">
        <v>728</v>
      </c>
      <c r="L29" s="85">
        <v>539</v>
      </c>
      <c r="M29" s="80"/>
      <c r="N29" s="86">
        <v>53</v>
      </c>
      <c r="O29" s="84"/>
      <c r="P29" s="87">
        <v>29.0824</v>
      </c>
      <c r="Q29" s="84"/>
      <c r="R29" s="87">
        <v>21.172499999999999</v>
      </c>
      <c r="S29" s="84"/>
      <c r="T29" s="87">
        <v>13.8796</v>
      </c>
      <c r="U29" s="84"/>
      <c r="V29" s="83">
        <v>16028080</v>
      </c>
      <c r="W29" s="84"/>
      <c r="X29" s="88">
        <v>15585872</v>
      </c>
      <c r="Y29" s="84"/>
      <c r="Z29" s="83">
        <v>15273179</v>
      </c>
      <c r="AA29" s="84"/>
      <c r="AB29" s="83">
        <v>312693</v>
      </c>
      <c r="AC29" s="84"/>
      <c r="AD29" s="83">
        <v>535954</v>
      </c>
      <c r="AE29" s="84"/>
      <c r="AF29" s="83">
        <v>525169</v>
      </c>
      <c r="AG29" s="84"/>
      <c r="AH29" s="83">
        <v>10785</v>
      </c>
      <c r="AI29" s="84"/>
      <c r="AJ29" s="83">
        <v>2545102</v>
      </c>
      <c r="AK29" s="84"/>
      <c r="AL29" s="83">
        <v>2494601</v>
      </c>
      <c r="AM29" s="84"/>
      <c r="AN29" s="83">
        <v>89035</v>
      </c>
      <c r="AO29" s="84"/>
      <c r="AP29" s="89">
        <v>87312</v>
      </c>
      <c r="AQ29" s="84"/>
      <c r="AR29" s="83">
        <v>7289149</v>
      </c>
      <c r="AS29" s="84"/>
      <c r="AT29" s="88">
        <v>154329520</v>
      </c>
      <c r="AU29" s="80"/>
      <c r="AV29" s="90">
        <v>575.4</v>
      </c>
      <c r="AW29" s="80" t="s">
        <v>103</v>
      </c>
      <c r="AX29" s="80" t="s">
        <v>729</v>
      </c>
    </row>
    <row r="30" spans="1:50">
      <c r="A30" s="80" t="s">
        <v>777</v>
      </c>
      <c r="B30" s="80" t="s">
        <v>778</v>
      </c>
      <c r="C30" s="80" t="s">
        <v>724</v>
      </c>
      <c r="D30" s="81">
        <v>2100</v>
      </c>
      <c r="E30" s="82">
        <v>20100</v>
      </c>
      <c r="F30" s="80" t="s">
        <v>725</v>
      </c>
      <c r="G30" s="80" t="s">
        <v>726</v>
      </c>
      <c r="H30" s="83">
        <v>18351295</v>
      </c>
      <c r="I30" s="84">
        <v>1022</v>
      </c>
      <c r="J30" s="80" t="s">
        <v>736</v>
      </c>
      <c r="K30" s="80" t="s">
        <v>728</v>
      </c>
      <c r="L30" s="85">
        <v>1022</v>
      </c>
      <c r="M30" s="80"/>
      <c r="N30" s="86">
        <v>107</v>
      </c>
      <c r="O30" s="84"/>
      <c r="P30" s="87">
        <v>29.212299999999999</v>
      </c>
      <c r="Q30" s="84"/>
      <c r="R30" s="87">
        <v>28.269200000000001</v>
      </c>
      <c r="S30" s="84" t="s">
        <v>747</v>
      </c>
      <c r="T30" s="87">
        <v>20.565999999999999</v>
      </c>
      <c r="U30" s="84" t="s">
        <v>747</v>
      </c>
      <c r="V30" s="83">
        <v>61301708</v>
      </c>
      <c r="W30" s="84"/>
      <c r="X30" s="88">
        <v>68469245</v>
      </c>
      <c r="Y30" s="84"/>
      <c r="Z30" s="83">
        <v>61766650</v>
      </c>
      <c r="AA30" s="84"/>
      <c r="AB30" s="83">
        <v>6702595</v>
      </c>
      <c r="AC30" s="84"/>
      <c r="AD30" s="83">
        <v>2305899</v>
      </c>
      <c r="AE30" s="84"/>
      <c r="AF30" s="83">
        <v>2114409</v>
      </c>
      <c r="AG30" s="84"/>
      <c r="AH30" s="83">
        <v>191490</v>
      </c>
      <c r="AI30" s="84"/>
      <c r="AJ30" s="83">
        <v>7765181</v>
      </c>
      <c r="AK30" s="84"/>
      <c r="AL30" s="83">
        <v>6968685</v>
      </c>
      <c r="AM30" s="84"/>
      <c r="AN30" s="83">
        <v>266731</v>
      </c>
      <c r="AO30" s="84"/>
      <c r="AP30" s="89">
        <v>199752</v>
      </c>
      <c r="AQ30" s="84"/>
      <c r="AR30" s="83">
        <v>43484907</v>
      </c>
      <c r="AS30" s="84" t="s">
        <v>747</v>
      </c>
      <c r="AT30" s="88">
        <v>1229284540</v>
      </c>
      <c r="AU30" s="80" t="s">
        <v>747</v>
      </c>
      <c r="AV30" s="90">
        <v>638.20000000000005</v>
      </c>
      <c r="AW30" s="80" t="s">
        <v>103</v>
      </c>
      <c r="AX30" s="80" t="s">
        <v>748</v>
      </c>
    </row>
    <row r="31" spans="1:50">
      <c r="A31" s="80" t="s">
        <v>779</v>
      </c>
      <c r="B31" s="80" t="s">
        <v>780</v>
      </c>
      <c r="C31" s="80" t="s">
        <v>739</v>
      </c>
      <c r="D31" s="81">
        <v>9015</v>
      </c>
      <c r="E31" s="82">
        <v>90015</v>
      </c>
      <c r="F31" s="80" t="s">
        <v>766</v>
      </c>
      <c r="G31" s="80" t="s">
        <v>726</v>
      </c>
      <c r="H31" s="83">
        <v>3281212</v>
      </c>
      <c r="I31" s="84">
        <v>996</v>
      </c>
      <c r="J31" s="80" t="s">
        <v>734</v>
      </c>
      <c r="K31" s="80" t="s">
        <v>728</v>
      </c>
      <c r="L31" s="85">
        <v>149</v>
      </c>
      <c r="M31" s="80"/>
      <c r="N31" s="86">
        <v>141</v>
      </c>
      <c r="O31" s="84"/>
      <c r="P31" s="87">
        <v>9.4969999999999999</v>
      </c>
      <c r="Q31" s="84"/>
      <c r="R31" s="87">
        <v>2.7421000000000002</v>
      </c>
      <c r="S31" s="84"/>
      <c r="T31" s="87">
        <v>76.584800000000001</v>
      </c>
      <c r="U31" s="84"/>
      <c r="V31" s="83">
        <v>4944335</v>
      </c>
      <c r="W31" s="84"/>
      <c r="X31" s="88">
        <v>4660934</v>
      </c>
      <c r="Y31" s="84"/>
      <c r="Z31" s="83">
        <v>4640244</v>
      </c>
      <c r="AA31" s="84"/>
      <c r="AB31" s="83">
        <v>20690</v>
      </c>
      <c r="AC31" s="84"/>
      <c r="AD31" s="83">
        <v>491748</v>
      </c>
      <c r="AE31" s="84"/>
      <c r="AF31" s="83">
        <v>488601</v>
      </c>
      <c r="AG31" s="84"/>
      <c r="AH31" s="83">
        <v>3147</v>
      </c>
      <c r="AI31" s="84"/>
      <c r="AJ31" s="83">
        <v>3097363</v>
      </c>
      <c r="AK31" s="84"/>
      <c r="AL31" s="83">
        <v>3084167</v>
      </c>
      <c r="AM31" s="84"/>
      <c r="AN31" s="83">
        <v>326422</v>
      </c>
      <c r="AO31" s="84"/>
      <c r="AP31" s="89">
        <v>324323</v>
      </c>
      <c r="AQ31" s="84"/>
      <c r="AR31" s="83">
        <v>37419416</v>
      </c>
      <c r="AS31" s="84"/>
      <c r="AT31" s="88">
        <v>102607757</v>
      </c>
      <c r="AU31" s="80"/>
      <c r="AV31" s="90">
        <v>64.400000000000006</v>
      </c>
      <c r="AW31" s="80" t="s">
        <v>103</v>
      </c>
      <c r="AX31" s="80" t="s">
        <v>729</v>
      </c>
    </row>
    <row r="32" spans="1:50">
      <c r="A32" s="80" t="s">
        <v>781</v>
      </c>
      <c r="B32" s="80" t="s">
        <v>782</v>
      </c>
      <c r="C32" s="80" t="s">
        <v>783</v>
      </c>
      <c r="D32" s="81">
        <v>8</v>
      </c>
      <c r="E32" s="82">
        <v>8</v>
      </c>
      <c r="F32" s="80" t="s">
        <v>740</v>
      </c>
      <c r="G32" s="80" t="s">
        <v>726</v>
      </c>
      <c r="H32" s="83">
        <v>1849898</v>
      </c>
      <c r="I32" s="84">
        <v>982</v>
      </c>
      <c r="J32" s="80" t="s">
        <v>734</v>
      </c>
      <c r="K32" s="80" t="s">
        <v>728</v>
      </c>
      <c r="L32" s="85">
        <v>116</v>
      </c>
      <c r="M32" s="80"/>
      <c r="N32" s="86">
        <v>55</v>
      </c>
      <c r="O32" s="84"/>
      <c r="P32" s="87">
        <v>14.136900000000001</v>
      </c>
      <c r="Q32" s="84"/>
      <c r="R32" s="87">
        <v>5.2552000000000003</v>
      </c>
      <c r="S32" s="84"/>
      <c r="T32" s="87">
        <v>48.392400000000002</v>
      </c>
      <c r="U32" s="84"/>
      <c r="V32" s="83">
        <v>8977599</v>
      </c>
      <c r="W32" s="84"/>
      <c r="X32" s="88">
        <v>8981104</v>
      </c>
      <c r="Y32" s="84"/>
      <c r="Z32" s="83">
        <v>8864217</v>
      </c>
      <c r="AA32" s="84"/>
      <c r="AB32" s="83">
        <v>116887</v>
      </c>
      <c r="AC32" s="84"/>
      <c r="AD32" s="83">
        <v>636882</v>
      </c>
      <c r="AE32" s="84"/>
      <c r="AF32" s="83">
        <v>627025</v>
      </c>
      <c r="AG32" s="84"/>
      <c r="AH32" s="83">
        <v>9857</v>
      </c>
      <c r="AI32" s="84"/>
      <c r="AJ32" s="83">
        <v>4501055</v>
      </c>
      <c r="AK32" s="84"/>
      <c r="AL32" s="83">
        <v>4442373</v>
      </c>
      <c r="AM32" s="84"/>
      <c r="AN32" s="83">
        <v>319090</v>
      </c>
      <c r="AO32" s="84"/>
      <c r="AP32" s="89">
        <v>314140</v>
      </c>
      <c r="AQ32" s="84"/>
      <c r="AR32" s="83">
        <v>30343267</v>
      </c>
      <c r="AS32" s="84"/>
      <c r="AT32" s="88">
        <v>159458488</v>
      </c>
      <c r="AU32" s="80"/>
      <c r="AV32" s="90">
        <v>118.91</v>
      </c>
      <c r="AW32" s="80" t="s">
        <v>103</v>
      </c>
      <c r="AX32" s="80" t="s">
        <v>729</v>
      </c>
    </row>
    <row r="33" spans="1:50">
      <c r="A33" s="80" t="s">
        <v>784</v>
      </c>
      <c r="B33" s="80" t="s">
        <v>785</v>
      </c>
      <c r="C33" s="80" t="s">
        <v>786</v>
      </c>
      <c r="D33" s="81">
        <v>4022</v>
      </c>
      <c r="E33" s="82">
        <v>40022</v>
      </c>
      <c r="F33" s="80" t="s">
        <v>740</v>
      </c>
      <c r="G33" s="80" t="s">
        <v>726</v>
      </c>
      <c r="H33" s="83">
        <v>4515419</v>
      </c>
      <c r="I33" s="84">
        <v>943</v>
      </c>
      <c r="J33" s="80" t="s">
        <v>727</v>
      </c>
      <c r="K33" s="80" t="s">
        <v>728</v>
      </c>
      <c r="L33" s="85">
        <v>212</v>
      </c>
      <c r="M33" s="80"/>
      <c r="N33" s="86">
        <v>39</v>
      </c>
      <c r="O33" s="84"/>
      <c r="P33" s="87">
        <v>26.494</v>
      </c>
      <c r="Q33" s="84"/>
      <c r="R33" s="87">
        <v>7.2762000000000002</v>
      </c>
      <c r="S33" s="84"/>
      <c r="T33" s="87">
        <v>58.747300000000003</v>
      </c>
      <c r="U33" s="84"/>
      <c r="V33" s="83">
        <v>20499724</v>
      </c>
      <c r="W33" s="84"/>
      <c r="X33" s="88">
        <v>21145309</v>
      </c>
      <c r="Y33" s="84"/>
      <c r="Z33" s="83">
        <v>20430752</v>
      </c>
      <c r="AA33" s="84"/>
      <c r="AB33" s="83">
        <v>714557</v>
      </c>
      <c r="AC33" s="84"/>
      <c r="AD33" s="83">
        <v>794602</v>
      </c>
      <c r="AE33" s="84"/>
      <c r="AF33" s="83">
        <v>771146</v>
      </c>
      <c r="AG33" s="84"/>
      <c r="AH33" s="83">
        <v>23456</v>
      </c>
      <c r="AI33" s="84"/>
      <c r="AJ33" s="83">
        <v>3715370</v>
      </c>
      <c r="AK33" s="84"/>
      <c r="AL33" s="83">
        <v>3628801</v>
      </c>
      <c r="AM33" s="84"/>
      <c r="AN33" s="83">
        <v>143614</v>
      </c>
      <c r="AO33" s="84"/>
      <c r="AP33" s="89">
        <v>139086</v>
      </c>
      <c r="AQ33" s="84"/>
      <c r="AR33" s="83">
        <v>45302714</v>
      </c>
      <c r="AS33" s="84"/>
      <c r="AT33" s="88">
        <v>329631085</v>
      </c>
      <c r="AU33" s="80"/>
      <c r="AV33" s="90">
        <v>96.06</v>
      </c>
      <c r="AW33" s="80" t="s">
        <v>103</v>
      </c>
      <c r="AX33" s="80" t="s">
        <v>729</v>
      </c>
    </row>
    <row r="34" spans="1:50">
      <c r="A34" s="80" t="s">
        <v>787</v>
      </c>
      <c r="B34" s="80" t="s">
        <v>788</v>
      </c>
      <c r="C34" s="80" t="s">
        <v>755</v>
      </c>
      <c r="D34" s="81">
        <v>3022</v>
      </c>
      <c r="E34" s="82">
        <v>30022</v>
      </c>
      <c r="F34" s="80" t="s">
        <v>740</v>
      </c>
      <c r="G34" s="80" t="s">
        <v>726</v>
      </c>
      <c r="H34" s="83">
        <v>1733853</v>
      </c>
      <c r="I34" s="84">
        <v>930</v>
      </c>
      <c r="J34" s="80" t="s">
        <v>734</v>
      </c>
      <c r="K34" s="80" t="s">
        <v>728</v>
      </c>
      <c r="L34" s="85">
        <v>58</v>
      </c>
      <c r="M34" s="80"/>
      <c r="N34" s="86">
        <v>29</v>
      </c>
      <c r="O34" s="84"/>
      <c r="P34" s="87">
        <v>12.909700000000001</v>
      </c>
      <c r="Q34" s="84"/>
      <c r="R34" s="87">
        <v>4.0317999999999996</v>
      </c>
      <c r="S34" s="84"/>
      <c r="T34" s="87">
        <v>37.530500000000004</v>
      </c>
      <c r="U34" s="84"/>
      <c r="V34" s="83">
        <v>2027777</v>
      </c>
      <c r="W34" s="84"/>
      <c r="X34" s="88">
        <v>1999310</v>
      </c>
      <c r="Y34" s="84"/>
      <c r="Z34" s="83">
        <v>1916792</v>
      </c>
      <c r="AA34" s="84"/>
      <c r="AB34" s="83">
        <v>82518</v>
      </c>
      <c r="AC34" s="84"/>
      <c r="AD34" s="83">
        <v>155486</v>
      </c>
      <c r="AE34" s="84"/>
      <c r="AF34" s="83">
        <v>148477</v>
      </c>
      <c r="AG34" s="84"/>
      <c r="AH34" s="83">
        <v>7009</v>
      </c>
      <c r="AI34" s="84"/>
      <c r="AJ34" s="83">
        <v>1497766</v>
      </c>
      <c r="AK34" s="84"/>
      <c r="AL34" s="83">
        <v>1442245</v>
      </c>
      <c r="AM34" s="84"/>
      <c r="AN34" s="83">
        <v>116738</v>
      </c>
      <c r="AO34" s="84"/>
      <c r="AP34" s="89">
        <v>112071</v>
      </c>
      <c r="AQ34" s="84"/>
      <c r="AR34" s="83">
        <v>5572417</v>
      </c>
      <c r="AS34" s="84"/>
      <c r="AT34" s="88">
        <v>22466673</v>
      </c>
      <c r="AU34" s="80"/>
      <c r="AV34" s="90">
        <v>49.64</v>
      </c>
      <c r="AW34" s="80" t="s">
        <v>103</v>
      </c>
      <c r="AX34" s="80" t="s">
        <v>729</v>
      </c>
    </row>
    <row r="35" spans="1:50">
      <c r="A35" s="80" t="s">
        <v>789</v>
      </c>
      <c r="B35" s="80" t="s">
        <v>790</v>
      </c>
      <c r="C35" s="80" t="s">
        <v>739</v>
      </c>
      <c r="D35" s="81">
        <v>9026</v>
      </c>
      <c r="E35" s="82">
        <v>90026</v>
      </c>
      <c r="F35" s="80" t="s">
        <v>740</v>
      </c>
      <c r="G35" s="80" t="s">
        <v>726</v>
      </c>
      <c r="H35" s="83">
        <v>2956746</v>
      </c>
      <c r="I35" s="84">
        <v>906</v>
      </c>
      <c r="J35" s="80" t="s">
        <v>734</v>
      </c>
      <c r="K35" s="80" t="s">
        <v>728</v>
      </c>
      <c r="L35" s="85">
        <v>103</v>
      </c>
      <c r="M35" s="80"/>
      <c r="N35" s="86">
        <v>35</v>
      </c>
      <c r="O35" s="84"/>
      <c r="P35" s="87">
        <v>18.120799999999999</v>
      </c>
      <c r="Q35" s="84"/>
      <c r="R35" s="87">
        <v>6.0708000000000002</v>
      </c>
      <c r="S35" s="84"/>
      <c r="T35" s="87">
        <v>62.966000000000001</v>
      </c>
      <c r="U35" s="84"/>
      <c r="V35" s="83">
        <v>9662505</v>
      </c>
      <c r="W35" s="84"/>
      <c r="X35" s="88">
        <v>9410942</v>
      </c>
      <c r="Y35" s="84"/>
      <c r="Z35" s="83">
        <v>9210076</v>
      </c>
      <c r="AA35" s="84"/>
      <c r="AB35" s="83">
        <v>200866</v>
      </c>
      <c r="AC35" s="84"/>
      <c r="AD35" s="83">
        <v>527144</v>
      </c>
      <c r="AE35" s="84"/>
      <c r="AF35" s="83">
        <v>508259</v>
      </c>
      <c r="AG35" s="84"/>
      <c r="AH35" s="83">
        <v>18885</v>
      </c>
      <c r="AI35" s="84"/>
      <c r="AJ35" s="83">
        <v>3279625</v>
      </c>
      <c r="AK35" s="84"/>
      <c r="AL35" s="83">
        <v>3207856</v>
      </c>
      <c r="AM35" s="84"/>
      <c r="AN35" s="83">
        <v>183992</v>
      </c>
      <c r="AO35" s="84"/>
      <c r="AP35" s="89">
        <v>177429</v>
      </c>
      <c r="AQ35" s="84"/>
      <c r="AR35" s="83">
        <v>32003027</v>
      </c>
      <c r="AS35" s="84"/>
      <c r="AT35" s="88">
        <v>194284885</v>
      </c>
      <c r="AU35" s="80"/>
      <c r="AV35" s="90">
        <v>108.4</v>
      </c>
      <c r="AW35" s="80" t="s">
        <v>103</v>
      </c>
      <c r="AX35" s="80" t="s">
        <v>729</v>
      </c>
    </row>
    <row r="36" spans="1:50">
      <c r="A36" s="80" t="s">
        <v>791</v>
      </c>
      <c r="B36" s="80" t="s">
        <v>792</v>
      </c>
      <c r="C36" s="80" t="s">
        <v>793</v>
      </c>
      <c r="D36" s="81">
        <v>5027</v>
      </c>
      <c r="E36" s="82">
        <v>50027</v>
      </c>
      <c r="F36" s="80" t="s">
        <v>725</v>
      </c>
      <c r="G36" s="80" t="s">
        <v>726</v>
      </c>
      <c r="H36" s="83">
        <v>2650890</v>
      </c>
      <c r="I36" s="84">
        <v>823</v>
      </c>
      <c r="J36" s="80" t="s">
        <v>734</v>
      </c>
      <c r="K36" s="80" t="s">
        <v>728</v>
      </c>
      <c r="L36" s="85">
        <v>76</v>
      </c>
      <c r="M36" s="80"/>
      <c r="N36" s="86">
        <v>23</v>
      </c>
      <c r="O36" s="84"/>
      <c r="P36" s="87">
        <v>11.985900000000001</v>
      </c>
      <c r="Q36" s="84"/>
      <c r="R36" s="87">
        <v>3.9723999999999999</v>
      </c>
      <c r="S36" s="84" t="s">
        <v>747</v>
      </c>
      <c r="T36" s="87">
        <v>30.465299999999999</v>
      </c>
      <c r="U36" s="84"/>
      <c r="V36" s="83">
        <v>4237895</v>
      </c>
      <c r="W36" s="84"/>
      <c r="X36" s="88">
        <v>4129925</v>
      </c>
      <c r="Y36" s="84"/>
      <c r="Z36" s="83">
        <v>4034814</v>
      </c>
      <c r="AA36" s="84"/>
      <c r="AB36" s="83">
        <v>95111</v>
      </c>
      <c r="AC36" s="84"/>
      <c r="AD36" s="83">
        <v>354913</v>
      </c>
      <c r="AE36" s="84"/>
      <c r="AF36" s="83">
        <v>336629</v>
      </c>
      <c r="AG36" s="84"/>
      <c r="AH36" s="83">
        <v>18284</v>
      </c>
      <c r="AI36" s="84"/>
      <c r="AJ36" s="83">
        <v>1500026</v>
      </c>
      <c r="AK36" s="84"/>
      <c r="AL36" s="83">
        <v>1436691</v>
      </c>
      <c r="AM36" s="84"/>
      <c r="AN36" s="83">
        <v>125192</v>
      </c>
      <c r="AO36" s="84"/>
      <c r="AP36" s="89">
        <v>118274</v>
      </c>
      <c r="AQ36" s="84"/>
      <c r="AR36" s="83">
        <v>10255520</v>
      </c>
      <c r="AS36" s="84"/>
      <c r="AT36" s="88">
        <v>40738989</v>
      </c>
      <c r="AU36" s="80" t="s">
        <v>747</v>
      </c>
      <c r="AV36" s="90">
        <v>44.26</v>
      </c>
      <c r="AW36" s="80" t="s">
        <v>103</v>
      </c>
      <c r="AX36" s="80" t="s">
        <v>748</v>
      </c>
    </row>
    <row r="37" spans="1:50">
      <c r="A37" s="80" t="s">
        <v>791</v>
      </c>
      <c r="B37" s="80" t="s">
        <v>792</v>
      </c>
      <c r="C37" s="80" t="s">
        <v>793</v>
      </c>
      <c r="D37" s="81">
        <v>5027</v>
      </c>
      <c r="E37" s="82">
        <v>50027</v>
      </c>
      <c r="F37" s="80" t="s">
        <v>725</v>
      </c>
      <c r="G37" s="80" t="s">
        <v>726</v>
      </c>
      <c r="H37" s="83">
        <v>2650890</v>
      </c>
      <c r="I37" s="84">
        <v>823</v>
      </c>
      <c r="J37" s="80" t="s">
        <v>736</v>
      </c>
      <c r="K37" s="80" t="s">
        <v>735</v>
      </c>
      <c r="L37" s="85">
        <v>20</v>
      </c>
      <c r="M37" s="80"/>
      <c r="N37" s="86">
        <v>4</v>
      </c>
      <c r="O37" s="84"/>
      <c r="P37" s="87">
        <v>43.768999999999998</v>
      </c>
      <c r="Q37" s="84"/>
      <c r="R37" s="87">
        <v>24.702500000000001</v>
      </c>
      <c r="S37" s="84" t="s">
        <v>747</v>
      </c>
      <c r="T37" s="87">
        <v>26.3444</v>
      </c>
      <c r="U37" s="84"/>
      <c r="V37" s="83">
        <v>253487</v>
      </c>
      <c r="W37" s="84"/>
      <c r="X37" s="88">
        <v>256360</v>
      </c>
      <c r="Y37" s="84"/>
      <c r="Z37" s="83">
        <v>253291</v>
      </c>
      <c r="AA37" s="84"/>
      <c r="AB37" s="83">
        <v>3069</v>
      </c>
      <c r="AC37" s="84"/>
      <c r="AD37" s="83">
        <v>6199</v>
      </c>
      <c r="AE37" s="84"/>
      <c r="AF37" s="83">
        <v>5787</v>
      </c>
      <c r="AG37" s="84"/>
      <c r="AH37" s="83">
        <v>412</v>
      </c>
      <c r="AI37" s="84"/>
      <c r="AJ37" s="83">
        <v>64139</v>
      </c>
      <c r="AK37" s="84"/>
      <c r="AL37" s="83">
        <v>63372</v>
      </c>
      <c r="AM37" s="84"/>
      <c r="AN37" s="83">
        <v>1552</v>
      </c>
      <c r="AO37" s="84"/>
      <c r="AP37" s="89">
        <v>1448</v>
      </c>
      <c r="AQ37" s="84"/>
      <c r="AR37" s="83">
        <v>152455</v>
      </c>
      <c r="AS37" s="84"/>
      <c r="AT37" s="88">
        <v>3766017</v>
      </c>
      <c r="AU37" s="80" t="s">
        <v>747</v>
      </c>
      <c r="AV37" s="90">
        <v>77.900000000000006</v>
      </c>
      <c r="AW37" s="80" t="s">
        <v>103</v>
      </c>
      <c r="AX37" s="80" t="s">
        <v>748</v>
      </c>
    </row>
    <row r="38" spans="1:50">
      <c r="A38" s="80" t="s">
        <v>794</v>
      </c>
      <c r="B38" s="80" t="s">
        <v>795</v>
      </c>
      <c r="C38" s="80" t="s">
        <v>739</v>
      </c>
      <c r="D38" s="81">
        <v>9013</v>
      </c>
      <c r="E38" s="82">
        <v>90013</v>
      </c>
      <c r="F38" s="80" t="s">
        <v>740</v>
      </c>
      <c r="G38" s="80" t="s">
        <v>726</v>
      </c>
      <c r="H38" s="83">
        <v>1664496</v>
      </c>
      <c r="I38" s="84">
        <v>635</v>
      </c>
      <c r="J38" s="80" t="s">
        <v>734</v>
      </c>
      <c r="K38" s="80" t="s">
        <v>728</v>
      </c>
      <c r="L38" s="85">
        <v>61</v>
      </c>
      <c r="M38" s="80"/>
      <c r="N38" s="86">
        <v>29</v>
      </c>
      <c r="O38" s="84"/>
      <c r="P38" s="87">
        <v>14.6876</v>
      </c>
      <c r="Q38" s="84"/>
      <c r="R38" s="87">
        <v>5.3385999999999996</v>
      </c>
      <c r="S38" s="84"/>
      <c r="T38" s="87">
        <v>31.957599999999999</v>
      </c>
      <c r="U38" s="84"/>
      <c r="V38" s="83">
        <v>3049391</v>
      </c>
      <c r="W38" s="84"/>
      <c r="X38" s="88">
        <v>3045104</v>
      </c>
      <c r="Y38" s="84"/>
      <c r="Z38" s="83">
        <v>2886997</v>
      </c>
      <c r="AA38" s="84"/>
      <c r="AB38" s="83">
        <v>158107</v>
      </c>
      <c r="AC38" s="84"/>
      <c r="AD38" s="83">
        <v>208938</v>
      </c>
      <c r="AE38" s="84"/>
      <c r="AF38" s="83">
        <v>196560</v>
      </c>
      <c r="AG38" s="84"/>
      <c r="AH38" s="83">
        <v>12378</v>
      </c>
      <c r="AI38" s="84"/>
      <c r="AJ38" s="83">
        <v>1824324</v>
      </c>
      <c r="AK38" s="84"/>
      <c r="AL38" s="83">
        <v>1733696</v>
      </c>
      <c r="AM38" s="84"/>
      <c r="AN38" s="83">
        <v>131172</v>
      </c>
      <c r="AO38" s="84"/>
      <c r="AP38" s="89">
        <v>123509</v>
      </c>
      <c r="AQ38" s="84"/>
      <c r="AR38" s="83">
        <v>6281578</v>
      </c>
      <c r="AS38" s="84"/>
      <c r="AT38" s="88">
        <v>33535077</v>
      </c>
      <c r="AU38" s="80"/>
      <c r="AV38" s="90">
        <v>80.959999999999994</v>
      </c>
      <c r="AW38" s="80" t="s">
        <v>103</v>
      </c>
      <c r="AX38" s="80" t="s">
        <v>729</v>
      </c>
    </row>
    <row r="39" spans="1:50">
      <c r="A39" s="80" t="s">
        <v>796</v>
      </c>
      <c r="B39" s="80" t="s">
        <v>797</v>
      </c>
      <c r="C39" s="80" t="s">
        <v>739</v>
      </c>
      <c r="D39" s="81">
        <v>9003</v>
      </c>
      <c r="E39" s="82">
        <v>90003</v>
      </c>
      <c r="F39" s="80" t="s">
        <v>740</v>
      </c>
      <c r="G39" s="80" t="s">
        <v>726</v>
      </c>
      <c r="H39" s="83">
        <v>3281212</v>
      </c>
      <c r="I39" s="84">
        <v>616</v>
      </c>
      <c r="J39" s="80" t="s">
        <v>727</v>
      </c>
      <c r="K39" s="80" t="s">
        <v>728</v>
      </c>
      <c r="L39" s="85">
        <v>599</v>
      </c>
      <c r="M39" s="80"/>
      <c r="N39" s="86">
        <v>56</v>
      </c>
      <c r="O39" s="84"/>
      <c r="P39" s="87">
        <v>34.829900000000002</v>
      </c>
      <c r="Q39" s="84" t="s">
        <v>747</v>
      </c>
      <c r="R39" s="87">
        <v>13.962999999999999</v>
      </c>
      <c r="S39" s="84"/>
      <c r="T39" s="87">
        <v>44.260899999999999</v>
      </c>
      <c r="U39" s="84" t="s">
        <v>747</v>
      </c>
      <c r="V39" s="83">
        <v>69597595</v>
      </c>
      <c r="W39" s="84"/>
      <c r="X39" s="88">
        <v>72050709</v>
      </c>
      <c r="Y39" s="84"/>
      <c r="Z39" s="83">
        <v>69799195</v>
      </c>
      <c r="AA39" s="84"/>
      <c r="AB39" s="83">
        <v>2251514</v>
      </c>
      <c r="AC39" s="84"/>
      <c r="AD39" s="83">
        <v>2377255</v>
      </c>
      <c r="AE39" s="84"/>
      <c r="AF39" s="83">
        <v>2004002</v>
      </c>
      <c r="AG39" s="84" t="s">
        <v>747</v>
      </c>
      <c r="AH39" s="83">
        <v>373253</v>
      </c>
      <c r="AI39" s="84"/>
      <c r="AJ39" s="83">
        <v>8255518</v>
      </c>
      <c r="AK39" s="84"/>
      <c r="AL39" s="83">
        <v>7973519</v>
      </c>
      <c r="AM39" s="84"/>
      <c r="AN39" s="83">
        <v>277276</v>
      </c>
      <c r="AO39" s="84"/>
      <c r="AP39" s="89">
        <v>229211</v>
      </c>
      <c r="AQ39" s="84"/>
      <c r="AR39" s="83">
        <v>88698878</v>
      </c>
      <c r="AS39" s="84"/>
      <c r="AT39" s="88">
        <v>1238506222</v>
      </c>
      <c r="AU39" s="80"/>
      <c r="AV39" s="90">
        <v>239.42</v>
      </c>
      <c r="AW39" s="80" t="s">
        <v>103</v>
      </c>
      <c r="AX39" s="80" t="s">
        <v>748</v>
      </c>
    </row>
    <row r="40" spans="1:50">
      <c r="A40" s="80" t="s">
        <v>798</v>
      </c>
      <c r="B40" s="80" t="s">
        <v>799</v>
      </c>
      <c r="C40" s="80" t="s">
        <v>800</v>
      </c>
      <c r="D40" s="81">
        <v>7006</v>
      </c>
      <c r="E40" s="82">
        <v>70006</v>
      </c>
      <c r="F40" s="80" t="s">
        <v>740</v>
      </c>
      <c r="G40" s="80" t="s">
        <v>726</v>
      </c>
      <c r="H40" s="83">
        <v>2150706</v>
      </c>
      <c r="I40" s="84">
        <v>493</v>
      </c>
      <c r="J40" s="80" t="s">
        <v>734</v>
      </c>
      <c r="K40" s="80" t="s">
        <v>728</v>
      </c>
      <c r="L40" s="85">
        <v>50</v>
      </c>
      <c r="M40" s="80"/>
      <c r="N40" s="86">
        <v>25</v>
      </c>
      <c r="O40" s="84"/>
      <c r="P40" s="87">
        <v>23.1905</v>
      </c>
      <c r="Q40" s="84"/>
      <c r="R40" s="87">
        <v>6.7489999999999997</v>
      </c>
      <c r="S40" s="84"/>
      <c r="T40" s="87">
        <v>41.739400000000003</v>
      </c>
      <c r="U40" s="84"/>
      <c r="V40" s="83">
        <v>5954691</v>
      </c>
      <c r="W40" s="84"/>
      <c r="X40" s="88">
        <v>5905439</v>
      </c>
      <c r="Y40" s="84"/>
      <c r="Z40" s="83">
        <v>5839491</v>
      </c>
      <c r="AA40" s="84"/>
      <c r="AB40" s="83">
        <v>65948</v>
      </c>
      <c r="AC40" s="84"/>
      <c r="AD40" s="83">
        <v>256119</v>
      </c>
      <c r="AE40" s="84"/>
      <c r="AF40" s="83">
        <v>251805</v>
      </c>
      <c r="AG40" s="84"/>
      <c r="AH40" s="83">
        <v>4314</v>
      </c>
      <c r="AI40" s="84"/>
      <c r="AJ40" s="83">
        <v>2952712</v>
      </c>
      <c r="AK40" s="84"/>
      <c r="AL40" s="83">
        <v>2919745</v>
      </c>
      <c r="AM40" s="84"/>
      <c r="AN40" s="83">
        <v>128060</v>
      </c>
      <c r="AO40" s="84"/>
      <c r="AP40" s="89">
        <v>125902</v>
      </c>
      <c r="AQ40" s="84"/>
      <c r="AR40" s="83">
        <v>10510179</v>
      </c>
      <c r="AS40" s="84"/>
      <c r="AT40" s="88">
        <v>70933375</v>
      </c>
      <c r="AU40" s="80"/>
      <c r="AV40" s="90">
        <v>91.06</v>
      </c>
      <c r="AW40" s="80" t="s">
        <v>103</v>
      </c>
      <c r="AX40" s="80" t="s">
        <v>729</v>
      </c>
    </row>
    <row r="41" spans="1:50">
      <c r="A41" s="80" t="s">
        <v>801</v>
      </c>
      <c r="B41" s="80" t="s">
        <v>802</v>
      </c>
      <c r="C41" s="80" t="s">
        <v>803</v>
      </c>
      <c r="D41" s="81">
        <v>5015</v>
      </c>
      <c r="E41" s="82">
        <v>50015</v>
      </c>
      <c r="F41" s="80" t="s">
        <v>740</v>
      </c>
      <c r="G41" s="80" t="s">
        <v>726</v>
      </c>
      <c r="H41" s="83">
        <v>1780673</v>
      </c>
      <c r="I41" s="84">
        <v>418</v>
      </c>
      <c r="J41" s="80" t="s">
        <v>734</v>
      </c>
      <c r="K41" s="80" t="s">
        <v>728</v>
      </c>
      <c r="L41" s="85">
        <v>6</v>
      </c>
      <c r="M41" s="80"/>
      <c r="N41" s="86">
        <v>6</v>
      </c>
      <c r="O41" s="84"/>
      <c r="P41" s="87">
        <v>14.0802</v>
      </c>
      <c r="Q41" s="84"/>
      <c r="R41" s="87">
        <v>3.5057</v>
      </c>
      <c r="S41" s="84" t="s">
        <v>747</v>
      </c>
      <c r="T41" s="87">
        <v>14.4611</v>
      </c>
      <c r="U41" s="84"/>
      <c r="V41" s="83">
        <v>559327</v>
      </c>
      <c r="W41" s="84"/>
      <c r="X41" s="88">
        <v>577077</v>
      </c>
      <c r="Y41" s="84"/>
      <c r="Z41" s="83">
        <v>573726</v>
      </c>
      <c r="AA41" s="84"/>
      <c r="AB41" s="83">
        <v>3351</v>
      </c>
      <c r="AC41" s="84"/>
      <c r="AD41" s="83">
        <v>41389</v>
      </c>
      <c r="AE41" s="84"/>
      <c r="AF41" s="83">
        <v>40747</v>
      </c>
      <c r="AG41" s="84"/>
      <c r="AH41" s="83">
        <v>642</v>
      </c>
      <c r="AI41" s="84"/>
      <c r="AJ41" s="83">
        <v>562513</v>
      </c>
      <c r="AK41" s="84"/>
      <c r="AL41" s="83">
        <v>559161</v>
      </c>
      <c r="AM41" s="84"/>
      <c r="AN41" s="83">
        <v>40336</v>
      </c>
      <c r="AO41" s="84"/>
      <c r="AP41" s="89">
        <v>39693</v>
      </c>
      <c r="AQ41" s="84"/>
      <c r="AR41" s="83">
        <v>589245</v>
      </c>
      <c r="AS41" s="84"/>
      <c r="AT41" s="88">
        <v>2065735</v>
      </c>
      <c r="AU41" s="80" t="s">
        <v>747</v>
      </c>
      <c r="AV41" s="90">
        <v>30.38</v>
      </c>
      <c r="AW41" s="80" t="s">
        <v>103</v>
      </c>
      <c r="AX41" s="80" t="s">
        <v>748</v>
      </c>
    </row>
    <row r="42" spans="1:50">
      <c r="A42" s="80" t="s">
        <v>801</v>
      </c>
      <c r="B42" s="80" t="s">
        <v>802</v>
      </c>
      <c r="C42" s="80" t="s">
        <v>803</v>
      </c>
      <c r="D42" s="81">
        <v>5015</v>
      </c>
      <c r="E42" s="82">
        <v>50015</v>
      </c>
      <c r="F42" s="80" t="s">
        <v>740</v>
      </c>
      <c r="G42" s="80" t="s">
        <v>726</v>
      </c>
      <c r="H42" s="83">
        <v>1780673</v>
      </c>
      <c r="I42" s="84">
        <v>418</v>
      </c>
      <c r="J42" s="80" t="s">
        <v>727</v>
      </c>
      <c r="K42" s="80" t="s">
        <v>728</v>
      </c>
      <c r="L42" s="85">
        <v>16</v>
      </c>
      <c r="M42" s="80"/>
      <c r="N42" s="86">
        <v>8</v>
      </c>
      <c r="O42" s="84"/>
      <c r="P42" s="87">
        <v>19.014700000000001</v>
      </c>
      <c r="Q42" s="84"/>
      <c r="R42" s="87">
        <v>6.9599000000000002</v>
      </c>
      <c r="S42" s="84" t="s">
        <v>747</v>
      </c>
      <c r="T42" s="87">
        <v>20.605499999999999</v>
      </c>
      <c r="U42" s="84"/>
      <c r="V42" s="83">
        <v>2472057</v>
      </c>
      <c r="W42" s="84"/>
      <c r="X42" s="88">
        <v>2440418</v>
      </c>
      <c r="Y42" s="84"/>
      <c r="Z42" s="83">
        <v>2434523</v>
      </c>
      <c r="AA42" s="84"/>
      <c r="AB42" s="83">
        <v>5895</v>
      </c>
      <c r="AC42" s="84"/>
      <c r="AD42" s="83">
        <v>129302</v>
      </c>
      <c r="AE42" s="84"/>
      <c r="AF42" s="83">
        <v>128034</v>
      </c>
      <c r="AG42" s="84"/>
      <c r="AH42" s="83">
        <v>1268</v>
      </c>
      <c r="AI42" s="84"/>
      <c r="AJ42" s="83">
        <v>1238321</v>
      </c>
      <c r="AK42" s="84"/>
      <c r="AL42" s="83">
        <v>1235375</v>
      </c>
      <c r="AM42" s="84"/>
      <c r="AN42" s="83">
        <v>65610</v>
      </c>
      <c r="AO42" s="84"/>
      <c r="AP42" s="89">
        <v>64976</v>
      </c>
      <c r="AQ42" s="84"/>
      <c r="AR42" s="83">
        <v>2638201</v>
      </c>
      <c r="AS42" s="84"/>
      <c r="AT42" s="88">
        <v>18361515</v>
      </c>
      <c r="AU42" s="80" t="s">
        <v>747</v>
      </c>
      <c r="AV42" s="90">
        <v>38.08</v>
      </c>
      <c r="AW42" s="80" t="s">
        <v>103</v>
      </c>
      <c r="AX42" s="80" t="s">
        <v>748</v>
      </c>
    </row>
    <row r="43" spans="1:50">
      <c r="A43" s="80" t="s">
        <v>804</v>
      </c>
      <c r="B43" s="80" t="s">
        <v>805</v>
      </c>
      <c r="C43" s="80" t="s">
        <v>806</v>
      </c>
      <c r="D43" s="81">
        <v>3083</v>
      </c>
      <c r="E43" s="82">
        <v>30083</v>
      </c>
      <c r="F43" s="80" t="s">
        <v>740</v>
      </c>
      <c r="G43" s="80" t="s">
        <v>726</v>
      </c>
      <c r="H43" s="83">
        <v>1439666</v>
      </c>
      <c r="I43" s="84">
        <v>417</v>
      </c>
      <c r="J43" s="80" t="s">
        <v>734</v>
      </c>
      <c r="K43" s="80" t="s">
        <v>728</v>
      </c>
      <c r="L43" s="85">
        <v>6</v>
      </c>
      <c r="M43" s="80"/>
      <c r="N43" s="86">
        <v>6</v>
      </c>
      <c r="O43" s="84"/>
      <c r="P43" s="87">
        <v>13.267099999999999</v>
      </c>
      <c r="Q43" s="84"/>
      <c r="R43" s="87">
        <v>3.2271999999999998</v>
      </c>
      <c r="S43" s="84"/>
      <c r="T43" s="87">
        <v>40.308999999999997</v>
      </c>
      <c r="U43" s="84"/>
      <c r="V43" s="83">
        <v>344336</v>
      </c>
      <c r="W43" s="84"/>
      <c r="X43" s="88">
        <v>344847</v>
      </c>
      <c r="Y43" s="84"/>
      <c r="Z43" s="83">
        <v>343618</v>
      </c>
      <c r="AA43" s="84"/>
      <c r="AB43" s="83">
        <v>1229</v>
      </c>
      <c r="AC43" s="84"/>
      <c r="AD43" s="83">
        <v>26101</v>
      </c>
      <c r="AE43" s="84"/>
      <c r="AF43" s="83">
        <v>25900</v>
      </c>
      <c r="AG43" s="84"/>
      <c r="AH43" s="83">
        <v>201</v>
      </c>
      <c r="AI43" s="84"/>
      <c r="AJ43" s="83">
        <v>344847</v>
      </c>
      <c r="AK43" s="84"/>
      <c r="AL43" s="83">
        <v>343618</v>
      </c>
      <c r="AM43" s="84"/>
      <c r="AN43" s="83">
        <v>26101</v>
      </c>
      <c r="AO43" s="84"/>
      <c r="AP43" s="89">
        <v>25900</v>
      </c>
      <c r="AQ43" s="84"/>
      <c r="AR43" s="83">
        <v>1044002</v>
      </c>
      <c r="AS43" s="84"/>
      <c r="AT43" s="88">
        <v>3369249</v>
      </c>
      <c r="AU43" s="80"/>
      <c r="AV43" s="90">
        <v>14.8</v>
      </c>
      <c r="AW43" s="80" t="s">
        <v>103</v>
      </c>
      <c r="AX43" s="80" t="s">
        <v>729</v>
      </c>
    </row>
    <row r="44" spans="1:50">
      <c r="A44" s="80" t="s">
        <v>807</v>
      </c>
      <c r="B44" s="80" t="s">
        <v>808</v>
      </c>
      <c r="C44" s="80" t="s">
        <v>809</v>
      </c>
      <c r="D44" s="81">
        <v>4008</v>
      </c>
      <c r="E44" s="82">
        <v>40008</v>
      </c>
      <c r="F44" s="80" t="s">
        <v>766</v>
      </c>
      <c r="G44" s="80" t="s">
        <v>726</v>
      </c>
      <c r="H44" s="83">
        <v>1249442</v>
      </c>
      <c r="I44" s="84">
        <v>409</v>
      </c>
      <c r="J44" s="80" t="s">
        <v>734</v>
      </c>
      <c r="K44" s="80" t="s">
        <v>728</v>
      </c>
      <c r="L44" s="85">
        <v>36</v>
      </c>
      <c r="M44" s="80"/>
      <c r="N44" s="86">
        <v>16</v>
      </c>
      <c r="O44" s="84"/>
      <c r="P44" s="87">
        <v>16.140799999999999</v>
      </c>
      <c r="Q44" s="84"/>
      <c r="R44" s="87">
        <v>5.1829999999999998</v>
      </c>
      <c r="S44" s="84"/>
      <c r="T44" s="87">
        <v>55.526200000000003</v>
      </c>
      <c r="U44" s="84"/>
      <c r="V44" s="83">
        <v>2178959</v>
      </c>
      <c r="W44" s="84"/>
      <c r="X44" s="88">
        <v>2267166</v>
      </c>
      <c r="Y44" s="84"/>
      <c r="Z44" s="83">
        <v>2110955</v>
      </c>
      <c r="AA44" s="84"/>
      <c r="AB44" s="83">
        <v>156211</v>
      </c>
      <c r="AC44" s="84"/>
      <c r="AD44" s="83">
        <v>138754</v>
      </c>
      <c r="AE44" s="84"/>
      <c r="AF44" s="83">
        <v>130784</v>
      </c>
      <c r="AG44" s="84"/>
      <c r="AH44" s="83">
        <v>7970</v>
      </c>
      <c r="AI44" s="84"/>
      <c r="AJ44" s="83">
        <v>1141671</v>
      </c>
      <c r="AK44" s="84"/>
      <c r="AL44" s="83">
        <v>1059265</v>
      </c>
      <c r="AM44" s="84"/>
      <c r="AN44" s="83">
        <v>69828</v>
      </c>
      <c r="AO44" s="84"/>
      <c r="AP44" s="89">
        <v>65622</v>
      </c>
      <c r="AQ44" s="84"/>
      <c r="AR44" s="83">
        <v>7261944</v>
      </c>
      <c r="AS44" s="84"/>
      <c r="AT44" s="88">
        <v>37638865</v>
      </c>
      <c r="AU44" s="80"/>
      <c r="AV44" s="90">
        <v>37.299999999999997</v>
      </c>
      <c r="AW44" s="80" t="s">
        <v>103</v>
      </c>
      <c r="AX44" s="80" t="s">
        <v>729</v>
      </c>
    </row>
    <row r="45" spans="1:50">
      <c r="A45" s="80" t="s">
        <v>810</v>
      </c>
      <c r="B45" s="80" t="s">
        <v>811</v>
      </c>
      <c r="C45" s="80" t="s">
        <v>812</v>
      </c>
      <c r="D45" s="81">
        <v>40</v>
      </c>
      <c r="E45" s="82">
        <v>40</v>
      </c>
      <c r="F45" s="80" t="s">
        <v>740</v>
      </c>
      <c r="G45" s="80" t="s">
        <v>726</v>
      </c>
      <c r="H45" s="83">
        <v>3059393</v>
      </c>
      <c r="I45" s="84">
        <v>381</v>
      </c>
      <c r="J45" s="80" t="s">
        <v>734</v>
      </c>
      <c r="K45" s="80" t="s">
        <v>728</v>
      </c>
      <c r="L45" s="85">
        <v>48</v>
      </c>
      <c r="M45" s="80"/>
      <c r="N45" s="86">
        <v>17</v>
      </c>
      <c r="O45" s="84"/>
      <c r="P45" s="87">
        <v>18.259</v>
      </c>
      <c r="Q45" s="84"/>
      <c r="R45" s="87">
        <v>6.3029999999999999</v>
      </c>
      <c r="S45" s="84"/>
      <c r="T45" s="87">
        <v>35.367199999999997</v>
      </c>
      <c r="U45" s="84"/>
      <c r="V45" s="83">
        <v>3994837</v>
      </c>
      <c r="W45" s="84"/>
      <c r="X45" s="88">
        <v>4168064</v>
      </c>
      <c r="Y45" s="84"/>
      <c r="Z45" s="83">
        <v>4078592</v>
      </c>
      <c r="AA45" s="84"/>
      <c r="AB45" s="83">
        <v>89472</v>
      </c>
      <c r="AC45" s="84"/>
      <c r="AD45" s="83">
        <v>233843</v>
      </c>
      <c r="AE45" s="84"/>
      <c r="AF45" s="83">
        <v>223374</v>
      </c>
      <c r="AG45" s="84"/>
      <c r="AH45" s="83">
        <v>10469</v>
      </c>
      <c r="AI45" s="84"/>
      <c r="AJ45" s="83">
        <v>1165448</v>
      </c>
      <c r="AK45" s="84"/>
      <c r="AL45" s="83">
        <v>1140397</v>
      </c>
      <c r="AM45" s="84"/>
      <c r="AN45" s="83">
        <v>65104</v>
      </c>
      <c r="AO45" s="84"/>
      <c r="AP45" s="89">
        <v>61879</v>
      </c>
      <c r="AQ45" s="84"/>
      <c r="AR45" s="83">
        <v>7900122</v>
      </c>
      <c r="AS45" s="84"/>
      <c r="AT45" s="88">
        <v>49794569</v>
      </c>
      <c r="AU45" s="80"/>
      <c r="AV45" s="90">
        <v>40.4</v>
      </c>
      <c r="AW45" s="80" t="s">
        <v>103</v>
      </c>
      <c r="AX45" s="80" t="s">
        <v>729</v>
      </c>
    </row>
    <row r="46" spans="1:50">
      <c r="A46" s="80" t="s">
        <v>810</v>
      </c>
      <c r="B46" s="80" t="s">
        <v>811</v>
      </c>
      <c r="C46" s="80" t="s">
        <v>812</v>
      </c>
      <c r="D46" s="81">
        <v>40</v>
      </c>
      <c r="E46" s="82">
        <v>40</v>
      </c>
      <c r="F46" s="80" t="s">
        <v>740</v>
      </c>
      <c r="G46" s="80" t="s">
        <v>726</v>
      </c>
      <c r="H46" s="83">
        <v>3059393</v>
      </c>
      <c r="I46" s="84">
        <v>381</v>
      </c>
      <c r="J46" s="80" t="s">
        <v>736</v>
      </c>
      <c r="K46" s="80" t="s">
        <v>735</v>
      </c>
      <c r="L46" s="85">
        <v>70</v>
      </c>
      <c r="M46" s="80"/>
      <c r="N46" s="86">
        <v>23</v>
      </c>
      <c r="O46" s="84"/>
      <c r="P46" s="87">
        <v>30.116700000000002</v>
      </c>
      <c r="Q46" s="84"/>
      <c r="R46" s="87">
        <v>25.192499999999999</v>
      </c>
      <c r="S46" s="84"/>
      <c r="T46" s="87">
        <v>24.971</v>
      </c>
      <c r="U46" s="84"/>
      <c r="V46" s="83">
        <v>1617729</v>
      </c>
      <c r="W46" s="84"/>
      <c r="X46" s="88">
        <v>1562310</v>
      </c>
      <c r="Y46" s="84"/>
      <c r="Z46" s="83">
        <v>1526737</v>
      </c>
      <c r="AA46" s="84"/>
      <c r="AB46" s="83">
        <v>35573</v>
      </c>
      <c r="AC46" s="84"/>
      <c r="AD46" s="83">
        <v>54020</v>
      </c>
      <c r="AE46" s="84"/>
      <c r="AF46" s="83">
        <v>50694</v>
      </c>
      <c r="AG46" s="84"/>
      <c r="AH46" s="83">
        <v>3326</v>
      </c>
      <c r="AI46" s="84"/>
      <c r="AJ46" s="83">
        <v>250453</v>
      </c>
      <c r="AK46" s="84"/>
      <c r="AL46" s="83">
        <v>244746</v>
      </c>
      <c r="AM46" s="84"/>
      <c r="AN46" s="83">
        <v>8818</v>
      </c>
      <c r="AO46" s="84"/>
      <c r="AP46" s="89">
        <v>8281</v>
      </c>
      <c r="AQ46" s="84"/>
      <c r="AR46" s="83">
        <v>1265882</v>
      </c>
      <c r="AS46" s="84"/>
      <c r="AT46" s="88">
        <v>31890678</v>
      </c>
      <c r="AU46" s="80"/>
      <c r="AV46" s="90">
        <v>163.84</v>
      </c>
      <c r="AW46" s="80" t="s">
        <v>103</v>
      </c>
      <c r="AX46" s="80" t="s">
        <v>729</v>
      </c>
    </row>
    <row r="47" spans="1:50">
      <c r="A47" s="80" t="s">
        <v>813</v>
      </c>
      <c r="B47" s="80" t="s">
        <v>814</v>
      </c>
      <c r="C47" s="80" t="s">
        <v>724</v>
      </c>
      <c r="D47" s="81">
        <v>2004</v>
      </c>
      <c r="E47" s="82">
        <v>20004</v>
      </c>
      <c r="F47" s="80" t="s">
        <v>740</v>
      </c>
      <c r="G47" s="80" t="s">
        <v>726</v>
      </c>
      <c r="H47" s="83">
        <v>935906</v>
      </c>
      <c r="I47" s="84">
        <v>359</v>
      </c>
      <c r="J47" s="80" t="s">
        <v>734</v>
      </c>
      <c r="K47" s="80" t="s">
        <v>728</v>
      </c>
      <c r="L47" s="85">
        <v>23</v>
      </c>
      <c r="M47" s="80"/>
      <c r="N47" s="86">
        <v>7</v>
      </c>
      <c r="O47" s="84"/>
      <c r="P47" s="87">
        <v>11.1447</v>
      </c>
      <c r="Q47" s="84"/>
      <c r="R47" s="87">
        <v>2.6665000000000001</v>
      </c>
      <c r="S47" s="84"/>
      <c r="T47" s="87">
        <v>48.610100000000003</v>
      </c>
      <c r="U47" s="84"/>
      <c r="V47" s="83">
        <v>962940</v>
      </c>
      <c r="W47" s="84"/>
      <c r="X47" s="88">
        <v>984827</v>
      </c>
      <c r="Y47" s="84"/>
      <c r="Z47" s="83">
        <v>968353</v>
      </c>
      <c r="AA47" s="84"/>
      <c r="AB47" s="83">
        <v>16474</v>
      </c>
      <c r="AC47" s="84"/>
      <c r="AD47" s="83">
        <v>91599</v>
      </c>
      <c r="AE47" s="84"/>
      <c r="AF47" s="83">
        <v>86889</v>
      </c>
      <c r="AG47" s="84"/>
      <c r="AH47" s="83">
        <v>4710</v>
      </c>
      <c r="AI47" s="84"/>
      <c r="AJ47" s="83">
        <v>347313</v>
      </c>
      <c r="AK47" s="84"/>
      <c r="AL47" s="83">
        <v>341503</v>
      </c>
      <c r="AM47" s="84"/>
      <c r="AN47" s="83">
        <v>32115</v>
      </c>
      <c r="AO47" s="84"/>
      <c r="AP47" s="89">
        <v>30462</v>
      </c>
      <c r="AQ47" s="84"/>
      <c r="AR47" s="83">
        <v>4223681</v>
      </c>
      <c r="AS47" s="84"/>
      <c r="AT47" s="88">
        <v>11262397</v>
      </c>
      <c r="AU47" s="80"/>
      <c r="AV47" s="90">
        <v>12.4</v>
      </c>
      <c r="AW47" s="80" t="s">
        <v>103</v>
      </c>
      <c r="AX47" s="80" t="s">
        <v>729</v>
      </c>
    </row>
    <row r="48" spans="1:50">
      <c r="A48" s="80" t="s">
        <v>815</v>
      </c>
      <c r="B48" s="80" t="s">
        <v>816</v>
      </c>
      <c r="C48" s="80" t="s">
        <v>739</v>
      </c>
      <c r="D48" s="81">
        <v>9019</v>
      </c>
      <c r="E48" s="82">
        <v>90019</v>
      </c>
      <c r="F48" s="80" t="s">
        <v>740</v>
      </c>
      <c r="G48" s="80" t="s">
        <v>726</v>
      </c>
      <c r="H48" s="83">
        <v>1723634</v>
      </c>
      <c r="I48" s="84">
        <v>331</v>
      </c>
      <c r="J48" s="80" t="s">
        <v>734</v>
      </c>
      <c r="K48" s="80" t="s">
        <v>728</v>
      </c>
      <c r="L48" s="85">
        <v>69</v>
      </c>
      <c r="M48" s="80"/>
      <c r="N48" s="86">
        <v>18</v>
      </c>
      <c r="O48" s="84"/>
      <c r="P48" s="87">
        <v>17.4438</v>
      </c>
      <c r="Q48" s="84"/>
      <c r="R48" s="87">
        <v>5.9108000000000001</v>
      </c>
      <c r="S48" s="84"/>
      <c r="T48" s="87">
        <v>43.433199999999999</v>
      </c>
      <c r="U48" s="84"/>
      <c r="V48" s="83">
        <v>3637080</v>
      </c>
      <c r="W48" s="84"/>
      <c r="X48" s="88">
        <v>3765256</v>
      </c>
      <c r="Y48" s="84"/>
      <c r="Z48" s="83">
        <v>3610107</v>
      </c>
      <c r="AA48" s="84"/>
      <c r="AB48" s="83">
        <v>155149</v>
      </c>
      <c r="AC48" s="84"/>
      <c r="AD48" s="83">
        <v>213385</v>
      </c>
      <c r="AE48" s="84"/>
      <c r="AF48" s="83">
        <v>206957</v>
      </c>
      <c r="AG48" s="84"/>
      <c r="AH48" s="83">
        <v>6428</v>
      </c>
      <c r="AI48" s="84"/>
      <c r="AJ48" s="83">
        <v>1757466</v>
      </c>
      <c r="AK48" s="84"/>
      <c r="AL48" s="83">
        <v>1710343</v>
      </c>
      <c r="AM48" s="84"/>
      <c r="AN48" s="83">
        <v>101083</v>
      </c>
      <c r="AO48" s="84"/>
      <c r="AP48" s="89">
        <v>98064</v>
      </c>
      <c r="AQ48" s="84"/>
      <c r="AR48" s="83">
        <v>8988806</v>
      </c>
      <c r="AS48" s="84"/>
      <c r="AT48" s="88">
        <v>53131252</v>
      </c>
      <c r="AU48" s="80"/>
      <c r="AV48" s="90">
        <v>84.92</v>
      </c>
      <c r="AW48" s="80" t="s">
        <v>103</v>
      </c>
      <c r="AX48" s="80" t="s">
        <v>729</v>
      </c>
    </row>
    <row r="49" spans="1:50">
      <c r="A49" s="80" t="s">
        <v>817</v>
      </c>
      <c r="B49" s="80" t="s">
        <v>818</v>
      </c>
      <c r="C49" s="80" t="s">
        <v>758</v>
      </c>
      <c r="D49" s="81">
        <v>6007</v>
      </c>
      <c r="E49" s="82">
        <v>60007</v>
      </c>
      <c r="F49" s="80" t="s">
        <v>740</v>
      </c>
      <c r="G49" s="80" t="s">
        <v>726</v>
      </c>
      <c r="H49" s="83">
        <v>5121892</v>
      </c>
      <c r="I49" s="84">
        <v>312</v>
      </c>
      <c r="J49" s="80" t="s">
        <v>736</v>
      </c>
      <c r="K49" s="80" t="s">
        <v>735</v>
      </c>
      <c r="L49" s="85">
        <v>20</v>
      </c>
      <c r="M49" s="80"/>
      <c r="N49" s="86">
        <v>5</v>
      </c>
      <c r="O49" s="84"/>
      <c r="P49" s="87">
        <v>19.5091</v>
      </c>
      <c r="Q49" s="84"/>
      <c r="R49" s="87">
        <v>15.8208</v>
      </c>
      <c r="S49" s="84" t="s">
        <v>752</v>
      </c>
      <c r="T49" s="87">
        <v>2.8578999999999999</v>
      </c>
      <c r="U49" s="84" t="s">
        <v>752</v>
      </c>
      <c r="V49" s="83">
        <v>2417541</v>
      </c>
      <c r="W49" s="84"/>
      <c r="X49" s="88">
        <v>2349671</v>
      </c>
      <c r="Y49" s="84"/>
      <c r="Z49" s="83">
        <v>2320998</v>
      </c>
      <c r="AA49" s="84"/>
      <c r="AB49" s="83">
        <v>28673</v>
      </c>
      <c r="AC49" s="84"/>
      <c r="AD49" s="83">
        <v>120510</v>
      </c>
      <c r="AE49" s="84"/>
      <c r="AF49" s="83">
        <v>118970</v>
      </c>
      <c r="AG49" s="84"/>
      <c r="AH49" s="83">
        <v>1540</v>
      </c>
      <c r="AI49" s="84"/>
      <c r="AJ49" s="83">
        <v>587418</v>
      </c>
      <c r="AK49" s="84"/>
      <c r="AL49" s="83">
        <v>580250</v>
      </c>
      <c r="AM49" s="84" t="s">
        <v>752</v>
      </c>
      <c r="AN49" s="83">
        <v>30128</v>
      </c>
      <c r="AO49" s="84"/>
      <c r="AP49" s="89">
        <v>29743</v>
      </c>
      <c r="AQ49" s="84" t="s">
        <v>752</v>
      </c>
      <c r="AR49" s="83">
        <v>340008</v>
      </c>
      <c r="AS49" s="84" t="s">
        <v>752</v>
      </c>
      <c r="AT49" s="88">
        <v>5379214</v>
      </c>
      <c r="AU49" s="80" t="s">
        <v>752</v>
      </c>
      <c r="AV49" s="90">
        <v>52.34</v>
      </c>
      <c r="AW49" s="80" t="s">
        <v>103</v>
      </c>
      <c r="AX49" s="80" t="s">
        <v>748</v>
      </c>
    </row>
    <row r="50" spans="1:50">
      <c r="A50" s="80" t="s">
        <v>819</v>
      </c>
      <c r="B50" s="80" t="s">
        <v>770</v>
      </c>
      <c r="C50" s="80" t="s">
        <v>732</v>
      </c>
      <c r="D50" s="81">
        <v>2098</v>
      </c>
      <c r="E50" s="82">
        <v>20098</v>
      </c>
      <c r="F50" s="80" t="s">
        <v>740</v>
      </c>
      <c r="G50" s="80" t="s">
        <v>726</v>
      </c>
      <c r="H50" s="83">
        <v>18351295</v>
      </c>
      <c r="I50" s="84">
        <v>310</v>
      </c>
      <c r="J50" s="80" t="s">
        <v>727</v>
      </c>
      <c r="K50" s="80" t="s">
        <v>728</v>
      </c>
      <c r="L50" s="85">
        <v>304</v>
      </c>
      <c r="M50" s="80"/>
      <c r="N50" s="86">
        <v>33</v>
      </c>
      <c r="O50" s="84"/>
      <c r="P50" s="87">
        <v>13.624599999999999</v>
      </c>
      <c r="Q50" s="84"/>
      <c r="R50" s="87">
        <v>5.0683999999999996</v>
      </c>
      <c r="S50" s="84"/>
      <c r="T50" s="87">
        <v>31.703499999999998</v>
      </c>
      <c r="U50" s="84"/>
      <c r="V50" s="83">
        <v>12823047</v>
      </c>
      <c r="W50" s="84"/>
      <c r="X50" s="88">
        <v>13103345</v>
      </c>
      <c r="Y50" s="84"/>
      <c r="Z50" s="83">
        <v>12744198</v>
      </c>
      <c r="AA50" s="84"/>
      <c r="AB50" s="83">
        <v>359147</v>
      </c>
      <c r="AC50" s="84"/>
      <c r="AD50" s="83">
        <v>954091</v>
      </c>
      <c r="AE50" s="84"/>
      <c r="AF50" s="83">
        <v>935379</v>
      </c>
      <c r="AG50" s="84"/>
      <c r="AH50" s="83">
        <v>18712</v>
      </c>
      <c r="AI50" s="84"/>
      <c r="AJ50" s="83">
        <v>1753804</v>
      </c>
      <c r="AK50" s="84"/>
      <c r="AL50" s="83">
        <v>1705415</v>
      </c>
      <c r="AM50" s="84"/>
      <c r="AN50" s="83">
        <v>129406</v>
      </c>
      <c r="AO50" s="84"/>
      <c r="AP50" s="89">
        <v>126903</v>
      </c>
      <c r="AQ50" s="84"/>
      <c r="AR50" s="83">
        <v>29654770</v>
      </c>
      <c r="AS50" s="84"/>
      <c r="AT50" s="88">
        <v>150302485</v>
      </c>
      <c r="AU50" s="80"/>
      <c r="AV50" s="90">
        <v>28.6</v>
      </c>
      <c r="AW50" s="80" t="s">
        <v>103</v>
      </c>
      <c r="AX50" s="80" t="s">
        <v>729</v>
      </c>
    </row>
    <row r="51" spans="1:50">
      <c r="A51" s="80" t="s">
        <v>820</v>
      </c>
      <c r="B51" s="80" t="s">
        <v>821</v>
      </c>
      <c r="C51" s="80" t="s">
        <v>739</v>
      </c>
      <c r="D51" s="81">
        <v>9030</v>
      </c>
      <c r="E51" s="82">
        <v>90030</v>
      </c>
      <c r="F51" s="80" t="s">
        <v>740</v>
      </c>
      <c r="G51" s="80" t="s">
        <v>726</v>
      </c>
      <c r="H51" s="83">
        <v>2956746</v>
      </c>
      <c r="I51" s="84">
        <v>205</v>
      </c>
      <c r="J51" s="80" t="s">
        <v>736</v>
      </c>
      <c r="K51" s="80" t="s">
        <v>735</v>
      </c>
      <c r="L51" s="85">
        <v>24</v>
      </c>
      <c r="M51" s="80"/>
      <c r="N51" s="86">
        <v>4</v>
      </c>
      <c r="O51" s="84"/>
      <c r="P51" s="87">
        <v>31.677499999999998</v>
      </c>
      <c r="Q51" s="84"/>
      <c r="R51" s="87">
        <v>26.441199999999998</v>
      </c>
      <c r="S51" s="84"/>
      <c r="T51" s="87">
        <v>25.204499999999999</v>
      </c>
      <c r="U51" s="84"/>
      <c r="V51" s="83">
        <v>1181583</v>
      </c>
      <c r="W51" s="84"/>
      <c r="X51" s="88">
        <v>1254334</v>
      </c>
      <c r="Y51" s="84"/>
      <c r="Z51" s="83">
        <v>1186577</v>
      </c>
      <c r="AA51" s="84"/>
      <c r="AB51" s="83">
        <v>67757</v>
      </c>
      <c r="AC51" s="84"/>
      <c r="AD51" s="83">
        <v>42212</v>
      </c>
      <c r="AE51" s="84"/>
      <c r="AF51" s="83">
        <v>37458</v>
      </c>
      <c r="AG51" s="84"/>
      <c r="AH51" s="83">
        <v>4754</v>
      </c>
      <c r="AI51" s="84"/>
      <c r="AJ51" s="83">
        <v>243076</v>
      </c>
      <c r="AK51" s="84"/>
      <c r="AL51" s="83">
        <v>230008</v>
      </c>
      <c r="AM51" s="84"/>
      <c r="AN51" s="83">
        <v>7881</v>
      </c>
      <c r="AO51" s="84"/>
      <c r="AP51" s="89">
        <v>7305</v>
      </c>
      <c r="AQ51" s="84"/>
      <c r="AR51" s="83">
        <v>944109</v>
      </c>
      <c r="AS51" s="84"/>
      <c r="AT51" s="88">
        <v>24963395</v>
      </c>
      <c r="AU51" s="80"/>
      <c r="AV51" s="90">
        <v>82.2</v>
      </c>
      <c r="AW51" s="80" t="s">
        <v>103</v>
      </c>
      <c r="AX51" s="80" t="s">
        <v>729</v>
      </c>
    </row>
    <row r="52" spans="1:50">
      <c r="A52" s="80" t="s">
        <v>822</v>
      </c>
      <c r="B52" s="80" t="s">
        <v>738</v>
      </c>
      <c r="C52" s="80" t="s">
        <v>739</v>
      </c>
      <c r="D52" s="81">
        <v>9151</v>
      </c>
      <c r="E52" s="82">
        <v>90151</v>
      </c>
      <c r="F52" s="80" t="s">
        <v>740</v>
      </c>
      <c r="G52" s="80" t="s">
        <v>726</v>
      </c>
      <c r="H52" s="83">
        <v>12150996</v>
      </c>
      <c r="I52" s="84">
        <v>195</v>
      </c>
      <c r="J52" s="80" t="s">
        <v>736</v>
      </c>
      <c r="K52" s="80" t="s">
        <v>735</v>
      </c>
      <c r="L52" s="85">
        <v>195</v>
      </c>
      <c r="M52" s="80"/>
      <c r="N52" s="86">
        <v>40</v>
      </c>
      <c r="O52" s="84"/>
      <c r="P52" s="87">
        <v>36.3401</v>
      </c>
      <c r="Q52" s="84"/>
      <c r="R52" s="87">
        <v>34.358199999999997</v>
      </c>
      <c r="S52" s="84" t="s">
        <v>747</v>
      </c>
      <c r="T52" s="87">
        <v>26.057400000000001</v>
      </c>
      <c r="U52" s="84" t="s">
        <v>747</v>
      </c>
      <c r="V52" s="83">
        <v>13061501</v>
      </c>
      <c r="W52" s="84"/>
      <c r="X52" s="88">
        <v>13618637</v>
      </c>
      <c r="Y52" s="84"/>
      <c r="Z52" s="83">
        <v>13049429</v>
      </c>
      <c r="AA52" s="84"/>
      <c r="AB52" s="83">
        <v>569208</v>
      </c>
      <c r="AC52" s="84"/>
      <c r="AD52" s="83">
        <v>387165</v>
      </c>
      <c r="AE52" s="84"/>
      <c r="AF52" s="83">
        <v>359092</v>
      </c>
      <c r="AG52" s="84"/>
      <c r="AH52" s="83">
        <v>28073</v>
      </c>
      <c r="AI52" s="84"/>
      <c r="AJ52" s="83">
        <v>2786037</v>
      </c>
      <c r="AK52" s="84"/>
      <c r="AL52" s="83">
        <v>2674879</v>
      </c>
      <c r="AM52" s="84"/>
      <c r="AN52" s="83">
        <v>80963</v>
      </c>
      <c r="AO52" s="84"/>
      <c r="AP52" s="89">
        <v>73871</v>
      </c>
      <c r="AQ52" s="84"/>
      <c r="AR52" s="83">
        <v>9357013</v>
      </c>
      <c r="AS52" s="84" t="s">
        <v>747</v>
      </c>
      <c r="AT52" s="88">
        <v>321490316</v>
      </c>
      <c r="AU52" s="80" t="s">
        <v>747</v>
      </c>
      <c r="AV52" s="90">
        <v>826.8</v>
      </c>
      <c r="AW52" s="80" t="s">
        <v>103</v>
      </c>
      <c r="AX52" s="80" t="s">
        <v>748</v>
      </c>
    </row>
    <row r="53" spans="1:50">
      <c r="A53" s="80" t="s">
        <v>823</v>
      </c>
      <c r="B53" s="80" t="s">
        <v>824</v>
      </c>
      <c r="C53" s="80" t="s">
        <v>739</v>
      </c>
      <c r="D53" s="81">
        <v>9134</v>
      </c>
      <c r="E53" s="82">
        <v>90134</v>
      </c>
      <c r="F53" s="80" t="s">
        <v>740</v>
      </c>
      <c r="G53" s="80" t="s">
        <v>726</v>
      </c>
      <c r="H53" s="83">
        <v>3281212</v>
      </c>
      <c r="I53" s="84">
        <v>141</v>
      </c>
      <c r="J53" s="80" t="s">
        <v>736</v>
      </c>
      <c r="K53" s="80" t="s">
        <v>735</v>
      </c>
      <c r="L53" s="85">
        <v>111</v>
      </c>
      <c r="M53" s="80"/>
      <c r="N53" s="86">
        <v>20</v>
      </c>
      <c r="O53" s="84"/>
      <c r="P53" s="87">
        <v>32.338700000000003</v>
      </c>
      <c r="Q53" s="84"/>
      <c r="R53" s="87">
        <v>22.0776</v>
      </c>
      <c r="S53" s="84"/>
      <c r="T53" s="87">
        <v>68.261899999999997</v>
      </c>
      <c r="U53" s="84"/>
      <c r="V53" s="83">
        <v>6469218</v>
      </c>
      <c r="W53" s="84"/>
      <c r="X53" s="88">
        <v>6644705</v>
      </c>
      <c r="Y53" s="84"/>
      <c r="Z53" s="83">
        <v>6486852</v>
      </c>
      <c r="AA53" s="84"/>
      <c r="AB53" s="83">
        <v>157853</v>
      </c>
      <c r="AC53" s="84"/>
      <c r="AD53" s="83">
        <v>216487</v>
      </c>
      <c r="AE53" s="84"/>
      <c r="AF53" s="83">
        <v>200591</v>
      </c>
      <c r="AG53" s="84"/>
      <c r="AH53" s="83">
        <v>15896</v>
      </c>
      <c r="AI53" s="84"/>
      <c r="AJ53" s="83">
        <v>1179829</v>
      </c>
      <c r="AK53" s="84"/>
      <c r="AL53" s="83">
        <v>1151035</v>
      </c>
      <c r="AM53" s="84"/>
      <c r="AN53" s="83">
        <v>38509</v>
      </c>
      <c r="AO53" s="84"/>
      <c r="AP53" s="89">
        <v>35662</v>
      </c>
      <c r="AQ53" s="84"/>
      <c r="AR53" s="83">
        <v>13692716</v>
      </c>
      <c r="AS53" s="84"/>
      <c r="AT53" s="88">
        <v>302302869</v>
      </c>
      <c r="AU53" s="80"/>
      <c r="AV53" s="90">
        <v>153.68</v>
      </c>
      <c r="AW53" s="80" t="s">
        <v>103</v>
      </c>
      <c r="AX53" s="80" t="s">
        <v>729</v>
      </c>
    </row>
    <row r="54" spans="1:50">
      <c r="A54" s="80" t="s">
        <v>825</v>
      </c>
      <c r="B54" s="80" t="s">
        <v>826</v>
      </c>
      <c r="C54" s="80" t="s">
        <v>806</v>
      </c>
      <c r="D54" s="81">
        <v>3073</v>
      </c>
      <c r="E54" s="82">
        <v>30073</v>
      </c>
      <c r="F54" s="80" t="s">
        <v>740</v>
      </c>
      <c r="G54" s="80" t="s">
        <v>726</v>
      </c>
      <c r="H54" s="83">
        <v>4586770</v>
      </c>
      <c r="I54" s="84">
        <v>99</v>
      </c>
      <c r="J54" s="80" t="s">
        <v>736</v>
      </c>
      <c r="K54" s="80" t="s">
        <v>735</v>
      </c>
      <c r="L54" s="85">
        <v>99</v>
      </c>
      <c r="M54" s="80"/>
      <c r="N54" s="86">
        <v>32</v>
      </c>
      <c r="O54" s="84"/>
      <c r="P54" s="87">
        <v>30.826899999999998</v>
      </c>
      <c r="Q54" s="84"/>
      <c r="R54" s="87">
        <v>30.3917</v>
      </c>
      <c r="S54" s="84"/>
      <c r="T54" s="87">
        <v>46.2879</v>
      </c>
      <c r="U54" s="84"/>
      <c r="V54" s="83">
        <v>2148620</v>
      </c>
      <c r="W54" s="84"/>
      <c r="X54" s="88">
        <v>2234620</v>
      </c>
      <c r="Y54" s="84"/>
      <c r="Z54" s="83">
        <v>2146074</v>
      </c>
      <c r="AA54" s="84"/>
      <c r="AB54" s="83">
        <v>88546</v>
      </c>
      <c r="AC54" s="84"/>
      <c r="AD54" s="83">
        <v>76838</v>
      </c>
      <c r="AE54" s="84"/>
      <c r="AF54" s="83">
        <v>69617</v>
      </c>
      <c r="AG54" s="84"/>
      <c r="AH54" s="83">
        <v>7221</v>
      </c>
      <c r="AI54" s="84"/>
      <c r="AJ54" s="83">
        <v>333795</v>
      </c>
      <c r="AK54" s="84"/>
      <c r="AL54" s="83">
        <v>320541</v>
      </c>
      <c r="AM54" s="84"/>
      <c r="AN54" s="83">
        <v>11411</v>
      </c>
      <c r="AO54" s="84"/>
      <c r="AP54" s="89">
        <v>10330</v>
      </c>
      <c r="AQ54" s="84"/>
      <c r="AR54" s="83">
        <v>3222428</v>
      </c>
      <c r="AS54" s="84"/>
      <c r="AT54" s="88">
        <v>97935058</v>
      </c>
      <c r="AU54" s="80"/>
      <c r="AV54" s="90">
        <v>173.62</v>
      </c>
      <c r="AW54" s="80" t="s">
        <v>103</v>
      </c>
      <c r="AX54" s="80" t="s">
        <v>729</v>
      </c>
    </row>
    <row r="55" spans="1:50">
      <c r="A55" s="80" t="s">
        <v>827</v>
      </c>
      <c r="B55" s="80" t="s">
        <v>828</v>
      </c>
      <c r="C55" s="80" t="s">
        <v>732</v>
      </c>
      <c r="D55" s="81">
        <v>2075</v>
      </c>
      <c r="E55" s="82">
        <v>20075</v>
      </c>
      <c r="F55" s="80" t="s">
        <v>740</v>
      </c>
      <c r="G55" s="80" t="s">
        <v>726</v>
      </c>
      <c r="H55" s="83">
        <v>5441567</v>
      </c>
      <c r="I55" s="84">
        <v>78</v>
      </c>
      <c r="J55" s="80" t="s">
        <v>727</v>
      </c>
      <c r="K55" s="80" t="s">
        <v>728</v>
      </c>
      <c r="L55" s="85">
        <v>78</v>
      </c>
      <c r="M55" s="80"/>
      <c r="N55" s="86">
        <v>11</v>
      </c>
      <c r="O55" s="84"/>
      <c r="P55" s="87">
        <v>31.0718</v>
      </c>
      <c r="Q55" s="84"/>
      <c r="R55" s="87">
        <v>8.5806000000000004</v>
      </c>
      <c r="S55" s="84"/>
      <c r="T55" s="87">
        <v>27.423500000000001</v>
      </c>
      <c r="U55" s="84"/>
      <c r="V55" s="83">
        <v>5618718</v>
      </c>
      <c r="W55" s="84"/>
      <c r="X55" s="88">
        <v>4662890</v>
      </c>
      <c r="Y55" s="84"/>
      <c r="Z55" s="83">
        <v>4474868</v>
      </c>
      <c r="AA55" s="84"/>
      <c r="AB55" s="83">
        <v>188022</v>
      </c>
      <c r="AC55" s="84"/>
      <c r="AD55" s="83">
        <v>154306</v>
      </c>
      <c r="AE55" s="84"/>
      <c r="AF55" s="83">
        <v>144017</v>
      </c>
      <c r="AG55" s="84"/>
      <c r="AH55" s="83">
        <v>10289</v>
      </c>
      <c r="AI55" s="84"/>
      <c r="AJ55" s="83">
        <v>899973</v>
      </c>
      <c r="AK55" s="84"/>
      <c r="AL55" s="83">
        <v>836001</v>
      </c>
      <c r="AM55" s="84"/>
      <c r="AN55" s="83">
        <v>31034</v>
      </c>
      <c r="AO55" s="84"/>
      <c r="AP55" s="89">
        <v>28828</v>
      </c>
      <c r="AQ55" s="84"/>
      <c r="AR55" s="83">
        <v>3949450</v>
      </c>
      <c r="AS55" s="84"/>
      <c r="AT55" s="88">
        <v>33888694</v>
      </c>
      <c r="AU55" s="80"/>
      <c r="AV55" s="90">
        <v>31.5</v>
      </c>
      <c r="AW55" s="80" t="s">
        <v>103</v>
      </c>
      <c r="AX55" s="80" t="s">
        <v>729</v>
      </c>
    </row>
    <row r="56" spans="1:50">
      <c r="A56" s="80" t="s">
        <v>829</v>
      </c>
      <c r="B56" s="80" t="s">
        <v>830</v>
      </c>
      <c r="C56" s="80" t="s">
        <v>831</v>
      </c>
      <c r="D56" s="81">
        <v>5104</v>
      </c>
      <c r="E56" s="82">
        <v>50104</v>
      </c>
      <c r="F56" s="80" t="s">
        <v>740</v>
      </c>
      <c r="G56" s="80" t="s">
        <v>726</v>
      </c>
      <c r="H56" s="83">
        <v>8608208</v>
      </c>
      <c r="I56" s="84">
        <v>70</v>
      </c>
      <c r="J56" s="80" t="s">
        <v>736</v>
      </c>
      <c r="K56" s="80" t="s">
        <v>728</v>
      </c>
      <c r="L56" s="85">
        <v>70</v>
      </c>
      <c r="M56" s="80"/>
      <c r="N56" s="86">
        <v>17</v>
      </c>
      <c r="O56" s="84"/>
      <c r="P56" s="87">
        <v>34.768900000000002</v>
      </c>
      <c r="Q56" s="84"/>
      <c r="R56" s="87">
        <v>33</v>
      </c>
      <c r="S56" s="84"/>
      <c r="T56" s="87">
        <v>8.8186</v>
      </c>
      <c r="U56" s="84"/>
      <c r="V56" s="83">
        <v>4013838</v>
      </c>
      <c r="W56" s="84"/>
      <c r="X56" s="88">
        <v>3988838</v>
      </c>
      <c r="Y56" s="84"/>
      <c r="Z56" s="83">
        <v>3923145</v>
      </c>
      <c r="AA56" s="84"/>
      <c r="AB56" s="83">
        <v>65693</v>
      </c>
      <c r="AC56" s="84"/>
      <c r="AD56" s="83">
        <v>114811</v>
      </c>
      <c r="AE56" s="84"/>
      <c r="AF56" s="83">
        <v>112835</v>
      </c>
      <c r="AG56" s="84"/>
      <c r="AH56" s="83">
        <v>1976</v>
      </c>
      <c r="AI56" s="84"/>
      <c r="AJ56" s="83">
        <v>739801</v>
      </c>
      <c r="AK56" s="84"/>
      <c r="AL56" s="83">
        <v>724288</v>
      </c>
      <c r="AM56" s="84"/>
      <c r="AN56" s="83">
        <v>21331</v>
      </c>
      <c r="AO56" s="84"/>
      <c r="AP56" s="89">
        <v>20981</v>
      </c>
      <c r="AQ56" s="84"/>
      <c r="AR56" s="83">
        <v>995049</v>
      </c>
      <c r="AS56" s="84"/>
      <c r="AT56" s="88">
        <v>32836617</v>
      </c>
      <c r="AU56" s="80"/>
      <c r="AV56" s="90">
        <v>179.8</v>
      </c>
      <c r="AW56" s="80" t="s">
        <v>103</v>
      </c>
      <c r="AX56" s="80" t="s">
        <v>729</v>
      </c>
    </row>
    <row r="57" spans="1:50">
      <c r="A57" s="80" t="s">
        <v>832</v>
      </c>
      <c r="B57" s="80" t="s">
        <v>833</v>
      </c>
      <c r="C57" s="80" t="s">
        <v>765</v>
      </c>
      <c r="D57" s="81">
        <v>4077</v>
      </c>
      <c r="E57" s="82">
        <v>40077</v>
      </c>
      <c r="F57" s="80" t="s">
        <v>740</v>
      </c>
      <c r="G57" s="80" t="s">
        <v>726</v>
      </c>
      <c r="H57" s="83">
        <v>5502379</v>
      </c>
      <c r="I57" s="84">
        <v>65</v>
      </c>
      <c r="J57" s="80" t="s">
        <v>736</v>
      </c>
      <c r="K57" s="80" t="s">
        <v>735</v>
      </c>
      <c r="L57" s="85">
        <v>43</v>
      </c>
      <c r="M57" s="80"/>
      <c r="N57" s="86">
        <v>10</v>
      </c>
      <c r="O57" s="84"/>
      <c r="P57" s="87">
        <v>27.9588</v>
      </c>
      <c r="Q57" s="84"/>
      <c r="R57" s="87">
        <v>27.164899999999999</v>
      </c>
      <c r="S57" s="84"/>
      <c r="T57" s="87">
        <v>31.171099999999999</v>
      </c>
      <c r="U57" s="84"/>
      <c r="V57" s="83">
        <v>3327000</v>
      </c>
      <c r="W57" s="84"/>
      <c r="X57" s="88">
        <v>3379135</v>
      </c>
      <c r="Y57" s="84"/>
      <c r="Z57" s="83">
        <v>3159070</v>
      </c>
      <c r="AA57" s="84"/>
      <c r="AB57" s="83">
        <v>220065</v>
      </c>
      <c r="AC57" s="84"/>
      <c r="AD57" s="83">
        <v>125765</v>
      </c>
      <c r="AE57" s="84"/>
      <c r="AF57" s="83">
        <v>112990</v>
      </c>
      <c r="AG57" s="84"/>
      <c r="AH57" s="83">
        <v>12775</v>
      </c>
      <c r="AI57" s="84"/>
      <c r="AJ57" s="83">
        <v>1016844</v>
      </c>
      <c r="AK57" s="84"/>
      <c r="AL57" s="83">
        <v>958905</v>
      </c>
      <c r="AM57" s="84"/>
      <c r="AN57" s="83">
        <v>37346</v>
      </c>
      <c r="AO57" s="84"/>
      <c r="AP57" s="89">
        <v>33681</v>
      </c>
      <c r="AQ57" s="84"/>
      <c r="AR57" s="83">
        <v>3522017</v>
      </c>
      <c r="AS57" s="84"/>
      <c r="AT57" s="88">
        <v>95675095</v>
      </c>
      <c r="AU57" s="80"/>
      <c r="AV57" s="90">
        <v>142.24</v>
      </c>
      <c r="AW57" s="80" t="s">
        <v>103</v>
      </c>
      <c r="AX57" s="80" t="s">
        <v>729</v>
      </c>
    </row>
    <row r="58" spans="1:50">
      <c r="A58" s="80" t="s">
        <v>834</v>
      </c>
      <c r="B58" s="80" t="s">
        <v>835</v>
      </c>
      <c r="C58" s="80" t="s">
        <v>836</v>
      </c>
      <c r="D58" s="81">
        <v>6111</v>
      </c>
      <c r="E58" s="82">
        <v>60111</v>
      </c>
      <c r="F58" s="80" t="s">
        <v>740</v>
      </c>
      <c r="G58" s="80" t="s">
        <v>726</v>
      </c>
      <c r="H58" s="83">
        <v>741318</v>
      </c>
      <c r="I58" s="84">
        <v>58</v>
      </c>
      <c r="J58" s="80" t="s">
        <v>736</v>
      </c>
      <c r="K58" s="80" t="s">
        <v>735</v>
      </c>
      <c r="L58" s="85">
        <v>25</v>
      </c>
      <c r="M58" s="80"/>
      <c r="N58" s="86">
        <v>7</v>
      </c>
      <c r="O58" s="84"/>
      <c r="P58" s="87">
        <v>37.376199999999997</v>
      </c>
      <c r="Q58" s="84"/>
      <c r="R58" s="87">
        <v>46.606200000000001</v>
      </c>
      <c r="S58" s="84"/>
      <c r="T58" s="87">
        <v>20.342199999999998</v>
      </c>
      <c r="U58" s="84"/>
      <c r="V58" s="83">
        <v>949106</v>
      </c>
      <c r="W58" s="84"/>
      <c r="X58" s="88">
        <v>965030</v>
      </c>
      <c r="Y58" s="84"/>
      <c r="Z58" s="83">
        <v>948235</v>
      </c>
      <c r="AA58" s="84"/>
      <c r="AB58" s="83">
        <v>16795</v>
      </c>
      <c r="AC58" s="84"/>
      <c r="AD58" s="83">
        <v>26411</v>
      </c>
      <c r="AE58" s="84"/>
      <c r="AF58" s="83">
        <v>25370</v>
      </c>
      <c r="AG58" s="84"/>
      <c r="AH58" s="83">
        <v>1041</v>
      </c>
      <c r="AI58" s="84"/>
      <c r="AJ58" s="83">
        <v>350454</v>
      </c>
      <c r="AK58" s="84"/>
      <c r="AL58" s="83">
        <v>318879</v>
      </c>
      <c r="AM58" s="84"/>
      <c r="AN58" s="83">
        <v>8899</v>
      </c>
      <c r="AO58" s="84"/>
      <c r="AP58" s="89">
        <v>8580</v>
      </c>
      <c r="AQ58" s="84"/>
      <c r="AR58" s="83">
        <v>516082</v>
      </c>
      <c r="AS58" s="84"/>
      <c r="AT58" s="88">
        <v>24052625</v>
      </c>
      <c r="AU58" s="80"/>
      <c r="AV58" s="90">
        <v>193.1</v>
      </c>
      <c r="AW58" s="80" t="s">
        <v>103</v>
      </c>
      <c r="AX58" s="80" t="s">
        <v>729</v>
      </c>
    </row>
    <row r="59" spans="1:50">
      <c r="A59" s="80" t="s">
        <v>837</v>
      </c>
      <c r="B59" s="80" t="s">
        <v>838</v>
      </c>
      <c r="C59" s="80" t="s">
        <v>839</v>
      </c>
      <c r="D59" s="81">
        <v>4094</v>
      </c>
      <c r="E59" s="82">
        <v>40094</v>
      </c>
      <c r="F59" s="80" t="s">
        <v>762</v>
      </c>
      <c r="G59" s="80" t="s">
        <v>726</v>
      </c>
      <c r="H59" s="83">
        <v>2148346</v>
      </c>
      <c r="I59" s="84">
        <v>54</v>
      </c>
      <c r="J59" s="80" t="s">
        <v>727</v>
      </c>
      <c r="K59" s="80" t="s">
        <v>735</v>
      </c>
      <c r="L59" s="85">
        <v>32</v>
      </c>
      <c r="M59" s="80"/>
      <c r="N59" s="86">
        <v>8</v>
      </c>
      <c r="O59" s="84"/>
      <c r="P59" s="87">
        <v>18.242100000000001</v>
      </c>
      <c r="Q59" s="84"/>
      <c r="R59" s="87">
        <v>4.7439</v>
      </c>
      <c r="S59" s="84"/>
      <c r="T59" s="87">
        <v>48.951300000000003</v>
      </c>
      <c r="U59" s="84"/>
      <c r="V59" s="83">
        <v>1280494</v>
      </c>
      <c r="W59" s="84"/>
      <c r="X59" s="88">
        <v>1388955</v>
      </c>
      <c r="Y59" s="84"/>
      <c r="Z59" s="83">
        <v>1315913</v>
      </c>
      <c r="AA59" s="84"/>
      <c r="AB59" s="83">
        <v>73042</v>
      </c>
      <c r="AC59" s="84"/>
      <c r="AD59" s="83">
        <v>75239</v>
      </c>
      <c r="AE59" s="84"/>
      <c r="AF59" s="83">
        <v>72136</v>
      </c>
      <c r="AG59" s="84"/>
      <c r="AH59" s="83">
        <v>3103</v>
      </c>
      <c r="AI59" s="84"/>
      <c r="AJ59" s="83">
        <v>434149</v>
      </c>
      <c r="AK59" s="84"/>
      <c r="AL59" s="83">
        <v>411208</v>
      </c>
      <c r="AM59" s="84"/>
      <c r="AN59" s="83">
        <v>23224</v>
      </c>
      <c r="AO59" s="84"/>
      <c r="AP59" s="89">
        <v>22380</v>
      </c>
      <c r="AQ59" s="84"/>
      <c r="AR59" s="83">
        <v>3531150</v>
      </c>
      <c r="AS59" s="84"/>
      <c r="AT59" s="88">
        <v>16751299</v>
      </c>
      <c r="AU59" s="80"/>
      <c r="AV59" s="90">
        <v>20.62</v>
      </c>
      <c r="AW59" s="80" t="s">
        <v>103</v>
      </c>
      <c r="AX59" s="80" t="s">
        <v>729</v>
      </c>
    </row>
    <row r="60" spans="1:50">
      <c r="A60" s="80" t="s">
        <v>840</v>
      </c>
      <c r="B60" s="80" t="s">
        <v>841</v>
      </c>
      <c r="C60" s="80" t="s">
        <v>842</v>
      </c>
      <c r="D60" s="81">
        <v>4159</v>
      </c>
      <c r="E60" s="82">
        <v>40159</v>
      </c>
      <c r="F60" s="80" t="s">
        <v>740</v>
      </c>
      <c r="G60" s="80" t="s">
        <v>726</v>
      </c>
      <c r="H60" s="83">
        <v>969587</v>
      </c>
      <c r="I60" s="84">
        <v>46</v>
      </c>
      <c r="J60" s="80" t="s">
        <v>736</v>
      </c>
      <c r="K60" s="80" t="s">
        <v>735</v>
      </c>
      <c r="L60" s="85">
        <v>8</v>
      </c>
      <c r="M60" s="80"/>
      <c r="N60" s="86">
        <v>2</v>
      </c>
      <c r="O60" s="84"/>
      <c r="P60" s="87">
        <v>27.200099999999999</v>
      </c>
      <c r="Q60" s="84"/>
      <c r="R60" s="87">
        <v>15.894600000000001</v>
      </c>
      <c r="S60" s="84"/>
      <c r="T60" s="87">
        <v>31.578299999999999</v>
      </c>
      <c r="U60" s="84"/>
      <c r="V60" s="83">
        <v>185032</v>
      </c>
      <c r="W60" s="84"/>
      <c r="X60" s="88">
        <v>208873</v>
      </c>
      <c r="Y60" s="84"/>
      <c r="Z60" s="83">
        <v>184417</v>
      </c>
      <c r="AA60" s="84"/>
      <c r="AB60" s="83">
        <v>24456</v>
      </c>
      <c r="AC60" s="84"/>
      <c r="AD60" s="83">
        <v>9329</v>
      </c>
      <c r="AE60" s="84"/>
      <c r="AF60" s="83">
        <v>6780</v>
      </c>
      <c r="AG60" s="84"/>
      <c r="AH60" s="83">
        <v>2549</v>
      </c>
      <c r="AI60" s="84"/>
      <c r="AJ60" s="83">
        <v>80763</v>
      </c>
      <c r="AK60" s="84"/>
      <c r="AL60" s="83">
        <v>75873</v>
      </c>
      <c r="AM60" s="84"/>
      <c r="AN60" s="83">
        <v>3127</v>
      </c>
      <c r="AO60" s="84"/>
      <c r="AP60" s="89">
        <v>2616</v>
      </c>
      <c r="AQ60" s="84"/>
      <c r="AR60" s="83">
        <v>214101</v>
      </c>
      <c r="AS60" s="84"/>
      <c r="AT60" s="88">
        <v>3403059</v>
      </c>
      <c r="AU60" s="80"/>
      <c r="AV60" s="90">
        <v>62.8</v>
      </c>
      <c r="AW60" s="80" t="s">
        <v>103</v>
      </c>
      <c r="AX60" s="80" t="s">
        <v>729</v>
      </c>
    </row>
    <row r="61" spans="1:50">
      <c r="A61" s="80" t="s">
        <v>843</v>
      </c>
      <c r="B61" s="80" t="s">
        <v>844</v>
      </c>
      <c r="C61" s="80" t="s">
        <v>724</v>
      </c>
      <c r="D61" s="81">
        <v>2099</v>
      </c>
      <c r="E61" s="82">
        <v>20099</v>
      </c>
      <c r="F61" s="80" t="s">
        <v>725</v>
      </c>
      <c r="G61" s="80" t="s">
        <v>726</v>
      </c>
      <c r="H61" s="83">
        <v>18351295</v>
      </c>
      <c r="I61" s="84">
        <v>44</v>
      </c>
      <c r="J61" s="80" t="s">
        <v>727</v>
      </c>
      <c r="K61" s="80" t="s">
        <v>728</v>
      </c>
      <c r="L61" s="85">
        <v>44</v>
      </c>
      <c r="M61" s="80"/>
      <c r="N61" s="86">
        <v>11</v>
      </c>
      <c r="O61" s="84"/>
      <c r="P61" s="87">
        <v>14.9787</v>
      </c>
      <c r="Q61" s="84"/>
      <c r="R61" s="87">
        <v>6.2369000000000003</v>
      </c>
      <c r="S61" s="84"/>
      <c r="T61" s="87">
        <v>20.2651</v>
      </c>
      <c r="U61" s="84"/>
      <c r="V61" s="83">
        <v>2119585</v>
      </c>
      <c r="W61" s="84"/>
      <c r="X61" s="88">
        <v>2255067</v>
      </c>
      <c r="Y61" s="84"/>
      <c r="Z61" s="83">
        <v>2005981</v>
      </c>
      <c r="AA61" s="84"/>
      <c r="AB61" s="83">
        <v>249086</v>
      </c>
      <c r="AC61" s="84"/>
      <c r="AD61" s="83">
        <v>144198</v>
      </c>
      <c r="AE61" s="84"/>
      <c r="AF61" s="83">
        <v>133922</v>
      </c>
      <c r="AG61" s="84"/>
      <c r="AH61" s="83">
        <v>10276</v>
      </c>
      <c r="AI61" s="84"/>
      <c r="AJ61" s="83">
        <v>563767</v>
      </c>
      <c r="AK61" s="84"/>
      <c r="AL61" s="83">
        <v>501496</v>
      </c>
      <c r="AM61" s="84"/>
      <c r="AN61" s="83">
        <v>36049</v>
      </c>
      <c r="AO61" s="84"/>
      <c r="AP61" s="89">
        <v>33480</v>
      </c>
      <c r="AQ61" s="84"/>
      <c r="AR61" s="83">
        <v>2713941</v>
      </c>
      <c r="AS61" s="84"/>
      <c r="AT61" s="88">
        <v>16926538</v>
      </c>
      <c r="AU61" s="80"/>
      <c r="AV61" s="90">
        <v>28.6</v>
      </c>
      <c r="AW61" s="80" t="s">
        <v>103</v>
      </c>
      <c r="AX61" s="80" t="s">
        <v>729</v>
      </c>
    </row>
    <row r="62" spans="1:50">
      <c r="A62" s="80" t="s">
        <v>845</v>
      </c>
      <c r="B62" s="80" t="s">
        <v>846</v>
      </c>
      <c r="C62" s="80" t="s">
        <v>847</v>
      </c>
      <c r="D62" s="81">
        <v>1102</v>
      </c>
      <c r="E62" s="82">
        <v>10102</v>
      </c>
      <c r="F62" s="80" t="s">
        <v>762</v>
      </c>
      <c r="G62" s="80" t="s">
        <v>726</v>
      </c>
      <c r="H62" s="83">
        <v>924859</v>
      </c>
      <c r="I62" s="84">
        <v>43</v>
      </c>
      <c r="J62" s="80" t="s">
        <v>736</v>
      </c>
      <c r="K62" s="80" t="s">
        <v>735</v>
      </c>
      <c r="L62" s="85">
        <v>28</v>
      </c>
      <c r="M62" s="80"/>
      <c r="N62" s="86">
        <v>5</v>
      </c>
      <c r="O62" s="84"/>
      <c r="P62" s="87">
        <v>41.5304</v>
      </c>
      <c r="Q62" s="84"/>
      <c r="R62" s="87">
        <v>26.974699999999999</v>
      </c>
      <c r="S62" s="84"/>
      <c r="T62" s="87">
        <v>14.137</v>
      </c>
      <c r="U62" s="84"/>
      <c r="V62" s="83">
        <v>1532134</v>
      </c>
      <c r="W62" s="84"/>
      <c r="X62" s="88">
        <v>1717047</v>
      </c>
      <c r="Y62" s="84"/>
      <c r="Z62" s="83">
        <v>1403229</v>
      </c>
      <c r="AA62" s="84"/>
      <c r="AB62" s="83">
        <v>313818</v>
      </c>
      <c r="AC62" s="84"/>
      <c r="AD62" s="83">
        <v>40817</v>
      </c>
      <c r="AE62" s="84"/>
      <c r="AF62" s="83">
        <v>33788</v>
      </c>
      <c r="AG62" s="84"/>
      <c r="AH62" s="83">
        <v>7029</v>
      </c>
      <c r="AI62" s="84"/>
      <c r="AJ62" s="83">
        <v>501997</v>
      </c>
      <c r="AK62" s="84"/>
      <c r="AL62" s="83">
        <v>418641</v>
      </c>
      <c r="AM62" s="84"/>
      <c r="AN62" s="83">
        <v>11906</v>
      </c>
      <c r="AO62" s="84"/>
      <c r="AP62" s="89">
        <v>9943</v>
      </c>
      <c r="AQ62" s="84"/>
      <c r="AR62" s="83">
        <v>477660</v>
      </c>
      <c r="AS62" s="84"/>
      <c r="AT62" s="88">
        <v>12884750</v>
      </c>
      <c r="AU62" s="80"/>
      <c r="AV62" s="90">
        <v>101.2</v>
      </c>
      <c r="AW62" s="80" t="s">
        <v>103</v>
      </c>
      <c r="AX62" s="80" t="s">
        <v>729</v>
      </c>
    </row>
    <row r="63" spans="1:50">
      <c r="A63" s="80" t="s">
        <v>848</v>
      </c>
      <c r="B63" s="80" t="s">
        <v>849</v>
      </c>
      <c r="C63" s="80" t="s">
        <v>850</v>
      </c>
      <c r="D63" s="81">
        <v>9209</v>
      </c>
      <c r="E63" s="82">
        <v>90209</v>
      </c>
      <c r="F63" s="80" t="s">
        <v>733</v>
      </c>
      <c r="G63" s="80" t="s">
        <v>726</v>
      </c>
      <c r="H63" s="83">
        <v>3629114</v>
      </c>
      <c r="I63" s="84">
        <v>38</v>
      </c>
      <c r="J63" s="80" t="s">
        <v>734</v>
      </c>
      <c r="K63" s="80" t="s">
        <v>735</v>
      </c>
      <c r="L63" s="85">
        <v>38</v>
      </c>
      <c r="M63" s="80"/>
      <c r="N63" s="86">
        <v>17</v>
      </c>
      <c r="O63" s="84"/>
      <c r="P63" s="87">
        <v>15.732699999999999</v>
      </c>
      <c r="Q63" s="84"/>
      <c r="R63" s="87">
        <v>7.0598999999999998</v>
      </c>
      <c r="S63" s="84"/>
      <c r="T63" s="87">
        <v>59.326099999999997</v>
      </c>
      <c r="U63" s="84"/>
      <c r="V63" s="83">
        <v>3379368</v>
      </c>
      <c r="W63" s="84"/>
      <c r="X63" s="88">
        <v>3435184</v>
      </c>
      <c r="Y63" s="84"/>
      <c r="Z63" s="83">
        <v>3401452</v>
      </c>
      <c r="AA63" s="84"/>
      <c r="AB63" s="83">
        <v>33732</v>
      </c>
      <c r="AC63" s="84"/>
      <c r="AD63" s="83">
        <v>220467</v>
      </c>
      <c r="AE63" s="84"/>
      <c r="AF63" s="83">
        <v>216203</v>
      </c>
      <c r="AG63" s="84"/>
      <c r="AH63" s="83">
        <v>4264</v>
      </c>
      <c r="AI63" s="84"/>
      <c r="AJ63" s="83">
        <v>1639416</v>
      </c>
      <c r="AK63" s="84"/>
      <c r="AL63" s="83">
        <v>1623906</v>
      </c>
      <c r="AM63" s="84"/>
      <c r="AN63" s="83">
        <v>105253</v>
      </c>
      <c r="AO63" s="84"/>
      <c r="AP63" s="89">
        <v>103186</v>
      </c>
      <c r="AQ63" s="84"/>
      <c r="AR63" s="83">
        <v>12826471</v>
      </c>
      <c r="AS63" s="84"/>
      <c r="AT63" s="88">
        <v>90553779</v>
      </c>
      <c r="AU63" s="80"/>
      <c r="AV63" s="90">
        <v>54.48</v>
      </c>
      <c r="AW63" s="80" t="s">
        <v>103</v>
      </c>
      <c r="AX63" s="80" t="s">
        <v>729</v>
      </c>
    </row>
    <row r="64" spans="1:50">
      <c r="A64" s="80" t="s">
        <v>851</v>
      </c>
      <c r="B64" s="80" t="s">
        <v>852</v>
      </c>
      <c r="C64" s="80" t="s">
        <v>739</v>
      </c>
      <c r="D64" s="81">
        <v>9182</v>
      </c>
      <c r="E64" s="82">
        <v>90182</v>
      </c>
      <c r="F64" s="80" t="s">
        <v>740</v>
      </c>
      <c r="G64" s="80" t="s">
        <v>726</v>
      </c>
      <c r="H64" s="83">
        <v>370583</v>
      </c>
      <c r="I64" s="84">
        <v>35</v>
      </c>
      <c r="J64" s="80" t="s">
        <v>736</v>
      </c>
      <c r="K64" s="80" t="s">
        <v>735</v>
      </c>
      <c r="L64" s="85">
        <v>35</v>
      </c>
      <c r="M64" s="80"/>
      <c r="N64" s="86">
        <v>7</v>
      </c>
      <c r="O64" s="84"/>
      <c r="P64" s="87">
        <v>39.364699999999999</v>
      </c>
      <c r="Q64" s="84"/>
      <c r="R64" s="87">
        <v>43.7104</v>
      </c>
      <c r="S64" s="84"/>
      <c r="T64" s="87">
        <v>41.436999999999998</v>
      </c>
      <c r="U64" s="84"/>
      <c r="V64" s="83">
        <v>1050950</v>
      </c>
      <c r="W64" s="84"/>
      <c r="X64" s="88">
        <v>1050950</v>
      </c>
      <c r="Y64" s="84"/>
      <c r="Z64" s="83">
        <v>1008877</v>
      </c>
      <c r="AA64" s="84"/>
      <c r="AB64" s="83">
        <v>42073</v>
      </c>
      <c r="AC64" s="84"/>
      <c r="AD64" s="83">
        <v>31545</v>
      </c>
      <c r="AE64" s="84"/>
      <c r="AF64" s="83">
        <v>25629</v>
      </c>
      <c r="AG64" s="84"/>
      <c r="AH64" s="83">
        <v>5916</v>
      </c>
      <c r="AI64" s="84"/>
      <c r="AJ64" s="83">
        <v>168072</v>
      </c>
      <c r="AK64" s="84"/>
      <c r="AL64" s="83">
        <v>158131</v>
      </c>
      <c r="AM64" s="84"/>
      <c r="AN64" s="83">
        <v>4801</v>
      </c>
      <c r="AO64" s="84"/>
      <c r="AP64" s="89">
        <v>4126</v>
      </c>
      <c r="AQ64" s="84"/>
      <c r="AR64" s="83">
        <v>1061990</v>
      </c>
      <c r="AS64" s="84"/>
      <c r="AT64" s="88">
        <v>46419957</v>
      </c>
      <c r="AU64" s="80"/>
      <c r="AV64" s="90">
        <v>172</v>
      </c>
      <c r="AW64" s="80" t="s">
        <v>103</v>
      </c>
      <c r="AX64" s="80" t="s">
        <v>729</v>
      </c>
    </row>
    <row r="65" spans="1:50">
      <c r="A65" s="80" t="s">
        <v>853</v>
      </c>
      <c r="B65" s="80" t="s">
        <v>854</v>
      </c>
      <c r="C65" s="80" t="s">
        <v>765</v>
      </c>
      <c r="D65" s="81">
        <v>4232</v>
      </c>
      <c r="E65" s="82">
        <v>40232</v>
      </c>
      <c r="F65" s="80" t="s">
        <v>762</v>
      </c>
      <c r="G65" s="80" t="s">
        <v>726</v>
      </c>
      <c r="H65" s="83">
        <v>1510516</v>
      </c>
      <c r="I65" s="84">
        <v>25</v>
      </c>
      <c r="J65" s="80" t="s">
        <v>736</v>
      </c>
      <c r="K65" s="80" t="s">
        <v>735</v>
      </c>
      <c r="L65" s="85">
        <v>25</v>
      </c>
      <c r="M65" s="80"/>
      <c r="N65" s="86">
        <v>7</v>
      </c>
      <c r="O65" s="84"/>
      <c r="P65" s="87">
        <v>27.875299999999999</v>
      </c>
      <c r="Q65" s="84"/>
      <c r="R65" s="87">
        <v>16.655999999999999</v>
      </c>
      <c r="S65" s="84"/>
      <c r="T65" s="87">
        <v>36.110199999999999</v>
      </c>
      <c r="U65" s="84"/>
      <c r="V65" s="83">
        <v>961119</v>
      </c>
      <c r="W65" s="84"/>
      <c r="X65" s="88">
        <v>987220</v>
      </c>
      <c r="Y65" s="84"/>
      <c r="Z65" s="83">
        <v>959969</v>
      </c>
      <c r="AA65" s="84"/>
      <c r="AB65" s="83">
        <v>27251</v>
      </c>
      <c r="AC65" s="84"/>
      <c r="AD65" s="83">
        <v>35457</v>
      </c>
      <c r="AE65" s="84"/>
      <c r="AF65" s="83">
        <v>34438</v>
      </c>
      <c r="AG65" s="84"/>
      <c r="AH65" s="83">
        <v>1019</v>
      </c>
      <c r="AI65" s="84"/>
      <c r="AJ65" s="83">
        <v>486222</v>
      </c>
      <c r="AK65" s="84"/>
      <c r="AL65" s="83">
        <v>472840</v>
      </c>
      <c r="AM65" s="84"/>
      <c r="AN65" s="83">
        <v>17449</v>
      </c>
      <c r="AO65" s="84"/>
      <c r="AP65" s="89">
        <v>16961</v>
      </c>
      <c r="AQ65" s="84"/>
      <c r="AR65" s="83">
        <v>1243563</v>
      </c>
      <c r="AS65" s="84"/>
      <c r="AT65" s="88">
        <v>20712830</v>
      </c>
      <c r="AU65" s="80"/>
      <c r="AV65" s="90">
        <v>97.94</v>
      </c>
      <c r="AW65" s="80" t="s">
        <v>103</v>
      </c>
      <c r="AX65" s="80" t="s">
        <v>729</v>
      </c>
    </row>
    <row r="66" spans="1:50">
      <c r="A66" s="80" t="s">
        <v>855</v>
      </c>
      <c r="B66" s="80" t="s">
        <v>782</v>
      </c>
      <c r="C66" s="80" t="s">
        <v>856</v>
      </c>
      <c r="D66" s="81">
        <v>1115</v>
      </c>
      <c r="E66" s="82">
        <v>10115</v>
      </c>
      <c r="F66" s="80" t="s">
        <v>740</v>
      </c>
      <c r="G66" s="80" t="s">
        <v>726</v>
      </c>
      <c r="H66" s="83">
        <v>203914</v>
      </c>
      <c r="I66" s="84">
        <v>21</v>
      </c>
      <c r="J66" s="80" t="s">
        <v>736</v>
      </c>
      <c r="K66" s="80" t="s">
        <v>735</v>
      </c>
      <c r="L66" s="85">
        <v>21</v>
      </c>
      <c r="M66" s="80"/>
      <c r="N66" s="86">
        <v>3</v>
      </c>
      <c r="O66" s="84"/>
      <c r="P66" s="87">
        <v>31.0428</v>
      </c>
      <c r="Q66" s="84"/>
      <c r="R66" s="87">
        <v>80.967200000000005</v>
      </c>
      <c r="S66" s="84"/>
      <c r="T66" s="87">
        <v>6.5294999999999996</v>
      </c>
      <c r="U66" s="84"/>
      <c r="V66" s="83">
        <v>2681492</v>
      </c>
      <c r="W66" s="84"/>
      <c r="X66" s="88">
        <v>1974842</v>
      </c>
      <c r="Y66" s="84"/>
      <c r="Z66" s="83">
        <v>1962156</v>
      </c>
      <c r="AA66" s="84"/>
      <c r="AB66" s="83">
        <v>12686</v>
      </c>
      <c r="AC66" s="84"/>
      <c r="AD66" s="83">
        <v>64602</v>
      </c>
      <c r="AE66" s="84"/>
      <c r="AF66" s="83">
        <v>63208</v>
      </c>
      <c r="AG66" s="84"/>
      <c r="AH66" s="83">
        <v>1394</v>
      </c>
      <c r="AI66" s="84"/>
      <c r="AJ66" s="83">
        <v>394968</v>
      </c>
      <c r="AK66" s="84"/>
      <c r="AL66" s="83">
        <v>392431</v>
      </c>
      <c r="AM66" s="84"/>
      <c r="AN66" s="83">
        <v>12909</v>
      </c>
      <c r="AO66" s="84"/>
      <c r="AP66" s="89">
        <v>12630</v>
      </c>
      <c r="AQ66" s="84"/>
      <c r="AR66" s="83">
        <v>412718</v>
      </c>
      <c r="AS66" s="84"/>
      <c r="AT66" s="88">
        <v>33416609</v>
      </c>
      <c r="AU66" s="80"/>
      <c r="AV66" s="90">
        <v>287.60000000000002</v>
      </c>
      <c r="AW66" s="80" t="s">
        <v>103</v>
      </c>
      <c r="AX66" s="80" t="s">
        <v>729</v>
      </c>
    </row>
    <row r="67" spans="1:50">
      <c r="A67" s="80" t="s">
        <v>857</v>
      </c>
      <c r="B67" s="80" t="s">
        <v>858</v>
      </c>
      <c r="C67" s="80" t="s">
        <v>755</v>
      </c>
      <c r="D67" s="81">
        <v>3057</v>
      </c>
      <c r="E67" s="82">
        <v>30057</v>
      </c>
      <c r="F67" s="80" t="s">
        <v>762</v>
      </c>
      <c r="G67" s="80" t="s">
        <v>726</v>
      </c>
      <c r="H67" s="83">
        <v>5441567</v>
      </c>
      <c r="I67" s="84">
        <v>20</v>
      </c>
      <c r="J67" s="80" t="s">
        <v>736</v>
      </c>
      <c r="K67" s="80" t="s">
        <v>735</v>
      </c>
      <c r="L67" s="85">
        <v>20</v>
      </c>
      <c r="M67" s="80"/>
      <c r="N67" s="86">
        <v>2</v>
      </c>
      <c r="O67" s="84"/>
      <c r="P67" s="87">
        <v>56.726300000000002</v>
      </c>
      <c r="Q67" s="84"/>
      <c r="R67" s="87">
        <v>86.293899999999994</v>
      </c>
      <c r="S67" s="84"/>
      <c r="T67" s="87">
        <v>20.154699999999998</v>
      </c>
      <c r="U67" s="84"/>
      <c r="V67" s="83">
        <v>2195188</v>
      </c>
      <c r="W67" s="84"/>
      <c r="X67" s="88">
        <v>1628329</v>
      </c>
      <c r="Y67" s="84"/>
      <c r="Z67" s="83">
        <v>1628329</v>
      </c>
      <c r="AA67" s="84"/>
      <c r="AB67" s="83">
        <v>0</v>
      </c>
      <c r="AC67" s="84"/>
      <c r="AD67" s="83">
        <v>28705</v>
      </c>
      <c r="AE67" s="84"/>
      <c r="AF67" s="83">
        <v>28705</v>
      </c>
      <c r="AG67" s="84"/>
      <c r="AH67" s="83">
        <v>0</v>
      </c>
      <c r="AI67" s="84"/>
      <c r="AJ67" s="83">
        <v>325666</v>
      </c>
      <c r="AK67" s="84"/>
      <c r="AL67" s="83">
        <v>325666</v>
      </c>
      <c r="AM67" s="84"/>
      <c r="AN67" s="83">
        <v>5741</v>
      </c>
      <c r="AO67" s="84"/>
      <c r="AP67" s="89">
        <v>5741</v>
      </c>
      <c r="AQ67" s="84"/>
      <c r="AR67" s="83">
        <v>578541</v>
      </c>
      <c r="AS67" s="84"/>
      <c r="AT67" s="88">
        <v>49924566</v>
      </c>
      <c r="AU67" s="80"/>
      <c r="AV67" s="90">
        <v>144.4</v>
      </c>
      <c r="AW67" s="80" t="s">
        <v>103</v>
      </c>
      <c r="AX67" s="80" t="s">
        <v>729</v>
      </c>
    </row>
    <row r="68" spans="1:50">
      <c r="A68" s="80" t="s">
        <v>859</v>
      </c>
      <c r="B68" s="80" t="s">
        <v>860</v>
      </c>
      <c r="C68" s="80" t="s">
        <v>739</v>
      </c>
      <c r="D68" s="81"/>
      <c r="E68" s="82">
        <v>90299</v>
      </c>
      <c r="F68" s="80" t="s">
        <v>740</v>
      </c>
      <c r="G68" s="80" t="s">
        <v>726</v>
      </c>
      <c r="H68" s="83">
        <v>308231</v>
      </c>
      <c r="I68" s="84">
        <v>12</v>
      </c>
      <c r="J68" s="80" t="s">
        <v>736</v>
      </c>
      <c r="K68" s="80" t="s">
        <v>728</v>
      </c>
      <c r="L68" s="85">
        <v>12</v>
      </c>
      <c r="M68" s="80"/>
      <c r="N68" s="86">
        <v>4</v>
      </c>
      <c r="O68" s="84"/>
      <c r="P68" s="87">
        <v>28.331499999999998</v>
      </c>
      <c r="Q68" s="84"/>
      <c r="R68" s="87">
        <v>23.8338</v>
      </c>
      <c r="S68" s="84"/>
      <c r="T68" s="87">
        <v>19.559999999999999</v>
      </c>
      <c r="U68" s="84"/>
      <c r="V68" s="83">
        <v>857003</v>
      </c>
      <c r="W68" s="84"/>
      <c r="X68" s="88">
        <v>833350</v>
      </c>
      <c r="Y68" s="84"/>
      <c r="Z68" s="83">
        <v>821415</v>
      </c>
      <c r="AA68" s="84"/>
      <c r="AB68" s="83">
        <v>11935</v>
      </c>
      <c r="AC68" s="84"/>
      <c r="AD68" s="83">
        <v>30370</v>
      </c>
      <c r="AE68" s="84"/>
      <c r="AF68" s="83">
        <v>28993</v>
      </c>
      <c r="AG68" s="84"/>
      <c r="AH68" s="83">
        <v>1377</v>
      </c>
      <c r="AI68" s="84"/>
      <c r="AJ68" s="83">
        <v>389580</v>
      </c>
      <c r="AK68" s="84"/>
      <c r="AL68" s="83">
        <v>384000</v>
      </c>
      <c r="AM68" s="84"/>
      <c r="AN68" s="83">
        <v>14198</v>
      </c>
      <c r="AO68" s="84"/>
      <c r="AP68" s="89">
        <v>13554</v>
      </c>
      <c r="AQ68" s="84"/>
      <c r="AR68" s="83">
        <v>567103</v>
      </c>
      <c r="AS68" s="84"/>
      <c r="AT68" s="88">
        <v>13516234</v>
      </c>
      <c r="AU68" s="80"/>
      <c r="AV68" s="90">
        <v>90.1</v>
      </c>
      <c r="AW68" s="80" t="s">
        <v>103</v>
      </c>
      <c r="AX68" s="80" t="s">
        <v>729</v>
      </c>
    </row>
    <row r="71" spans="1:50">
      <c r="N71" s="91">
        <f>SUM(N2:N68)</f>
        <v>2748</v>
      </c>
    </row>
  </sheetData>
  <autoFilter ref="A1:AX1" xr:uid="{50A8C45A-5858-4D09-AFE0-B39F437E1794}"/>
  <conditionalFormatting sqref="A2:AX68">
    <cfRule type="expression" dxfId="3" priority="1">
      <formula>MOD(ROW(),2)=0</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DD546-4AAB-4255-B8B6-21F7CDE25BB1}">
  <dimension ref="A1:G106"/>
  <sheetViews>
    <sheetView workbookViewId="0"/>
  </sheetViews>
  <sheetFormatPr defaultRowHeight="15"/>
  <cols>
    <col min="2" max="2" width="43.140625" bestFit="1" customWidth="1"/>
    <col min="3" max="7" width="14" style="57" customWidth="1"/>
  </cols>
  <sheetData>
    <row r="1" spans="1:7">
      <c r="A1" t="s">
        <v>3032</v>
      </c>
    </row>
    <row r="2" spans="1:7" ht="30">
      <c r="A2" t="s">
        <v>3033</v>
      </c>
      <c r="B2" t="s">
        <v>3034</v>
      </c>
      <c r="C2" s="57" t="s">
        <v>3035</v>
      </c>
      <c r="D2" s="57" t="s">
        <v>3036</v>
      </c>
      <c r="E2" s="57" t="s">
        <v>3037</v>
      </c>
      <c r="F2" s="57" t="s">
        <v>3038</v>
      </c>
      <c r="G2" s="57" t="s">
        <v>3039</v>
      </c>
    </row>
    <row r="3" spans="1:7" hidden="1">
      <c r="A3">
        <v>1990</v>
      </c>
      <c r="B3" t="s">
        <v>3040</v>
      </c>
      <c r="C3" s="216">
        <v>4057195988</v>
      </c>
      <c r="D3" s="216">
        <v>11568</v>
      </c>
      <c r="E3" s="216">
        <v>1562</v>
      </c>
      <c r="F3" s="216">
        <v>34820800463</v>
      </c>
      <c r="G3" s="57">
        <v>109.9</v>
      </c>
    </row>
    <row r="4" spans="1:7" hidden="1">
      <c r="B4" t="s">
        <v>3041</v>
      </c>
      <c r="C4" s="216">
        <v>599486893</v>
      </c>
      <c r="D4" s="216">
        <v>3155</v>
      </c>
      <c r="E4" s="57">
        <v>426</v>
      </c>
      <c r="F4" s="216">
        <v>9497397919</v>
      </c>
      <c r="G4" s="57">
        <v>30</v>
      </c>
    </row>
    <row r="5" spans="1:7" hidden="1">
      <c r="B5" t="s">
        <v>3042</v>
      </c>
      <c r="C5" s="216">
        <v>3984482217</v>
      </c>
      <c r="D5" s="216">
        <v>11287</v>
      </c>
      <c r="E5" s="216">
        <v>1524</v>
      </c>
      <c r="F5" s="216">
        <v>33972832399</v>
      </c>
      <c r="G5" s="57">
        <v>107.2</v>
      </c>
    </row>
    <row r="6" spans="1:7" hidden="1">
      <c r="B6" t="s">
        <v>3043</v>
      </c>
      <c r="C6" s="216">
        <v>617671849</v>
      </c>
      <c r="D6" s="216">
        <v>3228</v>
      </c>
      <c r="E6" s="57">
        <v>436</v>
      </c>
      <c r="F6" s="216">
        <v>9714974766</v>
      </c>
      <c r="G6" s="57">
        <v>30.7</v>
      </c>
    </row>
    <row r="7" spans="1:7" hidden="1">
      <c r="A7" t="s">
        <v>3044</v>
      </c>
      <c r="B7" t="s">
        <v>3040</v>
      </c>
      <c r="C7" s="57" t="s">
        <v>3045</v>
      </c>
      <c r="D7" s="216">
        <v>12136</v>
      </c>
      <c r="E7" s="216">
        <v>1638</v>
      </c>
      <c r="F7" s="216">
        <v>36528990675</v>
      </c>
      <c r="G7" s="57">
        <v>115.2</v>
      </c>
    </row>
    <row r="8" spans="1:7" hidden="1">
      <c r="A8" t="s">
        <v>3046</v>
      </c>
      <c r="B8" t="s">
        <v>3040</v>
      </c>
      <c r="C8" s="57" t="s">
        <v>3045</v>
      </c>
      <c r="D8" s="216">
        <v>12492</v>
      </c>
      <c r="E8" s="216">
        <v>1686</v>
      </c>
      <c r="F8" s="216">
        <v>37600624534</v>
      </c>
      <c r="G8" s="57">
        <v>118.6</v>
      </c>
    </row>
    <row r="9" spans="1:7" hidden="1">
      <c r="A9" t="s">
        <v>3047</v>
      </c>
      <c r="B9" t="s">
        <v>3040</v>
      </c>
      <c r="C9" s="57" t="s">
        <v>3045</v>
      </c>
      <c r="D9" s="216">
        <v>12937</v>
      </c>
      <c r="E9" s="216">
        <v>1747</v>
      </c>
      <c r="F9" s="216">
        <v>38940896854</v>
      </c>
      <c r="G9" s="57">
        <v>122.9</v>
      </c>
    </row>
    <row r="10" spans="1:7" hidden="1">
      <c r="A10" t="s">
        <v>3048</v>
      </c>
      <c r="B10" t="s">
        <v>3040</v>
      </c>
      <c r="C10" s="57" t="s">
        <v>3045</v>
      </c>
      <c r="D10" s="216">
        <v>12601</v>
      </c>
      <c r="E10" s="216">
        <v>1701</v>
      </c>
      <c r="F10" s="216">
        <v>37930582643</v>
      </c>
      <c r="G10" s="57">
        <v>119.7</v>
      </c>
    </row>
    <row r="11" spans="1:7" hidden="1">
      <c r="A11" t="s">
        <v>3049</v>
      </c>
      <c r="B11" t="s">
        <v>3040</v>
      </c>
      <c r="C11" s="57" t="s">
        <v>3045</v>
      </c>
      <c r="D11" s="216">
        <v>13726</v>
      </c>
      <c r="E11" s="216">
        <v>1853</v>
      </c>
      <c r="F11" s="216">
        <v>41314843250</v>
      </c>
      <c r="G11" s="57">
        <v>130.30000000000001</v>
      </c>
    </row>
    <row r="12" spans="1:7" hidden="1">
      <c r="A12">
        <v>2000</v>
      </c>
      <c r="B12" t="s">
        <v>3040</v>
      </c>
      <c r="C12" s="216">
        <v>5994679944</v>
      </c>
      <c r="D12" s="216">
        <v>14672</v>
      </c>
      <c r="E12" s="216">
        <v>1981</v>
      </c>
      <c r="F12" s="216">
        <v>44161841348</v>
      </c>
      <c r="G12" s="57">
        <v>139.30000000000001</v>
      </c>
    </row>
    <row r="13" spans="1:7" hidden="1">
      <c r="B13" t="s">
        <v>3041</v>
      </c>
      <c r="C13" s="216">
        <v>1309565963</v>
      </c>
      <c r="D13" s="216">
        <v>6040</v>
      </c>
      <c r="E13" s="57">
        <v>815</v>
      </c>
      <c r="F13" s="216">
        <v>18181535058</v>
      </c>
      <c r="G13" s="57">
        <v>57.4</v>
      </c>
    </row>
    <row r="14" spans="1:7" hidden="1">
      <c r="B14" t="s">
        <v>3042</v>
      </c>
      <c r="C14" s="216">
        <v>5891481028</v>
      </c>
      <c r="D14" s="216">
        <v>14349</v>
      </c>
      <c r="E14" s="216">
        <v>1937</v>
      </c>
      <c r="F14" s="216">
        <v>43191000202</v>
      </c>
      <c r="G14" s="57">
        <v>136.30000000000001</v>
      </c>
    </row>
    <row r="15" spans="1:7" hidden="1">
      <c r="B15" t="s">
        <v>3043</v>
      </c>
      <c r="C15" s="216">
        <v>1331784289</v>
      </c>
      <c r="D15" s="216">
        <v>6117</v>
      </c>
      <c r="E15" s="57">
        <v>826</v>
      </c>
      <c r="F15" s="216">
        <v>18412169613</v>
      </c>
      <c r="G15" s="57">
        <v>58.1</v>
      </c>
    </row>
    <row r="16" spans="1:7" hidden="1">
      <c r="A16" t="s">
        <v>3050</v>
      </c>
      <c r="B16" t="s">
        <v>3040</v>
      </c>
      <c r="C16" s="216">
        <v>5360977447</v>
      </c>
      <c r="D16" s="216">
        <v>13121</v>
      </c>
      <c r="E16" s="216">
        <v>1771</v>
      </c>
      <c r="F16" s="216">
        <v>39493457147</v>
      </c>
      <c r="G16" s="57">
        <v>124.6</v>
      </c>
    </row>
    <row r="17" spans="1:7" hidden="1">
      <c r="B17" t="s">
        <v>3041</v>
      </c>
      <c r="C17" s="216">
        <v>1171130679</v>
      </c>
      <c r="D17" s="216">
        <v>5402</v>
      </c>
      <c r="E17" s="57">
        <v>729</v>
      </c>
      <c r="F17" s="216">
        <v>16259550186</v>
      </c>
      <c r="G17" s="57">
        <v>51.3</v>
      </c>
    </row>
    <row r="18" spans="1:7" hidden="1">
      <c r="B18" t="s">
        <v>3042</v>
      </c>
      <c r="C18" s="216">
        <v>5268687772</v>
      </c>
      <c r="D18" s="216">
        <v>12832</v>
      </c>
      <c r="E18" s="216">
        <v>1732</v>
      </c>
      <c r="F18" s="216">
        <v>38625244409</v>
      </c>
      <c r="G18" s="57">
        <v>121.9</v>
      </c>
    </row>
    <row r="19" spans="1:7" hidden="1">
      <c r="B19" t="s">
        <v>3043</v>
      </c>
      <c r="C19" s="216">
        <v>1191000288</v>
      </c>
      <c r="D19" s="216">
        <v>5470</v>
      </c>
      <c r="E19" s="57">
        <v>739</v>
      </c>
      <c r="F19" s="216">
        <v>16465804174</v>
      </c>
      <c r="G19" s="57">
        <v>51.9</v>
      </c>
    </row>
    <row r="20" spans="1:7" hidden="1">
      <c r="A20" t="s">
        <v>3051</v>
      </c>
      <c r="B20" t="s">
        <v>3040</v>
      </c>
      <c r="C20" s="216">
        <v>5219345344</v>
      </c>
      <c r="D20" s="216">
        <v>12774</v>
      </c>
      <c r="E20" s="216">
        <v>1725</v>
      </c>
      <c r="F20" s="216">
        <v>38450076259</v>
      </c>
      <c r="G20" s="57">
        <v>121.3</v>
      </c>
    </row>
    <row r="21" spans="1:7" hidden="1">
      <c r="B21" t="s">
        <v>3041</v>
      </c>
      <c r="C21" s="216">
        <v>1140190481</v>
      </c>
      <c r="D21" s="216">
        <v>5259</v>
      </c>
      <c r="E21" s="57">
        <v>710</v>
      </c>
      <c r="F21" s="216">
        <v>15829987794</v>
      </c>
      <c r="G21" s="57">
        <v>49.9</v>
      </c>
    </row>
    <row r="22" spans="1:7" hidden="1">
      <c r="B22" t="s">
        <v>3042</v>
      </c>
      <c r="C22" s="216">
        <v>5129493877</v>
      </c>
      <c r="D22" s="216">
        <v>12493</v>
      </c>
      <c r="E22" s="216">
        <v>1687</v>
      </c>
      <c r="F22" s="216">
        <v>37604800905</v>
      </c>
      <c r="G22" s="57">
        <v>118.6</v>
      </c>
    </row>
    <row r="23" spans="1:7" hidden="1">
      <c r="B23" t="s">
        <v>3043</v>
      </c>
      <c r="C23" s="216">
        <v>1159535153</v>
      </c>
      <c r="D23" s="216">
        <v>5326</v>
      </c>
      <c r="E23" s="57">
        <v>719</v>
      </c>
      <c r="F23" s="216">
        <v>16030792741</v>
      </c>
      <c r="G23" s="57">
        <v>50.6</v>
      </c>
    </row>
    <row r="24" spans="1:7" hidden="1">
      <c r="A24" t="s">
        <v>3052</v>
      </c>
      <c r="B24" t="s">
        <v>3040</v>
      </c>
      <c r="C24" s="216">
        <v>5288138079</v>
      </c>
      <c r="D24" s="216">
        <v>12942</v>
      </c>
      <c r="E24" s="216">
        <v>1747</v>
      </c>
      <c r="F24" s="216">
        <v>38956861262</v>
      </c>
      <c r="G24" s="57">
        <v>122.9</v>
      </c>
    </row>
    <row r="25" spans="1:7" hidden="1">
      <c r="B25" t="s">
        <v>3041</v>
      </c>
      <c r="C25" s="216">
        <v>1155218577</v>
      </c>
      <c r="D25" s="216">
        <v>5328</v>
      </c>
      <c r="E25" s="57">
        <v>719</v>
      </c>
      <c r="F25" s="216">
        <v>16038632384</v>
      </c>
      <c r="G25" s="57">
        <v>50.6</v>
      </c>
    </row>
    <row r="26" spans="1:7" hidden="1">
      <c r="B26" t="s">
        <v>3042</v>
      </c>
      <c r="C26" s="216">
        <v>5197102340</v>
      </c>
      <c r="D26" s="216">
        <v>12658</v>
      </c>
      <c r="E26" s="216">
        <v>1709</v>
      </c>
      <c r="F26" s="216">
        <v>38100444893</v>
      </c>
      <c r="G26" s="57">
        <v>120.2</v>
      </c>
    </row>
    <row r="27" spans="1:7" hidden="1">
      <c r="B27" t="s">
        <v>3043</v>
      </c>
      <c r="C27" s="216">
        <v>1174818219</v>
      </c>
      <c r="D27" s="216">
        <v>5396</v>
      </c>
      <c r="E27" s="57">
        <v>728</v>
      </c>
      <c r="F27" s="216">
        <v>16242084008</v>
      </c>
      <c r="G27" s="57">
        <v>51.2</v>
      </c>
    </row>
    <row r="28" spans="1:7" hidden="1">
      <c r="A28" t="s">
        <v>3053</v>
      </c>
      <c r="B28" t="s">
        <v>3040</v>
      </c>
      <c r="C28" s="216">
        <v>5371498689</v>
      </c>
      <c r="D28" s="216">
        <v>13146</v>
      </c>
      <c r="E28" s="216">
        <v>1775</v>
      </c>
      <c r="F28" s="216">
        <v>39570965441</v>
      </c>
      <c r="G28" s="57">
        <v>124.8</v>
      </c>
    </row>
    <row r="29" spans="1:7" hidden="1">
      <c r="B29" t="s">
        <v>3041</v>
      </c>
      <c r="C29" s="216">
        <v>1173429093</v>
      </c>
      <c r="D29" s="216">
        <v>5412</v>
      </c>
      <c r="E29" s="57">
        <v>731</v>
      </c>
      <c r="F29" s="216">
        <v>16291460535</v>
      </c>
      <c r="G29" s="57">
        <v>51.4</v>
      </c>
    </row>
    <row r="30" spans="1:7" hidden="1">
      <c r="B30" t="s">
        <v>3042</v>
      </c>
      <c r="C30" s="216">
        <v>5279027890</v>
      </c>
      <c r="D30" s="216">
        <v>12857</v>
      </c>
      <c r="E30" s="216">
        <v>1736</v>
      </c>
      <c r="F30" s="216">
        <v>38701048784</v>
      </c>
      <c r="G30" s="57">
        <v>122.1</v>
      </c>
    </row>
    <row r="31" spans="1:7" hidden="1">
      <c r="B31" t="s">
        <v>3043</v>
      </c>
      <c r="C31" s="216">
        <v>1193337698</v>
      </c>
      <c r="D31" s="216">
        <v>5481</v>
      </c>
      <c r="E31" s="57">
        <v>740</v>
      </c>
      <c r="F31" s="216">
        <v>16498119309</v>
      </c>
      <c r="G31" s="57">
        <v>52.1</v>
      </c>
    </row>
    <row r="32" spans="1:7" hidden="1">
      <c r="A32">
        <v>2005</v>
      </c>
      <c r="B32" t="s">
        <v>3040</v>
      </c>
      <c r="C32" s="216">
        <v>6476007697</v>
      </c>
      <c r="D32" s="216">
        <v>13976</v>
      </c>
      <c r="E32" s="216">
        <v>1887</v>
      </c>
      <c r="F32" s="216">
        <v>42067562737</v>
      </c>
      <c r="G32" s="57">
        <v>132.69999999999999</v>
      </c>
    </row>
    <row r="33" spans="1:7" hidden="1">
      <c r="B33" t="s">
        <v>3041</v>
      </c>
      <c r="C33" s="216">
        <v>1373543928</v>
      </c>
      <c r="D33" s="216">
        <v>5858</v>
      </c>
      <c r="E33" s="57">
        <v>791</v>
      </c>
      <c r="F33" s="216">
        <v>17633508081</v>
      </c>
      <c r="G33" s="57">
        <v>55.6</v>
      </c>
    </row>
    <row r="34" spans="1:7" hidden="1">
      <c r="B34" t="s">
        <v>3042</v>
      </c>
      <c r="C34" s="216">
        <v>6370544998</v>
      </c>
      <c r="D34" s="216">
        <v>13654</v>
      </c>
      <c r="E34" s="216">
        <v>1843</v>
      </c>
      <c r="F34" s="216">
        <v>41098359387</v>
      </c>
      <c r="G34" s="57">
        <v>129.69999999999999</v>
      </c>
    </row>
    <row r="35" spans="1:7" hidden="1">
      <c r="B35" t="s">
        <v>3043</v>
      </c>
      <c r="C35" s="216">
        <v>1397051323</v>
      </c>
      <c r="D35" s="216">
        <v>5936</v>
      </c>
      <c r="E35" s="57">
        <v>801</v>
      </c>
      <c r="F35" s="216">
        <v>17868972965</v>
      </c>
      <c r="G35" s="57">
        <v>56.4</v>
      </c>
    </row>
    <row r="36" spans="1:7" hidden="1">
      <c r="A36" t="s">
        <v>3054</v>
      </c>
      <c r="B36" t="s">
        <v>3040</v>
      </c>
      <c r="C36" s="216">
        <v>5894323482</v>
      </c>
      <c r="D36" s="216">
        <v>14426</v>
      </c>
      <c r="E36" s="216">
        <v>1948</v>
      </c>
      <c r="F36" s="216">
        <v>43422531461</v>
      </c>
      <c r="G36" s="57">
        <v>137</v>
      </c>
    </row>
    <row r="37" spans="1:7" hidden="1">
      <c r="B37" t="s">
        <v>3041</v>
      </c>
      <c r="C37" s="216">
        <v>1287642623</v>
      </c>
      <c r="D37" s="216">
        <v>5939</v>
      </c>
      <c r="E37" s="57">
        <v>802</v>
      </c>
      <c r="F37" s="216">
        <v>17877159421</v>
      </c>
      <c r="G37" s="57">
        <v>56.4</v>
      </c>
    </row>
    <row r="38" spans="1:7" hidden="1">
      <c r="B38" t="s">
        <v>3042</v>
      </c>
      <c r="C38" s="216">
        <v>5792852211</v>
      </c>
      <c r="D38" s="216">
        <v>14109</v>
      </c>
      <c r="E38" s="216">
        <v>1905</v>
      </c>
      <c r="F38" s="216">
        <v>42467943091</v>
      </c>
      <c r="G38" s="57">
        <v>134</v>
      </c>
    </row>
    <row r="39" spans="1:7" hidden="1">
      <c r="B39" t="s">
        <v>3043</v>
      </c>
      <c r="C39" s="216">
        <v>1309488994</v>
      </c>
      <c r="D39" s="216">
        <v>6015</v>
      </c>
      <c r="E39" s="57">
        <v>812</v>
      </c>
      <c r="F39" s="216">
        <v>18103932940</v>
      </c>
      <c r="G39" s="57">
        <v>57.1</v>
      </c>
    </row>
    <row r="40" spans="1:7" hidden="1">
      <c r="A40" t="s">
        <v>3055</v>
      </c>
      <c r="B40" t="s">
        <v>3040</v>
      </c>
      <c r="C40" s="216">
        <v>6009247818</v>
      </c>
      <c r="D40" s="216">
        <v>14707</v>
      </c>
      <c r="E40" s="216">
        <v>1986</v>
      </c>
      <c r="F40" s="216">
        <v>44269160525</v>
      </c>
      <c r="G40" s="57">
        <v>139.69999999999999</v>
      </c>
    </row>
    <row r="41" spans="1:7" hidden="1">
      <c r="B41" t="s">
        <v>3041</v>
      </c>
      <c r="C41" s="216">
        <v>1312748383</v>
      </c>
      <c r="D41" s="216">
        <v>6055</v>
      </c>
      <c r="E41" s="57">
        <v>817</v>
      </c>
      <c r="F41" s="216">
        <v>18225718619</v>
      </c>
      <c r="G41" s="57">
        <v>57.5</v>
      </c>
    </row>
    <row r="42" spans="1:7" hidden="1">
      <c r="B42" t="s">
        <v>3042</v>
      </c>
      <c r="C42" s="216">
        <v>5905798114</v>
      </c>
      <c r="D42" s="216">
        <v>14384</v>
      </c>
      <c r="E42" s="216">
        <v>1942</v>
      </c>
      <c r="F42" s="216">
        <v>43295960105</v>
      </c>
      <c r="G42" s="57">
        <v>136.6</v>
      </c>
    </row>
    <row r="43" spans="1:7" hidden="1">
      <c r="B43" t="s">
        <v>3043</v>
      </c>
      <c r="C43" s="216">
        <v>1335020703</v>
      </c>
      <c r="D43" s="216">
        <v>6132</v>
      </c>
      <c r="E43" s="57">
        <v>828</v>
      </c>
      <c r="F43" s="216">
        <v>18456913646</v>
      </c>
      <c r="G43" s="57">
        <v>58.2</v>
      </c>
    </row>
    <row r="44" spans="1:7" hidden="1">
      <c r="A44" t="s">
        <v>3056</v>
      </c>
      <c r="B44" t="s">
        <v>3040</v>
      </c>
      <c r="C44" s="216">
        <v>5475092456</v>
      </c>
      <c r="D44" s="216">
        <v>13400</v>
      </c>
      <c r="E44" s="216">
        <v>1809</v>
      </c>
      <c r="F44" s="216">
        <v>40334124033</v>
      </c>
      <c r="G44" s="57">
        <v>127.3</v>
      </c>
    </row>
    <row r="45" spans="1:7" hidden="1">
      <c r="B45" t="s">
        <v>3041</v>
      </c>
      <c r="C45" s="216">
        <v>1196059638</v>
      </c>
      <c r="D45" s="216">
        <v>5517</v>
      </c>
      <c r="E45" s="57">
        <v>745</v>
      </c>
      <c r="F45" s="216">
        <v>16605654741</v>
      </c>
      <c r="G45" s="57">
        <v>52.4</v>
      </c>
    </row>
    <row r="46" spans="1:7" hidden="1">
      <c r="B46" t="s">
        <v>3042</v>
      </c>
      <c r="C46" s="216">
        <v>5380838282</v>
      </c>
      <c r="D46" s="216">
        <v>13105</v>
      </c>
      <c r="E46" s="216">
        <v>1769</v>
      </c>
      <c r="F46" s="216">
        <v>39447430318</v>
      </c>
      <c r="G46" s="57">
        <v>124.5</v>
      </c>
    </row>
    <row r="47" spans="1:7" hidden="1">
      <c r="B47" t="s">
        <v>3043</v>
      </c>
      <c r="C47" s="216">
        <v>1216352196</v>
      </c>
      <c r="D47" s="216">
        <v>5587</v>
      </c>
      <c r="E47" s="57">
        <v>754</v>
      </c>
      <c r="F47" s="216">
        <v>16816299099</v>
      </c>
      <c r="G47" s="57">
        <v>53.1</v>
      </c>
    </row>
    <row r="48" spans="1:7" hidden="1">
      <c r="A48" t="s">
        <v>3057</v>
      </c>
      <c r="B48" t="s">
        <v>3040</v>
      </c>
      <c r="C48" s="216">
        <v>5143268671</v>
      </c>
      <c r="D48" s="216">
        <v>12588</v>
      </c>
      <c r="E48" s="216">
        <v>1699</v>
      </c>
      <c r="F48" s="216">
        <v>37889631668</v>
      </c>
      <c r="G48" s="57">
        <v>119.5</v>
      </c>
    </row>
    <row r="49" spans="1:7" hidden="1">
      <c r="B49" t="s">
        <v>3041</v>
      </c>
      <c r="C49" s="216">
        <v>1123571175</v>
      </c>
      <c r="D49" s="216">
        <v>5182</v>
      </c>
      <c r="E49" s="57">
        <v>700</v>
      </c>
      <c r="F49" s="216">
        <v>15599251424</v>
      </c>
      <c r="G49" s="57">
        <v>49.2</v>
      </c>
    </row>
    <row r="50" spans="1:7" hidden="1">
      <c r="B50" t="s">
        <v>3042</v>
      </c>
      <c r="C50" s="216">
        <v>5054726871</v>
      </c>
      <c r="D50" s="216">
        <v>12311</v>
      </c>
      <c r="E50" s="216">
        <v>1662</v>
      </c>
      <c r="F50" s="216">
        <v>37056676966</v>
      </c>
      <c r="G50" s="57">
        <v>116.9</v>
      </c>
    </row>
    <row r="51" spans="1:7" hidden="1">
      <c r="B51" t="s">
        <v>3043</v>
      </c>
      <c r="C51" s="216">
        <v>1142633881</v>
      </c>
      <c r="D51" s="216">
        <v>5248</v>
      </c>
      <c r="E51" s="57">
        <v>709</v>
      </c>
      <c r="F51" s="216">
        <v>15797129457</v>
      </c>
      <c r="G51" s="57">
        <v>49.8</v>
      </c>
    </row>
    <row r="52" spans="1:7" hidden="1">
      <c r="A52">
        <v>2010</v>
      </c>
      <c r="B52" t="s">
        <v>3040</v>
      </c>
      <c r="C52" s="216">
        <v>5652264576</v>
      </c>
      <c r="D52" s="216">
        <v>11931</v>
      </c>
      <c r="E52" s="216">
        <v>1611</v>
      </c>
      <c r="F52" s="216">
        <v>35912723830</v>
      </c>
      <c r="G52" s="57">
        <v>113.3</v>
      </c>
    </row>
    <row r="53" spans="1:7" hidden="1">
      <c r="B53" t="s">
        <v>3041</v>
      </c>
      <c r="C53" s="216">
        <v>1474839733</v>
      </c>
      <c r="D53" s="216">
        <v>6044</v>
      </c>
      <c r="E53" s="57">
        <v>816</v>
      </c>
      <c r="F53" s="216">
        <v>18192953916</v>
      </c>
      <c r="G53" s="57">
        <v>57.4</v>
      </c>
    </row>
    <row r="54" spans="1:7" hidden="1">
      <c r="B54" t="s">
        <v>3042</v>
      </c>
      <c r="C54" s="216">
        <v>5554043585</v>
      </c>
      <c r="D54" s="216">
        <v>11667</v>
      </c>
      <c r="E54" s="216">
        <v>1575</v>
      </c>
      <c r="F54" s="216">
        <v>35116863245</v>
      </c>
      <c r="G54" s="57">
        <v>110.8</v>
      </c>
    </row>
    <row r="55" spans="1:7" hidden="1">
      <c r="B55" t="s">
        <v>3043</v>
      </c>
      <c r="C55" s="216">
        <v>1497606695</v>
      </c>
      <c r="D55" s="216">
        <v>6113</v>
      </c>
      <c r="E55" s="57">
        <v>825</v>
      </c>
      <c r="F55" s="216">
        <v>18398996825</v>
      </c>
      <c r="G55" s="57">
        <v>58</v>
      </c>
    </row>
    <row r="56" spans="1:7" hidden="1">
      <c r="A56">
        <v>2011</v>
      </c>
      <c r="B56" t="s">
        <v>3040</v>
      </c>
      <c r="C56" s="216">
        <v>5767378664</v>
      </c>
      <c r="D56" s="216">
        <v>12067</v>
      </c>
      <c r="E56" s="216">
        <v>1629</v>
      </c>
      <c r="F56" s="216">
        <v>36321170730</v>
      </c>
      <c r="G56" s="57">
        <v>114.6</v>
      </c>
    </row>
    <row r="57" spans="1:7" hidden="1">
      <c r="B57" t="s">
        <v>3041</v>
      </c>
      <c r="C57" s="216">
        <v>1576982962</v>
      </c>
      <c r="D57" s="216">
        <v>6496</v>
      </c>
      <c r="E57" s="57">
        <v>877</v>
      </c>
      <c r="F57" s="216">
        <v>19551631939</v>
      </c>
      <c r="G57" s="57">
        <v>61.7</v>
      </c>
    </row>
    <row r="58" spans="1:7" hidden="1">
      <c r="B58" t="s">
        <v>3042</v>
      </c>
      <c r="C58" s="216">
        <v>5673689481</v>
      </c>
      <c r="D58" s="216">
        <v>11823</v>
      </c>
      <c r="E58" s="216">
        <v>1596</v>
      </c>
      <c r="F58" s="216">
        <v>35588754827</v>
      </c>
      <c r="G58" s="57">
        <v>112.3</v>
      </c>
    </row>
    <row r="59" spans="1:7" hidden="1">
      <c r="B59" t="s">
        <v>3043</v>
      </c>
      <c r="C59" s="216">
        <v>1596797398</v>
      </c>
      <c r="D59" s="216">
        <v>6554</v>
      </c>
      <c r="E59" s="57">
        <v>885</v>
      </c>
      <c r="F59" s="216">
        <v>19727043614</v>
      </c>
      <c r="G59" s="57">
        <v>62.2</v>
      </c>
    </row>
    <row r="60" spans="1:7" hidden="1">
      <c r="A60">
        <v>2012</v>
      </c>
      <c r="B60" t="s">
        <v>3040</v>
      </c>
      <c r="C60" s="216">
        <v>5735605432</v>
      </c>
      <c r="D60" s="216">
        <v>11932</v>
      </c>
      <c r="E60" s="216">
        <v>1611</v>
      </c>
      <c r="F60" s="216">
        <v>35915745616</v>
      </c>
      <c r="G60" s="57">
        <v>113.3</v>
      </c>
    </row>
    <row r="61" spans="1:7" hidden="1">
      <c r="B61" t="s">
        <v>3041</v>
      </c>
      <c r="C61" s="216">
        <v>1619012587</v>
      </c>
      <c r="D61" s="216">
        <v>6464</v>
      </c>
      <c r="E61" s="57">
        <v>873</v>
      </c>
      <c r="F61" s="216">
        <v>19457378739</v>
      </c>
      <c r="G61" s="57">
        <v>61.4</v>
      </c>
    </row>
    <row r="62" spans="1:7" hidden="1">
      <c r="B62" t="s">
        <v>3042</v>
      </c>
      <c r="C62" s="216">
        <v>5636910529</v>
      </c>
      <c r="D62" s="216">
        <v>11672</v>
      </c>
      <c r="E62" s="216">
        <v>1576</v>
      </c>
      <c r="F62" s="216">
        <v>35132961140</v>
      </c>
      <c r="G62" s="57">
        <v>110.8</v>
      </c>
    </row>
    <row r="63" spans="1:7" hidden="1">
      <c r="B63" t="s">
        <v>3043</v>
      </c>
      <c r="C63" s="216">
        <v>1637917110</v>
      </c>
      <c r="D63" s="216">
        <v>6507</v>
      </c>
      <c r="E63" s="57">
        <v>879</v>
      </c>
      <c r="F63" s="216">
        <v>19587140347</v>
      </c>
      <c r="G63" s="57">
        <v>61.8</v>
      </c>
    </row>
    <row r="64" spans="1:7" hidden="1">
      <c r="A64">
        <v>2013</v>
      </c>
      <c r="B64" t="s">
        <v>3040</v>
      </c>
      <c r="C64" s="216">
        <v>5808034123</v>
      </c>
      <c r="D64" s="216">
        <v>12031</v>
      </c>
      <c r="E64" s="216">
        <v>1624</v>
      </c>
      <c r="F64" s="216">
        <v>36212974471</v>
      </c>
      <c r="G64" s="57">
        <v>114.3</v>
      </c>
    </row>
    <row r="65" spans="1:7" hidden="1">
      <c r="B65" t="s">
        <v>3041</v>
      </c>
      <c r="C65" s="216">
        <v>1641151400</v>
      </c>
      <c r="D65" s="216">
        <v>6611</v>
      </c>
      <c r="E65" s="57">
        <v>892</v>
      </c>
      <c r="F65" s="216">
        <v>19898871458</v>
      </c>
      <c r="G65" s="57">
        <v>62.8</v>
      </c>
    </row>
    <row r="66" spans="1:7" hidden="1">
      <c r="B66" t="s">
        <v>3042</v>
      </c>
      <c r="C66" s="216">
        <v>5708807315</v>
      </c>
      <c r="D66" s="216">
        <v>11780</v>
      </c>
      <c r="E66" s="216">
        <v>1590</v>
      </c>
      <c r="F66" s="216">
        <v>35458690595</v>
      </c>
      <c r="G66" s="57">
        <v>111.9</v>
      </c>
    </row>
    <row r="67" spans="1:7" hidden="1">
      <c r="B67" t="s">
        <v>3043</v>
      </c>
      <c r="C67" s="216">
        <v>1661167498</v>
      </c>
      <c r="D67" s="216">
        <v>6657</v>
      </c>
      <c r="E67" s="57">
        <v>899</v>
      </c>
      <c r="F67" s="216">
        <v>20036865038</v>
      </c>
      <c r="G67" s="57">
        <v>63.2</v>
      </c>
    </row>
    <row r="68" spans="1:7" hidden="1">
      <c r="A68">
        <v>2014</v>
      </c>
      <c r="B68" t="s">
        <v>3040</v>
      </c>
      <c r="C68" s="216">
        <v>5825999388</v>
      </c>
      <c r="D68" s="216">
        <v>12131</v>
      </c>
      <c r="E68" s="216">
        <v>1638</v>
      </c>
      <c r="F68" s="216">
        <v>36514970659</v>
      </c>
      <c r="G68" s="57">
        <v>115.2</v>
      </c>
    </row>
    <row r="69" spans="1:7" hidden="1">
      <c r="B69" t="s">
        <v>3041</v>
      </c>
      <c r="C69" s="216">
        <v>1724559209</v>
      </c>
      <c r="D69" s="216">
        <v>6980</v>
      </c>
      <c r="E69" s="57">
        <v>942</v>
      </c>
      <c r="F69" s="216">
        <v>21008818741</v>
      </c>
      <c r="G69" s="57">
        <v>66.3</v>
      </c>
    </row>
    <row r="70" spans="1:7" hidden="1">
      <c r="B70" t="s">
        <v>3042</v>
      </c>
      <c r="C70" s="216">
        <v>5725819482</v>
      </c>
      <c r="D70" s="216">
        <v>11882</v>
      </c>
      <c r="E70" s="216">
        <v>1604</v>
      </c>
      <c r="F70" s="216">
        <v>35764791774</v>
      </c>
      <c r="G70" s="57">
        <v>112.8</v>
      </c>
    </row>
    <row r="71" spans="1:7" hidden="1">
      <c r="B71" t="s">
        <v>3043</v>
      </c>
      <c r="C71" s="216">
        <v>1745315059</v>
      </c>
      <c r="D71" s="216">
        <v>7027</v>
      </c>
      <c r="E71" s="57">
        <v>949</v>
      </c>
      <c r="F71" s="216">
        <v>21152418387</v>
      </c>
      <c r="G71" s="57">
        <v>66.7</v>
      </c>
    </row>
    <row r="72" spans="1:7" hidden="1">
      <c r="A72">
        <v>2015</v>
      </c>
      <c r="B72" t="s">
        <v>3040</v>
      </c>
      <c r="C72" s="216">
        <v>5900440363</v>
      </c>
      <c r="D72" s="216">
        <v>12534</v>
      </c>
      <c r="E72" s="216">
        <v>1692</v>
      </c>
      <c r="F72" s="216">
        <v>37727860796</v>
      </c>
      <c r="G72" s="57">
        <v>119</v>
      </c>
    </row>
    <row r="73" spans="1:7" hidden="1">
      <c r="B73" t="s">
        <v>3041</v>
      </c>
      <c r="C73" s="216">
        <v>1757724661</v>
      </c>
      <c r="D73" s="216">
        <v>7227</v>
      </c>
      <c r="E73" s="57">
        <v>976</v>
      </c>
      <c r="F73" s="216">
        <v>21752301359</v>
      </c>
      <c r="G73" s="57">
        <v>68.599999999999994</v>
      </c>
    </row>
    <row r="74" spans="1:7" hidden="1">
      <c r="B74" t="s">
        <v>3042</v>
      </c>
      <c r="C74" s="216">
        <v>5801594806</v>
      </c>
      <c r="D74" s="216">
        <v>12291</v>
      </c>
      <c r="E74" s="216">
        <v>1659</v>
      </c>
      <c r="F74" s="216">
        <v>36997658406</v>
      </c>
      <c r="G74" s="57">
        <v>116.7</v>
      </c>
    </row>
    <row r="75" spans="1:7" hidden="1">
      <c r="B75" t="s">
        <v>3043</v>
      </c>
      <c r="C75" s="216">
        <v>1793787700</v>
      </c>
      <c r="D75" s="216">
        <v>7310</v>
      </c>
      <c r="E75" s="57">
        <v>987</v>
      </c>
      <c r="F75" s="216">
        <v>22002733062</v>
      </c>
      <c r="G75" s="57">
        <v>69.400000000000006</v>
      </c>
    </row>
    <row r="76" spans="1:7" hidden="1">
      <c r="A76">
        <v>2016</v>
      </c>
      <c r="B76" t="s">
        <v>3040</v>
      </c>
      <c r="C76" s="216">
        <v>5929429373</v>
      </c>
      <c r="D76" s="216">
        <v>12674</v>
      </c>
      <c r="E76" s="216">
        <v>1711</v>
      </c>
      <c r="F76" s="216">
        <v>38148578811</v>
      </c>
      <c r="G76" s="57">
        <v>120.4</v>
      </c>
    </row>
    <row r="77" spans="1:7" hidden="1">
      <c r="B77" t="s">
        <v>3041</v>
      </c>
      <c r="C77" s="216">
        <v>1817739570</v>
      </c>
      <c r="D77" s="216">
        <v>7453</v>
      </c>
      <c r="E77" s="216">
        <v>1006</v>
      </c>
      <c r="F77" s="216">
        <v>22434619940</v>
      </c>
      <c r="G77" s="57">
        <v>70.8</v>
      </c>
    </row>
    <row r="78" spans="1:7" hidden="1">
      <c r="B78" t="s">
        <v>3042</v>
      </c>
      <c r="C78" s="216">
        <v>5827141640</v>
      </c>
      <c r="D78" s="216">
        <v>12422</v>
      </c>
      <c r="E78" s="216">
        <v>1677</v>
      </c>
      <c r="F78" s="216">
        <v>37391339601</v>
      </c>
      <c r="G78" s="57">
        <v>118</v>
      </c>
    </row>
    <row r="79" spans="1:7" hidden="1">
      <c r="B79" t="s">
        <v>3043</v>
      </c>
      <c r="C79" s="216">
        <v>1839651091</v>
      </c>
      <c r="D79" s="216">
        <v>7504</v>
      </c>
      <c r="E79" s="216">
        <v>1013</v>
      </c>
      <c r="F79" s="216">
        <v>22588366704</v>
      </c>
      <c r="G79" s="57">
        <v>71.3</v>
      </c>
    </row>
    <row r="80" spans="1:7" hidden="1">
      <c r="A80">
        <v>2017</v>
      </c>
      <c r="B80" t="s">
        <v>3040</v>
      </c>
      <c r="C80" s="216">
        <v>6264650997</v>
      </c>
      <c r="D80" s="216">
        <v>13475</v>
      </c>
      <c r="E80" s="216">
        <v>1819</v>
      </c>
      <c r="F80" s="216">
        <v>40560206261</v>
      </c>
      <c r="G80" s="57">
        <v>128</v>
      </c>
    </row>
    <row r="81" spans="1:7" hidden="1">
      <c r="B81" t="s">
        <v>3041</v>
      </c>
      <c r="C81" s="216">
        <v>1944104275</v>
      </c>
      <c r="D81" s="216">
        <v>7841</v>
      </c>
      <c r="E81" s="216">
        <v>1059</v>
      </c>
      <c r="F81" s="216">
        <v>23602935694</v>
      </c>
      <c r="G81" s="57">
        <v>74.5</v>
      </c>
    </row>
    <row r="82" spans="1:7" hidden="1">
      <c r="B82" t="s">
        <v>3042</v>
      </c>
      <c r="C82" s="216">
        <v>6214083068</v>
      </c>
      <c r="D82" s="216">
        <v>13358</v>
      </c>
      <c r="E82" s="216">
        <v>1803</v>
      </c>
      <c r="F82" s="216">
        <v>40207759885</v>
      </c>
      <c r="G82" s="57">
        <v>126.9</v>
      </c>
    </row>
    <row r="83" spans="1:7" hidden="1">
      <c r="B83" t="s">
        <v>3043</v>
      </c>
      <c r="C83" s="216">
        <v>1912096739</v>
      </c>
      <c r="D83" s="216">
        <v>7755</v>
      </c>
      <c r="E83" s="216">
        <v>1047</v>
      </c>
      <c r="F83" s="216">
        <v>23343627689</v>
      </c>
      <c r="G83" s="57">
        <v>73.599999999999994</v>
      </c>
    </row>
    <row r="84" spans="1:7" hidden="1">
      <c r="A84">
        <v>2018</v>
      </c>
      <c r="B84" t="s">
        <v>3040</v>
      </c>
      <c r="C84" s="216">
        <v>6408870104</v>
      </c>
      <c r="D84" s="216">
        <v>13650</v>
      </c>
      <c r="E84" s="216">
        <v>1843</v>
      </c>
      <c r="F84" s="216">
        <v>41085494597</v>
      </c>
      <c r="G84" s="57">
        <v>129.6</v>
      </c>
    </row>
    <row r="85" spans="1:7" hidden="1">
      <c r="B85" t="s">
        <v>3041</v>
      </c>
      <c r="C85" s="216">
        <v>2037055865</v>
      </c>
      <c r="D85" s="216">
        <v>8402</v>
      </c>
      <c r="E85" s="216">
        <v>1134</v>
      </c>
      <c r="F85" s="216">
        <v>25291329878</v>
      </c>
      <c r="G85" s="57">
        <v>79.8</v>
      </c>
    </row>
    <row r="86" spans="1:7" hidden="1">
      <c r="B86" t="s">
        <v>3042</v>
      </c>
      <c r="C86" s="216">
        <v>6318774158</v>
      </c>
      <c r="D86" s="216">
        <v>13425</v>
      </c>
      <c r="E86" s="216">
        <v>1812</v>
      </c>
      <c r="F86" s="216">
        <v>40410478534</v>
      </c>
      <c r="G86" s="57">
        <v>127.5</v>
      </c>
    </row>
    <row r="87" spans="1:7" hidden="1">
      <c r="B87" t="s">
        <v>3043</v>
      </c>
      <c r="C87" s="216">
        <v>2066756708</v>
      </c>
      <c r="D87" s="216">
        <v>8254</v>
      </c>
      <c r="E87" s="216">
        <v>1114</v>
      </c>
      <c r="F87" s="216">
        <v>24843232462</v>
      </c>
      <c r="G87" s="57">
        <v>78.400000000000006</v>
      </c>
    </row>
    <row r="88" spans="1:7" hidden="1">
      <c r="B88" t="s">
        <v>3040</v>
      </c>
      <c r="C88" s="216">
        <v>6721417987</v>
      </c>
      <c r="D88" s="216">
        <v>14397</v>
      </c>
      <c r="E88" s="216">
        <v>1944</v>
      </c>
      <c r="F88" s="216">
        <v>43334968184</v>
      </c>
      <c r="G88" s="57">
        <v>136.69999999999999</v>
      </c>
    </row>
    <row r="89" spans="1:7" hidden="1">
      <c r="A89">
        <v>2019</v>
      </c>
      <c r="B89" t="s">
        <v>3041</v>
      </c>
      <c r="C89" s="216">
        <v>1980425952</v>
      </c>
      <c r="D89" s="216">
        <v>7908</v>
      </c>
      <c r="E89" s="216">
        <v>1068</v>
      </c>
      <c r="F89" s="216">
        <v>23803403228</v>
      </c>
      <c r="G89" s="57">
        <v>75.099999999999994</v>
      </c>
    </row>
    <row r="90" spans="1:7" hidden="1">
      <c r="B90" t="s">
        <v>3042</v>
      </c>
      <c r="C90" s="216">
        <v>6617074577</v>
      </c>
      <c r="D90" s="216">
        <v>14131</v>
      </c>
      <c r="E90" s="216">
        <v>1908</v>
      </c>
      <c r="F90" s="216">
        <v>42535165758</v>
      </c>
      <c r="G90" s="57">
        <v>134.19999999999999</v>
      </c>
    </row>
    <row r="91" spans="1:7" hidden="1">
      <c r="B91" t="s">
        <v>3043</v>
      </c>
      <c r="C91" s="216">
        <v>2008158986</v>
      </c>
      <c r="D91" s="216">
        <v>7973</v>
      </c>
      <c r="E91" s="216">
        <v>1076</v>
      </c>
      <c r="F91" s="216">
        <v>23997773004</v>
      </c>
      <c r="G91" s="57">
        <v>75.7</v>
      </c>
    </row>
    <row r="92" spans="1:7" hidden="1">
      <c r="A92">
        <v>2020</v>
      </c>
      <c r="B92" t="s">
        <v>3040</v>
      </c>
      <c r="C92" s="216">
        <v>4391123811</v>
      </c>
      <c r="D92" s="216">
        <v>9613</v>
      </c>
      <c r="E92" s="216">
        <v>1298</v>
      </c>
      <c r="F92" s="216">
        <v>28934254672</v>
      </c>
      <c r="G92" s="57">
        <v>91.3</v>
      </c>
    </row>
    <row r="93" spans="1:7" hidden="1">
      <c r="B93" t="s">
        <v>3041</v>
      </c>
      <c r="C93" s="216">
        <v>910801671</v>
      </c>
      <c r="D93" s="216">
        <v>3863</v>
      </c>
      <c r="E93" s="57">
        <v>521</v>
      </c>
      <c r="F93" s="216">
        <v>11626780467</v>
      </c>
      <c r="G93" s="57">
        <v>36.700000000000003</v>
      </c>
    </row>
    <row r="94" spans="1:7" hidden="1">
      <c r="B94" t="s">
        <v>3042</v>
      </c>
      <c r="C94" s="216">
        <v>4297034877</v>
      </c>
      <c r="D94" s="216">
        <v>9358</v>
      </c>
      <c r="E94" s="216">
        <v>1263</v>
      </c>
      <c r="F94" s="216">
        <v>28167145166</v>
      </c>
      <c r="G94" s="57">
        <v>88.9</v>
      </c>
    </row>
    <row r="95" spans="1:7" hidden="1">
      <c r="B95" t="s">
        <v>3043</v>
      </c>
      <c r="C95" s="216">
        <v>944600496</v>
      </c>
      <c r="D95" s="216">
        <v>3954</v>
      </c>
      <c r="E95" s="57">
        <v>534</v>
      </c>
      <c r="F95" s="216">
        <v>11900792661</v>
      </c>
      <c r="G95" s="57">
        <v>37.5</v>
      </c>
    </row>
    <row r="96" spans="1:7" hidden="1">
      <c r="A96">
        <v>2021</v>
      </c>
      <c r="B96" t="s">
        <v>3040</v>
      </c>
      <c r="C96" s="216">
        <v>5930926254</v>
      </c>
      <c r="D96" s="216">
        <v>12527</v>
      </c>
      <c r="E96" s="216">
        <v>1691</v>
      </c>
      <c r="F96" s="216">
        <v>37706548317</v>
      </c>
      <c r="G96" s="57">
        <v>119</v>
      </c>
    </row>
    <row r="97" spans="1:7" hidden="1">
      <c r="B97" t="s">
        <v>3041</v>
      </c>
      <c r="C97" s="216">
        <v>1287078625</v>
      </c>
      <c r="D97" s="216">
        <v>5013</v>
      </c>
      <c r="E97" s="57">
        <v>677</v>
      </c>
      <c r="F97" s="216">
        <v>15089773728</v>
      </c>
      <c r="G97" s="57">
        <v>47.6</v>
      </c>
    </row>
    <row r="98" spans="1:7" hidden="1">
      <c r="B98" t="s">
        <v>3042</v>
      </c>
      <c r="C98" s="216">
        <v>5800480719</v>
      </c>
      <c r="D98" s="216">
        <v>12207</v>
      </c>
      <c r="E98" s="216">
        <v>1648</v>
      </c>
      <c r="F98" s="216">
        <v>36742811013</v>
      </c>
      <c r="G98" s="57">
        <v>115.9</v>
      </c>
    </row>
    <row r="99" spans="1:7" hidden="1">
      <c r="B99" t="s">
        <v>3043</v>
      </c>
      <c r="C99" s="216">
        <v>1346199492</v>
      </c>
      <c r="D99" s="216">
        <v>5156</v>
      </c>
      <c r="E99" s="57">
        <v>696</v>
      </c>
      <c r="F99" s="216">
        <v>15520560694</v>
      </c>
      <c r="G99" s="57">
        <v>49</v>
      </c>
    </row>
    <row r="100" spans="1:7" s="14" customFormat="1">
      <c r="A100" s="14">
        <v>2022</v>
      </c>
      <c r="B100" s="14" t="s">
        <v>3040</v>
      </c>
      <c r="C100" s="217">
        <v>6469480586</v>
      </c>
      <c r="D100" s="217">
        <v>13654</v>
      </c>
      <c r="E100" s="217">
        <v>1843</v>
      </c>
      <c r="F100" s="217">
        <v>41099281239</v>
      </c>
      <c r="G100" s="218">
        <v>129.69999999999999</v>
      </c>
    </row>
    <row r="101" spans="1:7" s="14" customFormat="1">
      <c r="B101" s="14" t="s">
        <v>3041</v>
      </c>
      <c r="C101" s="217">
        <v>1757904798</v>
      </c>
      <c r="D101" s="217">
        <v>6682</v>
      </c>
      <c r="E101" s="218">
        <v>902</v>
      </c>
      <c r="F101" s="217">
        <v>20112901563</v>
      </c>
      <c r="G101" s="218">
        <v>63.5</v>
      </c>
    </row>
    <row r="102" spans="1:7">
      <c r="B102" t="s">
        <v>3042</v>
      </c>
      <c r="C102" s="216">
        <v>6344925589</v>
      </c>
      <c r="D102" s="216">
        <v>13354</v>
      </c>
      <c r="E102" s="216">
        <v>1803</v>
      </c>
      <c r="F102" s="216">
        <v>40195855499</v>
      </c>
      <c r="G102" s="57">
        <v>126.8</v>
      </c>
    </row>
    <row r="103" spans="1:7">
      <c r="B103" t="s">
        <v>3058</v>
      </c>
      <c r="C103" s="216">
        <v>1814091613</v>
      </c>
      <c r="D103" s="216">
        <v>6816</v>
      </c>
      <c r="E103" s="57">
        <v>920</v>
      </c>
      <c r="F103" s="216">
        <v>20515625892</v>
      </c>
      <c r="G103" s="57">
        <v>64.7</v>
      </c>
    </row>
    <row r="104" spans="1:7">
      <c r="A104" t="s">
        <v>3059</v>
      </c>
    </row>
    <row r="105" spans="1:7">
      <c r="E105" s="216"/>
      <c r="F105" s="216"/>
    </row>
    <row r="106" spans="1:7">
      <c r="E106" s="219"/>
      <c r="F106" s="220"/>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F5DB9-C86C-44BA-B8C2-9B449BD057AE}">
  <dimension ref="A1:BG70"/>
  <sheetViews>
    <sheetView workbookViewId="0"/>
  </sheetViews>
  <sheetFormatPr defaultRowHeight="15"/>
  <cols>
    <col min="12" max="12" width="11.28515625" customWidth="1"/>
    <col min="13" max="13" width="11.140625" bestFit="1" customWidth="1"/>
    <col min="14" max="14" width="11.7109375" customWidth="1"/>
    <col min="25" max="25" width="12.7109375" customWidth="1"/>
    <col min="29" max="29" width="11.140625" customWidth="1"/>
    <col min="40" max="40" width="11.140625" customWidth="1"/>
  </cols>
  <sheetData>
    <row r="1" spans="1:59" ht="90.75">
      <c r="A1" s="93" t="s">
        <v>672</v>
      </c>
      <c r="B1" s="93" t="s">
        <v>673</v>
      </c>
      <c r="C1" s="94" t="s">
        <v>674</v>
      </c>
      <c r="D1" s="95" t="s">
        <v>675</v>
      </c>
      <c r="E1" s="96" t="s">
        <v>676</v>
      </c>
      <c r="F1" s="97" t="s">
        <v>677</v>
      </c>
      <c r="G1" s="98" t="s">
        <v>679</v>
      </c>
      <c r="H1" s="98" t="s">
        <v>680</v>
      </c>
      <c r="I1" s="97" t="s">
        <v>681</v>
      </c>
      <c r="J1" s="97" t="s">
        <v>861</v>
      </c>
      <c r="K1" s="97" t="s">
        <v>683</v>
      </c>
      <c r="L1" s="97" t="s">
        <v>862</v>
      </c>
      <c r="M1" s="98" t="s">
        <v>863</v>
      </c>
      <c r="N1" s="98" t="s">
        <v>864</v>
      </c>
      <c r="O1" s="98" t="s">
        <v>865</v>
      </c>
      <c r="P1" s="98" t="s">
        <v>866</v>
      </c>
      <c r="Q1" s="98" t="s">
        <v>867</v>
      </c>
      <c r="R1" s="98" t="s">
        <v>868</v>
      </c>
      <c r="S1" s="98" t="s">
        <v>869</v>
      </c>
      <c r="T1" s="98" t="s">
        <v>870</v>
      </c>
      <c r="U1" s="98" t="s">
        <v>871</v>
      </c>
      <c r="V1" s="98" t="s">
        <v>872</v>
      </c>
      <c r="W1" s="98" t="s">
        <v>873</v>
      </c>
      <c r="X1" s="98" t="s">
        <v>874</v>
      </c>
      <c r="Y1" s="98" t="s">
        <v>875</v>
      </c>
      <c r="Z1" s="98" t="s">
        <v>876</v>
      </c>
      <c r="AA1" s="98" t="s">
        <v>877</v>
      </c>
      <c r="AB1" s="98" t="s">
        <v>878</v>
      </c>
      <c r="AC1" s="99" t="s">
        <v>879</v>
      </c>
      <c r="AD1" s="100" t="s">
        <v>327</v>
      </c>
      <c r="AE1" s="100" t="s">
        <v>880</v>
      </c>
      <c r="AF1" s="100" t="s">
        <v>330</v>
      </c>
      <c r="AG1" s="100" t="s">
        <v>881</v>
      </c>
      <c r="AH1" s="100" t="s">
        <v>882</v>
      </c>
      <c r="AI1" s="100" t="s">
        <v>883</v>
      </c>
      <c r="AJ1" s="100" t="s">
        <v>316</v>
      </c>
      <c r="AK1" s="100" t="s">
        <v>884</v>
      </c>
      <c r="AL1" s="100" t="s">
        <v>885</v>
      </c>
      <c r="AM1" s="100" t="s">
        <v>886</v>
      </c>
      <c r="AN1" s="100" t="s">
        <v>887</v>
      </c>
      <c r="AO1" s="100" t="s">
        <v>888</v>
      </c>
      <c r="AP1" s="100" t="s">
        <v>889</v>
      </c>
      <c r="AQ1" s="100" t="s">
        <v>890</v>
      </c>
      <c r="AR1" s="101" t="s">
        <v>891</v>
      </c>
      <c r="AS1" s="102" t="s">
        <v>892</v>
      </c>
      <c r="AT1" s="102" t="s">
        <v>893</v>
      </c>
      <c r="AU1" s="102" t="s">
        <v>894</v>
      </c>
      <c r="AV1" s="102" t="s">
        <v>895</v>
      </c>
      <c r="AW1" s="102" t="s">
        <v>896</v>
      </c>
      <c r="AX1" s="102" t="s">
        <v>897</v>
      </c>
      <c r="AY1" s="102" t="s">
        <v>898</v>
      </c>
      <c r="AZ1" s="102" t="s">
        <v>899</v>
      </c>
      <c r="BA1" s="102" t="s">
        <v>900</v>
      </c>
      <c r="BB1" s="102" t="s">
        <v>901</v>
      </c>
      <c r="BC1" s="102" t="s">
        <v>902</v>
      </c>
      <c r="BD1" s="102" t="s">
        <v>903</v>
      </c>
      <c r="BE1" s="102" t="s">
        <v>904</v>
      </c>
      <c r="BF1" s="102" t="s">
        <v>905</v>
      </c>
      <c r="BG1" s="97" t="s">
        <v>906</v>
      </c>
    </row>
    <row r="2" spans="1:59">
      <c r="A2" s="103" t="s">
        <v>722</v>
      </c>
      <c r="B2" s="103" t="s">
        <v>723</v>
      </c>
      <c r="C2" s="104" t="s">
        <v>724</v>
      </c>
      <c r="D2" s="105">
        <v>2008</v>
      </c>
      <c r="E2" s="106">
        <v>20008</v>
      </c>
      <c r="F2" s="104" t="s">
        <v>725</v>
      </c>
      <c r="G2" s="107">
        <v>18351295</v>
      </c>
      <c r="H2" s="108">
        <v>10427</v>
      </c>
      <c r="I2" s="104" t="s">
        <v>727</v>
      </c>
      <c r="J2" s="109" t="s">
        <v>728</v>
      </c>
      <c r="K2" s="109">
        <v>5413</v>
      </c>
      <c r="L2" s="110"/>
      <c r="M2" s="111">
        <v>0</v>
      </c>
      <c r="N2" s="111"/>
      <c r="O2" s="111">
        <v>0</v>
      </c>
      <c r="P2" s="111"/>
      <c r="Q2" s="111">
        <v>0</v>
      </c>
      <c r="R2" s="111"/>
      <c r="S2" s="111">
        <v>0</v>
      </c>
      <c r="T2" s="111"/>
      <c r="U2" s="111">
        <v>0</v>
      </c>
      <c r="V2" s="111"/>
      <c r="W2" s="111">
        <v>0</v>
      </c>
      <c r="X2" s="111"/>
      <c r="Y2" s="111">
        <v>1596235000</v>
      </c>
      <c r="Z2" s="111"/>
      <c r="AA2" s="108">
        <v>0</v>
      </c>
      <c r="AB2" s="112"/>
      <c r="AC2" s="113"/>
      <c r="AD2" s="112">
        <v>0</v>
      </c>
      <c r="AE2" s="112"/>
      <c r="AF2" s="112">
        <v>0</v>
      </c>
      <c r="AG2" s="112"/>
      <c r="AH2" s="112">
        <v>0</v>
      </c>
      <c r="AI2" s="112"/>
      <c r="AJ2" s="112">
        <v>0</v>
      </c>
      <c r="AK2" s="112"/>
      <c r="AL2" s="112">
        <v>0</v>
      </c>
      <c r="AM2" s="112"/>
      <c r="AN2" s="112">
        <v>335497633</v>
      </c>
      <c r="AO2" s="112"/>
      <c r="AP2" s="112">
        <v>0</v>
      </c>
      <c r="AQ2" s="103"/>
      <c r="AR2" s="114"/>
      <c r="AS2" s="115"/>
      <c r="AT2" s="115"/>
      <c r="AU2" s="115"/>
      <c r="AV2" s="115"/>
      <c r="AW2" s="115"/>
      <c r="AX2" s="115"/>
      <c r="AY2" s="115"/>
      <c r="AZ2" s="115"/>
      <c r="BA2" s="115"/>
      <c r="BB2" s="115"/>
      <c r="BC2" s="115">
        <v>0.2102</v>
      </c>
      <c r="BD2" s="115"/>
      <c r="BE2" s="115"/>
      <c r="BF2" s="103"/>
      <c r="BG2" s="103" t="s">
        <v>729</v>
      </c>
    </row>
    <row r="3" spans="1:59">
      <c r="A3" s="103" t="s">
        <v>730</v>
      </c>
      <c r="B3" s="103" t="s">
        <v>731</v>
      </c>
      <c r="C3" s="104" t="s">
        <v>732</v>
      </c>
      <c r="D3" s="105">
        <v>2080</v>
      </c>
      <c r="E3" s="106">
        <v>20080</v>
      </c>
      <c r="F3" s="104" t="s">
        <v>733</v>
      </c>
      <c r="G3" s="107">
        <v>18351295</v>
      </c>
      <c r="H3" s="108">
        <v>3646</v>
      </c>
      <c r="I3" s="104" t="s">
        <v>736</v>
      </c>
      <c r="J3" s="109" t="s">
        <v>728</v>
      </c>
      <c r="K3" s="109">
        <v>904</v>
      </c>
      <c r="L3" s="110"/>
      <c r="M3" s="111">
        <v>13166567</v>
      </c>
      <c r="N3" s="111"/>
      <c r="O3" s="111">
        <v>0</v>
      </c>
      <c r="P3" s="111"/>
      <c r="Q3" s="111">
        <v>0</v>
      </c>
      <c r="R3" s="111"/>
      <c r="S3" s="111">
        <v>0</v>
      </c>
      <c r="T3" s="111"/>
      <c r="U3" s="111">
        <v>0</v>
      </c>
      <c r="V3" s="111"/>
      <c r="W3" s="111">
        <v>0</v>
      </c>
      <c r="X3" s="111"/>
      <c r="Y3" s="111">
        <v>359673989</v>
      </c>
      <c r="Z3" s="111"/>
      <c r="AA3" s="108">
        <v>0</v>
      </c>
      <c r="AB3" s="112"/>
      <c r="AC3" s="113"/>
      <c r="AD3" s="112">
        <v>2485889</v>
      </c>
      <c r="AE3" s="112"/>
      <c r="AF3" s="112">
        <v>0</v>
      </c>
      <c r="AG3" s="112"/>
      <c r="AH3" s="112">
        <v>0</v>
      </c>
      <c r="AI3" s="112"/>
      <c r="AJ3" s="112">
        <v>0</v>
      </c>
      <c r="AK3" s="112"/>
      <c r="AL3" s="112">
        <v>1663636</v>
      </c>
      <c r="AM3" s="112"/>
      <c r="AN3" s="112">
        <v>8381067</v>
      </c>
      <c r="AO3" s="112"/>
      <c r="AP3" s="112">
        <v>0</v>
      </c>
      <c r="AQ3" s="103"/>
      <c r="AR3" s="114"/>
      <c r="AS3" s="115">
        <v>0.1888</v>
      </c>
      <c r="AT3" s="115"/>
      <c r="AU3" s="115"/>
      <c r="AV3" s="115"/>
      <c r="AW3" s="115"/>
      <c r="AX3" s="115"/>
      <c r="AY3" s="115"/>
      <c r="AZ3" s="115"/>
      <c r="BA3" s="115"/>
      <c r="BB3" s="115"/>
      <c r="BC3" s="115">
        <v>2.3300000000000001E-2</v>
      </c>
      <c r="BD3" s="115"/>
      <c r="BE3" s="115"/>
      <c r="BF3" s="103"/>
      <c r="BG3" s="103" t="s">
        <v>729</v>
      </c>
    </row>
    <row r="4" spans="1:59">
      <c r="A4" s="103" t="s">
        <v>730</v>
      </c>
      <c r="B4" s="103" t="s">
        <v>731</v>
      </c>
      <c r="C4" s="104" t="s">
        <v>732</v>
      </c>
      <c r="D4" s="105">
        <v>2080</v>
      </c>
      <c r="E4" s="106">
        <v>20080</v>
      </c>
      <c r="F4" s="104" t="s">
        <v>733</v>
      </c>
      <c r="G4" s="107">
        <v>18351295</v>
      </c>
      <c r="H4" s="108">
        <v>3646</v>
      </c>
      <c r="I4" s="104" t="s">
        <v>734</v>
      </c>
      <c r="J4" s="109" t="s">
        <v>735</v>
      </c>
      <c r="K4" s="109">
        <v>42</v>
      </c>
      <c r="L4" s="110"/>
      <c r="M4" s="111">
        <v>0</v>
      </c>
      <c r="N4" s="111"/>
      <c r="O4" s="111">
        <v>0</v>
      </c>
      <c r="P4" s="111"/>
      <c r="Q4" s="111">
        <v>0</v>
      </c>
      <c r="R4" s="111"/>
      <c r="S4" s="111">
        <v>0</v>
      </c>
      <c r="T4" s="111"/>
      <c r="U4" s="111">
        <v>0</v>
      </c>
      <c r="V4" s="111"/>
      <c r="W4" s="111">
        <v>0</v>
      </c>
      <c r="X4" s="111"/>
      <c r="Y4" s="111">
        <v>27163871</v>
      </c>
      <c r="Z4" s="111"/>
      <c r="AA4" s="108">
        <v>0</v>
      </c>
      <c r="AB4" s="112"/>
      <c r="AC4" s="113"/>
      <c r="AD4" s="112">
        <v>0</v>
      </c>
      <c r="AE4" s="112"/>
      <c r="AF4" s="112">
        <v>0</v>
      </c>
      <c r="AG4" s="112"/>
      <c r="AH4" s="112">
        <v>0</v>
      </c>
      <c r="AI4" s="112"/>
      <c r="AJ4" s="112">
        <v>0</v>
      </c>
      <c r="AK4" s="112"/>
      <c r="AL4" s="112">
        <v>0</v>
      </c>
      <c r="AM4" s="112"/>
      <c r="AN4" s="112">
        <v>2073346</v>
      </c>
      <c r="AO4" s="112"/>
      <c r="AP4" s="112">
        <v>0</v>
      </c>
      <c r="AQ4" s="103"/>
      <c r="AR4" s="114"/>
      <c r="AS4" s="115"/>
      <c r="AT4" s="115"/>
      <c r="AU4" s="115"/>
      <c r="AV4" s="115"/>
      <c r="AW4" s="115"/>
      <c r="AX4" s="115"/>
      <c r="AY4" s="115"/>
      <c r="AZ4" s="115"/>
      <c r="BA4" s="115"/>
      <c r="BB4" s="115"/>
      <c r="BC4" s="115">
        <v>7.6300000000000007E-2</v>
      </c>
      <c r="BD4" s="115"/>
      <c r="BE4" s="115"/>
      <c r="BF4" s="103"/>
      <c r="BG4" s="103" t="s">
        <v>729</v>
      </c>
    </row>
    <row r="5" spans="1:59">
      <c r="A5" s="103" t="s">
        <v>730</v>
      </c>
      <c r="B5" s="103" t="s">
        <v>731</v>
      </c>
      <c r="C5" s="104" t="s">
        <v>732</v>
      </c>
      <c r="D5" s="105">
        <v>2080</v>
      </c>
      <c r="E5" s="106">
        <v>20080</v>
      </c>
      <c r="F5" s="104" t="s">
        <v>733</v>
      </c>
      <c r="G5" s="107">
        <v>18351295</v>
      </c>
      <c r="H5" s="108">
        <v>3646</v>
      </c>
      <c r="I5" s="104" t="s">
        <v>734</v>
      </c>
      <c r="J5" s="109" t="s">
        <v>728</v>
      </c>
      <c r="K5" s="109">
        <v>15</v>
      </c>
      <c r="L5" s="110"/>
      <c r="M5" s="111">
        <v>0</v>
      </c>
      <c r="N5" s="111"/>
      <c r="O5" s="111">
        <v>0</v>
      </c>
      <c r="P5" s="111"/>
      <c r="Q5" s="111">
        <v>0</v>
      </c>
      <c r="R5" s="111"/>
      <c r="S5" s="111">
        <v>0</v>
      </c>
      <c r="T5" s="111"/>
      <c r="U5" s="111">
        <v>0</v>
      </c>
      <c r="V5" s="111"/>
      <c r="W5" s="111">
        <v>0</v>
      </c>
      <c r="X5" s="111"/>
      <c r="Y5" s="111">
        <v>6694675</v>
      </c>
      <c r="Z5" s="111"/>
      <c r="AA5" s="108">
        <v>0</v>
      </c>
      <c r="AB5" s="112"/>
      <c r="AC5" s="113"/>
      <c r="AD5" s="112">
        <v>0</v>
      </c>
      <c r="AE5" s="112"/>
      <c r="AF5" s="112">
        <v>0</v>
      </c>
      <c r="AG5" s="112"/>
      <c r="AH5" s="112">
        <v>0</v>
      </c>
      <c r="AI5" s="112"/>
      <c r="AJ5" s="112">
        <v>0</v>
      </c>
      <c r="AK5" s="112"/>
      <c r="AL5" s="112">
        <v>0</v>
      </c>
      <c r="AM5" s="112"/>
      <c r="AN5" s="112">
        <v>492775</v>
      </c>
      <c r="AO5" s="112"/>
      <c r="AP5" s="112">
        <v>0</v>
      </c>
      <c r="AQ5" s="103"/>
      <c r="AR5" s="114"/>
      <c r="AS5" s="115"/>
      <c r="AT5" s="115"/>
      <c r="AU5" s="115"/>
      <c r="AV5" s="115"/>
      <c r="AW5" s="115"/>
      <c r="AX5" s="115"/>
      <c r="AY5" s="115"/>
      <c r="AZ5" s="115"/>
      <c r="BA5" s="115"/>
      <c r="BB5" s="115"/>
      <c r="BC5" s="115">
        <v>7.3599999999999999E-2</v>
      </c>
      <c r="BD5" s="115"/>
      <c r="BE5" s="115"/>
      <c r="BF5" s="103"/>
      <c r="BG5" s="103" t="s">
        <v>729</v>
      </c>
    </row>
    <row r="6" spans="1:59">
      <c r="A6" s="103" t="s">
        <v>737</v>
      </c>
      <c r="B6" s="103" t="s">
        <v>738</v>
      </c>
      <c r="C6" s="104" t="s">
        <v>739</v>
      </c>
      <c r="D6" s="105">
        <v>9154</v>
      </c>
      <c r="E6" s="106">
        <v>90154</v>
      </c>
      <c r="F6" s="104" t="s">
        <v>740</v>
      </c>
      <c r="G6" s="107">
        <v>12150996</v>
      </c>
      <c r="H6" s="108">
        <v>3482</v>
      </c>
      <c r="I6" s="104" t="s">
        <v>727</v>
      </c>
      <c r="J6" s="109" t="s">
        <v>728</v>
      </c>
      <c r="K6" s="109">
        <v>68</v>
      </c>
      <c r="L6" s="110"/>
      <c r="M6" s="111">
        <v>0</v>
      </c>
      <c r="N6" s="111"/>
      <c r="O6" s="111">
        <v>0</v>
      </c>
      <c r="P6" s="111"/>
      <c r="Q6" s="111">
        <v>0</v>
      </c>
      <c r="R6" s="111"/>
      <c r="S6" s="111">
        <v>0</v>
      </c>
      <c r="T6" s="111"/>
      <c r="U6" s="111">
        <v>0</v>
      </c>
      <c r="V6" s="111"/>
      <c r="W6" s="111">
        <v>0</v>
      </c>
      <c r="X6" s="111"/>
      <c r="Y6" s="111">
        <v>82163176</v>
      </c>
      <c r="Z6" s="111"/>
      <c r="AA6" s="108">
        <v>0</v>
      </c>
      <c r="AB6" s="112"/>
      <c r="AC6" s="113"/>
      <c r="AD6" s="112">
        <v>0</v>
      </c>
      <c r="AE6" s="112"/>
      <c r="AF6" s="112">
        <v>0</v>
      </c>
      <c r="AG6" s="112"/>
      <c r="AH6" s="112">
        <v>0</v>
      </c>
      <c r="AI6" s="112"/>
      <c r="AJ6" s="112">
        <v>0</v>
      </c>
      <c r="AK6" s="112"/>
      <c r="AL6" s="112">
        <v>0</v>
      </c>
      <c r="AM6" s="112"/>
      <c r="AN6" s="112">
        <v>6909214</v>
      </c>
      <c r="AO6" s="112"/>
      <c r="AP6" s="112">
        <v>0</v>
      </c>
      <c r="AQ6" s="103"/>
      <c r="AR6" s="114"/>
      <c r="AS6" s="115"/>
      <c r="AT6" s="115"/>
      <c r="AU6" s="115"/>
      <c r="AV6" s="115"/>
      <c r="AW6" s="115"/>
      <c r="AX6" s="115"/>
      <c r="AY6" s="115"/>
      <c r="AZ6" s="115"/>
      <c r="BA6" s="115"/>
      <c r="BB6" s="115"/>
      <c r="BC6" s="115">
        <v>8.4099999999999994E-2</v>
      </c>
      <c r="BD6" s="115"/>
      <c r="BE6" s="115"/>
      <c r="BF6" s="103"/>
      <c r="BG6" s="103" t="s">
        <v>729</v>
      </c>
    </row>
    <row r="7" spans="1:59">
      <c r="A7" s="103" t="s">
        <v>737</v>
      </c>
      <c r="B7" s="103" t="s">
        <v>738</v>
      </c>
      <c r="C7" s="104" t="s">
        <v>739</v>
      </c>
      <c r="D7" s="105">
        <v>9154</v>
      </c>
      <c r="E7" s="106">
        <v>90154</v>
      </c>
      <c r="F7" s="104" t="s">
        <v>740</v>
      </c>
      <c r="G7" s="107">
        <v>12150996</v>
      </c>
      <c r="H7" s="108">
        <v>3482</v>
      </c>
      <c r="I7" s="104" t="s">
        <v>734</v>
      </c>
      <c r="J7" s="109" t="s">
        <v>728</v>
      </c>
      <c r="K7" s="109">
        <v>203</v>
      </c>
      <c r="L7" s="110"/>
      <c r="M7" s="111">
        <v>0</v>
      </c>
      <c r="N7" s="111"/>
      <c r="O7" s="111">
        <v>0</v>
      </c>
      <c r="P7" s="111"/>
      <c r="Q7" s="111">
        <v>0</v>
      </c>
      <c r="R7" s="111"/>
      <c r="S7" s="111">
        <v>0</v>
      </c>
      <c r="T7" s="111"/>
      <c r="U7" s="111">
        <v>0</v>
      </c>
      <c r="V7" s="111"/>
      <c r="W7" s="111">
        <v>0</v>
      </c>
      <c r="X7" s="111"/>
      <c r="Y7" s="111">
        <v>144995154</v>
      </c>
      <c r="Z7" s="111"/>
      <c r="AA7" s="108">
        <v>0</v>
      </c>
      <c r="AB7" s="112"/>
      <c r="AC7" s="113"/>
      <c r="AD7" s="112">
        <v>0</v>
      </c>
      <c r="AE7" s="112"/>
      <c r="AF7" s="112">
        <v>0</v>
      </c>
      <c r="AG7" s="112"/>
      <c r="AH7" s="112">
        <v>0</v>
      </c>
      <c r="AI7" s="112"/>
      <c r="AJ7" s="112">
        <v>0</v>
      </c>
      <c r="AK7" s="112"/>
      <c r="AL7" s="112">
        <v>0</v>
      </c>
      <c r="AM7" s="112"/>
      <c r="AN7" s="112">
        <v>16469107</v>
      </c>
      <c r="AO7" s="112"/>
      <c r="AP7" s="112">
        <v>0</v>
      </c>
      <c r="AQ7" s="103"/>
      <c r="AR7" s="114"/>
      <c r="AS7" s="115"/>
      <c r="AT7" s="115"/>
      <c r="AU7" s="115"/>
      <c r="AV7" s="115"/>
      <c r="AW7" s="115"/>
      <c r="AX7" s="115"/>
      <c r="AY7" s="115"/>
      <c r="AZ7" s="115"/>
      <c r="BA7" s="115"/>
      <c r="BB7" s="115"/>
      <c r="BC7" s="115">
        <v>0.11360000000000001</v>
      </c>
      <c r="BD7" s="115"/>
      <c r="BE7" s="115"/>
      <c r="BF7" s="103"/>
      <c r="BG7" s="103" t="s">
        <v>729</v>
      </c>
    </row>
    <row r="8" spans="1:59">
      <c r="A8" s="103" t="s">
        <v>741</v>
      </c>
      <c r="B8" s="103" t="s">
        <v>742</v>
      </c>
      <c r="C8" s="104" t="s">
        <v>743</v>
      </c>
      <c r="D8" s="105">
        <v>3030</v>
      </c>
      <c r="E8" s="106">
        <v>30030</v>
      </c>
      <c r="F8" s="104" t="s">
        <v>740</v>
      </c>
      <c r="G8" s="107">
        <v>4586770</v>
      </c>
      <c r="H8" s="108">
        <v>3304</v>
      </c>
      <c r="I8" s="104" t="s">
        <v>727</v>
      </c>
      <c r="J8" s="109" t="s">
        <v>728</v>
      </c>
      <c r="K8" s="109">
        <v>998</v>
      </c>
      <c r="L8" s="110"/>
      <c r="M8" s="111">
        <v>0</v>
      </c>
      <c r="N8" s="111"/>
      <c r="O8" s="111">
        <v>0</v>
      </c>
      <c r="P8" s="111"/>
      <c r="Q8" s="111">
        <v>0</v>
      </c>
      <c r="R8" s="111"/>
      <c r="S8" s="111">
        <v>0</v>
      </c>
      <c r="T8" s="111"/>
      <c r="U8" s="111">
        <v>0</v>
      </c>
      <c r="V8" s="111"/>
      <c r="W8" s="111">
        <v>0</v>
      </c>
      <c r="X8" s="111"/>
      <c r="Y8" s="111">
        <v>576455528</v>
      </c>
      <c r="Z8" s="111"/>
      <c r="AA8" s="108">
        <v>0</v>
      </c>
      <c r="AB8" s="112"/>
      <c r="AC8" s="113"/>
      <c r="AD8" s="112">
        <v>0</v>
      </c>
      <c r="AE8" s="112"/>
      <c r="AF8" s="112">
        <v>0</v>
      </c>
      <c r="AG8" s="112"/>
      <c r="AH8" s="112">
        <v>0</v>
      </c>
      <c r="AI8" s="112"/>
      <c r="AJ8" s="112">
        <v>0</v>
      </c>
      <c r="AK8" s="112"/>
      <c r="AL8" s="112">
        <v>0</v>
      </c>
      <c r="AM8" s="112"/>
      <c r="AN8" s="112">
        <v>64920984</v>
      </c>
      <c r="AO8" s="112"/>
      <c r="AP8" s="112">
        <v>0</v>
      </c>
      <c r="AQ8" s="103"/>
      <c r="AR8" s="114"/>
      <c r="AS8" s="115"/>
      <c r="AT8" s="115"/>
      <c r="AU8" s="115"/>
      <c r="AV8" s="115"/>
      <c r="AW8" s="115"/>
      <c r="AX8" s="115"/>
      <c r="AY8" s="115"/>
      <c r="AZ8" s="115"/>
      <c r="BA8" s="115"/>
      <c r="BB8" s="115"/>
      <c r="BC8" s="115">
        <v>0.11260000000000001</v>
      </c>
      <c r="BD8" s="115"/>
      <c r="BE8" s="115"/>
      <c r="BF8" s="103"/>
      <c r="BG8" s="103" t="s">
        <v>729</v>
      </c>
    </row>
    <row r="9" spans="1:59">
      <c r="A9" s="103" t="s">
        <v>744</v>
      </c>
      <c r="B9" s="103" t="s">
        <v>745</v>
      </c>
      <c r="C9" s="104" t="s">
        <v>746</v>
      </c>
      <c r="D9" s="105">
        <v>5066</v>
      </c>
      <c r="E9" s="106">
        <v>50066</v>
      </c>
      <c r="F9" s="104" t="s">
        <v>740</v>
      </c>
      <c r="G9" s="107">
        <v>8608208</v>
      </c>
      <c r="H9" s="108">
        <v>2703</v>
      </c>
      <c r="I9" s="104" t="s">
        <v>727</v>
      </c>
      <c r="J9" s="109" t="s">
        <v>728</v>
      </c>
      <c r="K9" s="109">
        <v>1148</v>
      </c>
      <c r="L9" s="110"/>
      <c r="M9" s="111">
        <v>0</v>
      </c>
      <c r="N9" s="111"/>
      <c r="O9" s="111">
        <v>0</v>
      </c>
      <c r="P9" s="111"/>
      <c r="Q9" s="111">
        <v>0</v>
      </c>
      <c r="R9" s="111"/>
      <c r="S9" s="111">
        <v>0</v>
      </c>
      <c r="T9" s="111"/>
      <c r="U9" s="111">
        <v>0</v>
      </c>
      <c r="V9" s="111"/>
      <c r="W9" s="111">
        <v>0</v>
      </c>
      <c r="X9" s="111"/>
      <c r="Y9" s="111">
        <v>366545522</v>
      </c>
      <c r="Z9" s="111"/>
      <c r="AA9" s="108">
        <v>0</v>
      </c>
      <c r="AB9" s="112"/>
      <c r="AC9" s="113"/>
      <c r="AD9" s="112">
        <v>0</v>
      </c>
      <c r="AE9" s="112"/>
      <c r="AF9" s="112">
        <v>0</v>
      </c>
      <c r="AG9" s="112"/>
      <c r="AH9" s="112">
        <v>0</v>
      </c>
      <c r="AI9" s="112"/>
      <c r="AJ9" s="112">
        <v>0</v>
      </c>
      <c r="AK9" s="112"/>
      <c r="AL9" s="112">
        <v>0</v>
      </c>
      <c r="AM9" s="112"/>
      <c r="AN9" s="112">
        <v>63157258</v>
      </c>
      <c r="AO9" s="112"/>
      <c r="AP9" s="112">
        <v>0</v>
      </c>
      <c r="AQ9" s="103"/>
      <c r="AR9" s="114"/>
      <c r="AS9" s="115"/>
      <c r="AT9" s="115"/>
      <c r="AU9" s="115"/>
      <c r="AV9" s="115"/>
      <c r="AW9" s="115"/>
      <c r="AX9" s="115"/>
      <c r="AY9" s="115"/>
      <c r="AZ9" s="115"/>
      <c r="BA9" s="115"/>
      <c r="BB9" s="115"/>
      <c r="BC9" s="115">
        <v>0.17230000000000001</v>
      </c>
      <c r="BD9" s="115"/>
      <c r="BE9" s="115"/>
      <c r="BF9" s="103"/>
      <c r="BG9" s="103" t="s">
        <v>729</v>
      </c>
    </row>
    <row r="10" spans="1:59">
      <c r="A10" s="103" t="s">
        <v>749</v>
      </c>
      <c r="B10" s="103" t="s">
        <v>750</v>
      </c>
      <c r="C10" s="104" t="s">
        <v>751</v>
      </c>
      <c r="D10" s="105">
        <v>1003</v>
      </c>
      <c r="E10" s="106">
        <v>10003</v>
      </c>
      <c r="F10" s="104" t="s">
        <v>740</v>
      </c>
      <c r="G10" s="107">
        <v>4181019</v>
      </c>
      <c r="H10" s="108">
        <v>2428</v>
      </c>
      <c r="I10" s="104" t="s">
        <v>736</v>
      </c>
      <c r="J10" s="109" t="s">
        <v>735</v>
      </c>
      <c r="K10" s="109">
        <v>436</v>
      </c>
      <c r="L10" s="110"/>
      <c r="M10" s="111">
        <v>13360985</v>
      </c>
      <c r="N10" s="111"/>
      <c r="O10" s="111">
        <v>0</v>
      </c>
      <c r="P10" s="111"/>
      <c r="Q10" s="111">
        <v>0</v>
      </c>
      <c r="R10" s="111"/>
      <c r="S10" s="111">
        <v>0</v>
      </c>
      <c r="T10" s="111"/>
      <c r="U10" s="111">
        <v>0</v>
      </c>
      <c r="V10" s="111"/>
      <c r="W10" s="111">
        <v>0</v>
      </c>
      <c r="X10" s="111"/>
      <c r="Y10" s="111">
        <v>0</v>
      </c>
      <c r="Z10" s="111"/>
      <c r="AA10" s="108">
        <v>0</v>
      </c>
      <c r="AB10" s="112"/>
      <c r="AC10" s="113"/>
      <c r="AD10" s="112">
        <v>4339139</v>
      </c>
      <c r="AE10" s="112"/>
      <c r="AF10" s="112">
        <v>0</v>
      </c>
      <c r="AG10" s="112"/>
      <c r="AH10" s="112">
        <v>0</v>
      </c>
      <c r="AI10" s="112"/>
      <c r="AJ10" s="112">
        <v>0</v>
      </c>
      <c r="AK10" s="112"/>
      <c r="AL10" s="112">
        <v>0</v>
      </c>
      <c r="AM10" s="112"/>
      <c r="AN10" s="112">
        <v>0</v>
      </c>
      <c r="AO10" s="112"/>
      <c r="AP10" s="112">
        <v>0</v>
      </c>
      <c r="AQ10" s="103"/>
      <c r="AR10" s="114"/>
      <c r="AS10" s="115">
        <v>0.32479999999999998</v>
      </c>
      <c r="AT10" s="115"/>
      <c r="AU10" s="115"/>
      <c r="AV10" s="115"/>
      <c r="AW10" s="115"/>
      <c r="AX10" s="115"/>
      <c r="AY10" s="115"/>
      <c r="AZ10" s="115"/>
      <c r="BA10" s="115"/>
      <c r="BB10" s="115"/>
      <c r="BC10" s="115"/>
      <c r="BD10" s="115"/>
      <c r="BE10" s="115"/>
      <c r="BF10" s="103"/>
      <c r="BG10" s="103" t="s">
        <v>729</v>
      </c>
    </row>
    <row r="11" spans="1:59">
      <c r="A11" s="103" t="s">
        <v>749</v>
      </c>
      <c r="B11" s="103" t="s">
        <v>750</v>
      </c>
      <c r="C11" s="104" t="s">
        <v>751</v>
      </c>
      <c r="D11" s="105">
        <v>1003</v>
      </c>
      <c r="E11" s="106">
        <v>10003</v>
      </c>
      <c r="F11" s="104" t="s">
        <v>740</v>
      </c>
      <c r="G11" s="107">
        <v>4181019</v>
      </c>
      <c r="H11" s="108">
        <v>2428</v>
      </c>
      <c r="I11" s="104" t="s">
        <v>727</v>
      </c>
      <c r="J11" s="109" t="s">
        <v>728</v>
      </c>
      <c r="K11" s="109">
        <v>338</v>
      </c>
      <c r="L11" s="110"/>
      <c r="M11" s="111">
        <v>0</v>
      </c>
      <c r="N11" s="111"/>
      <c r="O11" s="111">
        <v>0</v>
      </c>
      <c r="P11" s="111"/>
      <c r="Q11" s="111">
        <v>0</v>
      </c>
      <c r="R11" s="111"/>
      <c r="S11" s="111">
        <v>0</v>
      </c>
      <c r="T11" s="111"/>
      <c r="U11" s="111">
        <v>0</v>
      </c>
      <c r="V11" s="111"/>
      <c r="W11" s="111">
        <v>0</v>
      </c>
      <c r="X11" s="111"/>
      <c r="Y11" s="111">
        <v>178406868</v>
      </c>
      <c r="Z11" s="111"/>
      <c r="AA11" s="108">
        <v>0</v>
      </c>
      <c r="AB11" s="112"/>
      <c r="AC11" s="113"/>
      <c r="AD11" s="112">
        <v>0</v>
      </c>
      <c r="AE11" s="112"/>
      <c r="AF11" s="112">
        <v>0</v>
      </c>
      <c r="AG11" s="112"/>
      <c r="AH11" s="112">
        <v>0</v>
      </c>
      <c r="AI11" s="112"/>
      <c r="AJ11" s="112">
        <v>0</v>
      </c>
      <c r="AK11" s="112"/>
      <c r="AL11" s="112">
        <v>0</v>
      </c>
      <c r="AM11" s="112"/>
      <c r="AN11" s="112">
        <v>22078161</v>
      </c>
      <c r="AO11" s="112"/>
      <c r="AP11" s="112">
        <v>0</v>
      </c>
      <c r="AQ11" s="103"/>
      <c r="AR11" s="114"/>
      <c r="AS11" s="115"/>
      <c r="AT11" s="115"/>
      <c r="AU11" s="115"/>
      <c r="AV11" s="115"/>
      <c r="AW11" s="115"/>
      <c r="AX11" s="115"/>
      <c r="AY11" s="115"/>
      <c r="AZ11" s="115"/>
      <c r="BA11" s="115"/>
      <c r="BB11" s="115"/>
      <c r="BC11" s="115">
        <v>0.12379999999999999</v>
      </c>
      <c r="BD11" s="115"/>
      <c r="BE11" s="115"/>
      <c r="BF11" s="103"/>
      <c r="BG11" s="103" t="s">
        <v>729</v>
      </c>
    </row>
    <row r="12" spans="1:59">
      <c r="A12" s="103" t="s">
        <v>749</v>
      </c>
      <c r="B12" s="103" t="s">
        <v>750</v>
      </c>
      <c r="C12" s="104" t="s">
        <v>751</v>
      </c>
      <c r="D12" s="105">
        <v>1003</v>
      </c>
      <c r="E12" s="106">
        <v>10003</v>
      </c>
      <c r="F12" s="104" t="s">
        <v>740</v>
      </c>
      <c r="G12" s="107">
        <v>4181019</v>
      </c>
      <c r="H12" s="108">
        <v>2428</v>
      </c>
      <c r="I12" s="104" t="s">
        <v>734</v>
      </c>
      <c r="J12" s="109" t="s">
        <v>728</v>
      </c>
      <c r="K12" s="109">
        <v>154</v>
      </c>
      <c r="L12" s="110"/>
      <c r="M12" s="111">
        <v>0</v>
      </c>
      <c r="N12" s="111"/>
      <c r="O12" s="111">
        <v>0</v>
      </c>
      <c r="P12" s="111"/>
      <c r="Q12" s="111">
        <v>0</v>
      </c>
      <c r="R12" s="111"/>
      <c r="S12" s="111">
        <v>0</v>
      </c>
      <c r="T12" s="111"/>
      <c r="U12" s="111">
        <v>0</v>
      </c>
      <c r="V12" s="111"/>
      <c r="W12" s="111">
        <v>0</v>
      </c>
      <c r="X12" s="111"/>
      <c r="Y12" s="111">
        <v>46803331</v>
      </c>
      <c r="Z12" s="111"/>
      <c r="AA12" s="108">
        <v>0</v>
      </c>
      <c r="AB12" s="112"/>
      <c r="AC12" s="113"/>
      <c r="AD12" s="112">
        <v>0</v>
      </c>
      <c r="AE12" s="112"/>
      <c r="AF12" s="112">
        <v>0</v>
      </c>
      <c r="AG12" s="112"/>
      <c r="AH12" s="112">
        <v>0</v>
      </c>
      <c r="AI12" s="112"/>
      <c r="AJ12" s="112">
        <v>0</v>
      </c>
      <c r="AK12" s="112"/>
      <c r="AL12" s="112">
        <v>0</v>
      </c>
      <c r="AM12" s="112"/>
      <c r="AN12" s="112">
        <v>5523588</v>
      </c>
      <c r="AO12" s="112"/>
      <c r="AP12" s="112">
        <v>0</v>
      </c>
      <c r="AQ12" s="103"/>
      <c r="AR12" s="114"/>
      <c r="AS12" s="115"/>
      <c r="AT12" s="115"/>
      <c r="AU12" s="115"/>
      <c r="AV12" s="115"/>
      <c r="AW12" s="115"/>
      <c r="AX12" s="115"/>
      <c r="AY12" s="115"/>
      <c r="AZ12" s="115"/>
      <c r="BA12" s="115"/>
      <c r="BB12" s="115"/>
      <c r="BC12" s="115">
        <v>0.11799999999999999</v>
      </c>
      <c r="BD12" s="115"/>
      <c r="BE12" s="115"/>
      <c r="BF12" s="103"/>
      <c r="BG12" s="103" t="s">
        <v>729</v>
      </c>
    </row>
    <row r="13" spans="1:59">
      <c r="A13" s="103" t="s">
        <v>753</v>
      </c>
      <c r="B13" s="103" t="s">
        <v>754</v>
      </c>
      <c r="C13" s="104" t="s">
        <v>755</v>
      </c>
      <c r="D13" s="105">
        <v>3019</v>
      </c>
      <c r="E13" s="106">
        <v>30019</v>
      </c>
      <c r="F13" s="104" t="s">
        <v>740</v>
      </c>
      <c r="G13" s="107">
        <v>5441567</v>
      </c>
      <c r="H13" s="108">
        <v>2406</v>
      </c>
      <c r="I13" s="104" t="s">
        <v>736</v>
      </c>
      <c r="J13" s="109" t="s">
        <v>728</v>
      </c>
      <c r="K13" s="109">
        <v>357</v>
      </c>
      <c r="L13" s="110"/>
      <c r="M13" s="111">
        <v>0</v>
      </c>
      <c r="N13" s="111"/>
      <c r="O13" s="111">
        <v>0</v>
      </c>
      <c r="P13" s="111"/>
      <c r="Q13" s="111">
        <v>0</v>
      </c>
      <c r="R13" s="111"/>
      <c r="S13" s="111">
        <v>0</v>
      </c>
      <c r="T13" s="111"/>
      <c r="U13" s="111">
        <v>0</v>
      </c>
      <c r="V13" s="111"/>
      <c r="W13" s="111">
        <v>0</v>
      </c>
      <c r="X13" s="111"/>
      <c r="Y13" s="111">
        <v>190958248</v>
      </c>
      <c r="Z13" s="111"/>
      <c r="AA13" s="108">
        <v>0</v>
      </c>
      <c r="AB13" s="112"/>
      <c r="AC13" s="113"/>
      <c r="AD13" s="112">
        <v>0</v>
      </c>
      <c r="AE13" s="112"/>
      <c r="AF13" s="112">
        <v>0</v>
      </c>
      <c r="AG13" s="112"/>
      <c r="AH13" s="112">
        <v>0</v>
      </c>
      <c r="AI13" s="112"/>
      <c r="AJ13" s="112">
        <v>0</v>
      </c>
      <c r="AK13" s="112"/>
      <c r="AL13" s="112">
        <v>0</v>
      </c>
      <c r="AM13" s="112"/>
      <c r="AN13" s="112">
        <v>15598066</v>
      </c>
      <c r="AO13" s="112"/>
      <c r="AP13" s="112">
        <v>0</v>
      </c>
      <c r="AQ13" s="103"/>
      <c r="AR13" s="114"/>
      <c r="AS13" s="115"/>
      <c r="AT13" s="115"/>
      <c r="AU13" s="115"/>
      <c r="AV13" s="115"/>
      <c r="AW13" s="115"/>
      <c r="AX13" s="115"/>
      <c r="AY13" s="115"/>
      <c r="AZ13" s="115"/>
      <c r="BA13" s="115"/>
      <c r="BB13" s="115"/>
      <c r="BC13" s="115">
        <v>8.1699999999999995E-2</v>
      </c>
      <c r="BD13" s="115"/>
      <c r="BE13" s="115"/>
      <c r="BF13" s="103"/>
      <c r="BG13" s="103" t="s">
        <v>729</v>
      </c>
    </row>
    <row r="14" spans="1:59">
      <c r="A14" s="103" t="s">
        <v>753</v>
      </c>
      <c r="B14" s="103" t="s">
        <v>754</v>
      </c>
      <c r="C14" s="104" t="s">
        <v>755</v>
      </c>
      <c r="D14" s="105">
        <v>3019</v>
      </c>
      <c r="E14" s="106">
        <v>30019</v>
      </c>
      <c r="F14" s="104" t="s">
        <v>740</v>
      </c>
      <c r="G14" s="107">
        <v>5441567</v>
      </c>
      <c r="H14" s="108">
        <v>2406</v>
      </c>
      <c r="I14" s="104" t="s">
        <v>727</v>
      </c>
      <c r="J14" s="109" t="s">
        <v>728</v>
      </c>
      <c r="K14" s="109">
        <v>286</v>
      </c>
      <c r="L14" s="110"/>
      <c r="M14" s="111">
        <v>0</v>
      </c>
      <c r="N14" s="111"/>
      <c r="O14" s="111">
        <v>0</v>
      </c>
      <c r="P14" s="111"/>
      <c r="Q14" s="111">
        <v>0</v>
      </c>
      <c r="R14" s="111"/>
      <c r="S14" s="111">
        <v>0</v>
      </c>
      <c r="T14" s="111"/>
      <c r="U14" s="111">
        <v>0</v>
      </c>
      <c r="V14" s="111"/>
      <c r="W14" s="111">
        <v>0</v>
      </c>
      <c r="X14" s="111"/>
      <c r="Y14" s="111">
        <v>125067726</v>
      </c>
      <c r="Z14" s="111"/>
      <c r="AA14" s="108">
        <v>0</v>
      </c>
      <c r="AB14" s="112"/>
      <c r="AC14" s="113"/>
      <c r="AD14" s="112">
        <v>0</v>
      </c>
      <c r="AE14" s="112"/>
      <c r="AF14" s="112">
        <v>0</v>
      </c>
      <c r="AG14" s="112"/>
      <c r="AH14" s="112">
        <v>0</v>
      </c>
      <c r="AI14" s="112"/>
      <c r="AJ14" s="112">
        <v>0</v>
      </c>
      <c r="AK14" s="112"/>
      <c r="AL14" s="112">
        <v>0</v>
      </c>
      <c r="AM14" s="112"/>
      <c r="AN14" s="112">
        <v>14000061</v>
      </c>
      <c r="AO14" s="112"/>
      <c r="AP14" s="112">
        <v>0</v>
      </c>
      <c r="AQ14" s="103"/>
      <c r="AR14" s="114"/>
      <c r="AS14" s="115"/>
      <c r="AT14" s="115"/>
      <c r="AU14" s="115"/>
      <c r="AV14" s="115"/>
      <c r="AW14" s="115"/>
      <c r="AX14" s="115"/>
      <c r="AY14" s="115"/>
      <c r="AZ14" s="115"/>
      <c r="BA14" s="115"/>
      <c r="BB14" s="115"/>
      <c r="BC14" s="115">
        <v>0.1119</v>
      </c>
      <c r="BD14" s="115"/>
      <c r="BE14" s="115"/>
      <c r="BF14" s="103"/>
      <c r="BG14" s="103" t="s">
        <v>729</v>
      </c>
    </row>
    <row r="15" spans="1:59">
      <c r="A15" s="103" t="s">
        <v>756</v>
      </c>
      <c r="B15" s="103" t="s">
        <v>757</v>
      </c>
      <c r="C15" s="104" t="s">
        <v>758</v>
      </c>
      <c r="D15" s="105">
        <v>6008</v>
      </c>
      <c r="E15" s="106">
        <v>60008</v>
      </c>
      <c r="F15" s="104" t="s">
        <v>740</v>
      </c>
      <c r="G15" s="107">
        <v>4944332</v>
      </c>
      <c r="H15" s="108">
        <v>2157</v>
      </c>
      <c r="I15" s="104" t="s">
        <v>734</v>
      </c>
      <c r="J15" s="109" t="s">
        <v>728</v>
      </c>
      <c r="K15" s="109">
        <v>56</v>
      </c>
      <c r="L15" s="110"/>
      <c r="M15" s="111">
        <v>0</v>
      </c>
      <c r="N15" s="111"/>
      <c r="O15" s="111">
        <v>0</v>
      </c>
      <c r="P15" s="111"/>
      <c r="Q15" s="111">
        <v>0</v>
      </c>
      <c r="R15" s="111"/>
      <c r="S15" s="111">
        <v>0</v>
      </c>
      <c r="T15" s="111"/>
      <c r="U15" s="111">
        <v>0</v>
      </c>
      <c r="V15" s="111"/>
      <c r="W15" s="111">
        <v>0</v>
      </c>
      <c r="X15" s="111"/>
      <c r="Y15" s="111">
        <v>20764234</v>
      </c>
      <c r="Z15" s="111"/>
      <c r="AA15" s="108">
        <v>0</v>
      </c>
      <c r="AB15" s="112"/>
      <c r="AC15" s="113"/>
      <c r="AD15" s="112">
        <v>0</v>
      </c>
      <c r="AE15" s="112"/>
      <c r="AF15" s="112">
        <v>0</v>
      </c>
      <c r="AG15" s="112"/>
      <c r="AH15" s="112">
        <v>0</v>
      </c>
      <c r="AI15" s="112"/>
      <c r="AJ15" s="112">
        <v>0</v>
      </c>
      <c r="AK15" s="112"/>
      <c r="AL15" s="112">
        <v>0</v>
      </c>
      <c r="AM15" s="112"/>
      <c r="AN15" s="112">
        <v>3420524</v>
      </c>
      <c r="AO15" s="112"/>
      <c r="AP15" s="112">
        <v>0</v>
      </c>
      <c r="AQ15" s="103"/>
      <c r="AR15" s="114"/>
      <c r="AS15" s="115"/>
      <c r="AT15" s="115"/>
      <c r="AU15" s="115"/>
      <c r="AV15" s="115"/>
      <c r="AW15" s="115"/>
      <c r="AX15" s="115"/>
      <c r="AY15" s="115"/>
      <c r="AZ15" s="115"/>
      <c r="BA15" s="115"/>
      <c r="BB15" s="115"/>
      <c r="BC15" s="115">
        <v>0.16470000000000001</v>
      </c>
      <c r="BD15" s="115"/>
      <c r="BE15" s="115"/>
      <c r="BF15" s="103"/>
      <c r="BG15" s="103" t="s">
        <v>729</v>
      </c>
    </row>
    <row r="16" spans="1:59">
      <c r="A16" s="103" t="s">
        <v>759</v>
      </c>
      <c r="B16" s="103" t="s">
        <v>760</v>
      </c>
      <c r="C16" s="104" t="s">
        <v>761</v>
      </c>
      <c r="D16" s="105">
        <v>3034</v>
      </c>
      <c r="E16" s="106">
        <v>30034</v>
      </c>
      <c r="F16" s="104" t="s">
        <v>762</v>
      </c>
      <c r="G16" s="107">
        <v>2203663</v>
      </c>
      <c r="H16" s="108">
        <v>1888</v>
      </c>
      <c r="I16" s="104" t="s">
        <v>727</v>
      </c>
      <c r="J16" s="109" t="s">
        <v>728</v>
      </c>
      <c r="K16" s="109">
        <v>54</v>
      </c>
      <c r="L16" s="110"/>
      <c r="M16" s="111">
        <v>0</v>
      </c>
      <c r="N16" s="111"/>
      <c r="O16" s="111">
        <v>0</v>
      </c>
      <c r="P16" s="111"/>
      <c r="Q16" s="111">
        <v>0</v>
      </c>
      <c r="R16" s="111"/>
      <c r="S16" s="111">
        <v>0</v>
      </c>
      <c r="T16" s="111"/>
      <c r="U16" s="111">
        <v>0</v>
      </c>
      <c r="V16" s="111"/>
      <c r="W16" s="111">
        <v>0</v>
      </c>
      <c r="X16" s="111"/>
      <c r="Y16" s="111">
        <v>44465246</v>
      </c>
      <c r="Z16" s="111"/>
      <c r="AA16" s="108">
        <v>0</v>
      </c>
      <c r="AB16" s="112"/>
      <c r="AC16" s="113"/>
      <c r="AD16" s="112">
        <v>0</v>
      </c>
      <c r="AE16" s="112"/>
      <c r="AF16" s="112">
        <v>0</v>
      </c>
      <c r="AG16" s="112"/>
      <c r="AH16" s="112">
        <v>0</v>
      </c>
      <c r="AI16" s="112"/>
      <c r="AJ16" s="112">
        <v>0</v>
      </c>
      <c r="AK16" s="112"/>
      <c r="AL16" s="112">
        <v>0</v>
      </c>
      <c r="AM16" s="112"/>
      <c r="AN16" s="112">
        <v>0</v>
      </c>
      <c r="AO16" s="112"/>
      <c r="AP16" s="112">
        <v>0</v>
      </c>
      <c r="AQ16" s="103"/>
      <c r="AR16" s="114"/>
      <c r="AS16" s="115"/>
      <c r="AT16" s="115"/>
      <c r="AU16" s="115"/>
      <c r="AV16" s="115"/>
      <c r="AW16" s="115"/>
      <c r="AX16" s="115"/>
      <c r="AY16" s="115"/>
      <c r="AZ16" s="115"/>
      <c r="BA16" s="115"/>
      <c r="BB16" s="115"/>
      <c r="BC16" s="115">
        <v>0</v>
      </c>
      <c r="BD16" s="115"/>
      <c r="BE16" s="115"/>
      <c r="BF16" s="103"/>
      <c r="BG16" s="103" t="s">
        <v>729</v>
      </c>
    </row>
    <row r="17" spans="1:59">
      <c r="A17" s="103" t="s">
        <v>759</v>
      </c>
      <c r="B17" s="103" t="s">
        <v>760</v>
      </c>
      <c r="C17" s="104" t="s">
        <v>761</v>
      </c>
      <c r="D17" s="105">
        <v>3034</v>
      </c>
      <c r="E17" s="106">
        <v>30034</v>
      </c>
      <c r="F17" s="104" t="s">
        <v>762</v>
      </c>
      <c r="G17" s="107">
        <v>2203663</v>
      </c>
      <c r="H17" s="108">
        <v>1888</v>
      </c>
      <c r="I17" s="104" t="s">
        <v>734</v>
      </c>
      <c r="J17" s="109" t="s">
        <v>728</v>
      </c>
      <c r="K17" s="109">
        <v>38</v>
      </c>
      <c r="L17" s="110"/>
      <c r="M17" s="111">
        <v>0</v>
      </c>
      <c r="N17" s="111"/>
      <c r="O17" s="111">
        <v>0</v>
      </c>
      <c r="P17" s="111"/>
      <c r="Q17" s="111">
        <v>0</v>
      </c>
      <c r="R17" s="111"/>
      <c r="S17" s="111">
        <v>0</v>
      </c>
      <c r="T17" s="111"/>
      <c r="U17" s="111">
        <v>0</v>
      </c>
      <c r="V17" s="111"/>
      <c r="W17" s="111">
        <v>0</v>
      </c>
      <c r="X17" s="111"/>
      <c r="Y17" s="111">
        <v>25044315</v>
      </c>
      <c r="Z17" s="111"/>
      <c r="AA17" s="108">
        <v>0</v>
      </c>
      <c r="AB17" s="112"/>
      <c r="AC17" s="113"/>
      <c r="AD17" s="112">
        <v>0</v>
      </c>
      <c r="AE17" s="112"/>
      <c r="AF17" s="112">
        <v>0</v>
      </c>
      <c r="AG17" s="112"/>
      <c r="AH17" s="112">
        <v>0</v>
      </c>
      <c r="AI17" s="112"/>
      <c r="AJ17" s="112">
        <v>0</v>
      </c>
      <c r="AK17" s="112"/>
      <c r="AL17" s="112">
        <v>0</v>
      </c>
      <c r="AM17" s="112"/>
      <c r="AN17" s="112">
        <v>2679810</v>
      </c>
      <c r="AO17" s="112"/>
      <c r="AP17" s="112">
        <v>0</v>
      </c>
      <c r="AQ17" s="103"/>
      <c r="AR17" s="114"/>
      <c r="AS17" s="115"/>
      <c r="AT17" s="115"/>
      <c r="AU17" s="115"/>
      <c r="AV17" s="115"/>
      <c r="AW17" s="115"/>
      <c r="AX17" s="115"/>
      <c r="AY17" s="115"/>
      <c r="AZ17" s="115"/>
      <c r="BA17" s="115"/>
      <c r="BB17" s="115"/>
      <c r="BC17" s="115">
        <v>0.107</v>
      </c>
      <c r="BD17" s="115"/>
      <c r="BE17" s="115"/>
      <c r="BF17" s="103"/>
      <c r="BG17" s="103" t="s">
        <v>729</v>
      </c>
    </row>
    <row r="18" spans="1:59">
      <c r="A18" s="103" t="s">
        <v>759</v>
      </c>
      <c r="B18" s="103" t="s">
        <v>760</v>
      </c>
      <c r="C18" s="104" t="s">
        <v>761</v>
      </c>
      <c r="D18" s="105">
        <v>3034</v>
      </c>
      <c r="E18" s="106">
        <v>30034</v>
      </c>
      <c r="F18" s="104" t="s">
        <v>762</v>
      </c>
      <c r="G18" s="107">
        <v>2203663</v>
      </c>
      <c r="H18" s="108">
        <v>1888</v>
      </c>
      <c r="I18" s="104" t="s">
        <v>736</v>
      </c>
      <c r="J18" s="109" t="s">
        <v>735</v>
      </c>
      <c r="K18" s="109">
        <v>149</v>
      </c>
      <c r="L18" s="110"/>
      <c r="M18" s="111">
        <v>3709703</v>
      </c>
      <c r="N18" s="111"/>
      <c r="O18" s="111">
        <v>0</v>
      </c>
      <c r="P18" s="111"/>
      <c r="Q18" s="111">
        <v>0</v>
      </c>
      <c r="R18" s="111"/>
      <c r="S18" s="111">
        <v>0</v>
      </c>
      <c r="T18" s="111"/>
      <c r="U18" s="111">
        <v>0</v>
      </c>
      <c r="V18" s="111"/>
      <c r="W18" s="111">
        <v>0</v>
      </c>
      <c r="X18" s="111"/>
      <c r="Y18" s="111">
        <v>21715405</v>
      </c>
      <c r="Z18" s="111"/>
      <c r="AA18" s="108">
        <v>0</v>
      </c>
      <c r="AB18" s="112"/>
      <c r="AC18" s="113"/>
      <c r="AD18" s="112">
        <v>764117</v>
      </c>
      <c r="AE18" s="112"/>
      <c r="AF18" s="112">
        <v>0</v>
      </c>
      <c r="AG18" s="112"/>
      <c r="AH18" s="112">
        <v>0</v>
      </c>
      <c r="AI18" s="112"/>
      <c r="AJ18" s="112">
        <v>0</v>
      </c>
      <c r="AK18" s="112"/>
      <c r="AL18" s="112">
        <v>0</v>
      </c>
      <c r="AM18" s="112"/>
      <c r="AN18" s="112">
        <v>163832</v>
      </c>
      <c r="AO18" s="112"/>
      <c r="AP18" s="112">
        <v>0</v>
      </c>
      <c r="AQ18" s="103"/>
      <c r="AR18" s="114"/>
      <c r="AS18" s="115">
        <v>0.20599999999999999</v>
      </c>
      <c r="AT18" s="115"/>
      <c r="AU18" s="115"/>
      <c r="AV18" s="115"/>
      <c r="AW18" s="115"/>
      <c r="AX18" s="115"/>
      <c r="AY18" s="115"/>
      <c r="AZ18" s="115"/>
      <c r="BA18" s="115"/>
      <c r="BB18" s="115"/>
      <c r="BC18" s="115">
        <v>7.4999999999999997E-3</v>
      </c>
      <c r="BD18" s="115"/>
      <c r="BE18" s="115"/>
      <c r="BF18" s="103"/>
      <c r="BG18" s="103" t="s">
        <v>729</v>
      </c>
    </row>
    <row r="19" spans="1:59">
      <c r="A19" s="103" t="s">
        <v>763</v>
      </c>
      <c r="B19" s="103" t="s">
        <v>764</v>
      </c>
      <c r="C19" s="104" t="s">
        <v>765</v>
      </c>
      <c r="D19" s="105">
        <v>4034</v>
      </c>
      <c r="E19" s="106">
        <v>40034</v>
      </c>
      <c r="F19" s="104" t="s">
        <v>766</v>
      </c>
      <c r="G19" s="107">
        <v>5502379</v>
      </c>
      <c r="H19" s="108">
        <v>1452</v>
      </c>
      <c r="I19" s="104" t="s">
        <v>727</v>
      </c>
      <c r="J19" s="109" t="s">
        <v>728</v>
      </c>
      <c r="K19" s="109">
        <v>76</v>
      </c>
      <c r="L19" s="110"/>
      <c r="M19" s="111">
        <v>0</v>
      </c>
      <c r="N19" s="111"/>
      <c r="O19" s="111">
        <v>0</v>
      </c>
      <c r="P19" s="111"/>
      <c r="Q19" s="111">
        <v>0</v>
      </c>
      <c r="R19" s="111"/>
      <c r="S19" s="111">
        <v>0</v>
      </c>
      <c r="T19" s="111"/>
      <c r="U19" s="111">
        <v>0</v>
      </c>
      <c r="V19" s="111"/>
      <c r="W19" s="111">
        <v>0</v>
      </c>
      <c r="X19" s="111"/>
      <c r="Y19" s="111">
        <v>66954261</v>
      </c>
      <c r="Z19" s="111"/>
      <c r="AA19" s="108">
        <v>0</v>
      </c>
      <c r="AB19" s="112"/>
      <c r="AC19" s="113"/>
      <c r="AD19" s="112">
        <v>0</v>
      </c>
      <c r="AE19" s="112"/>
      <c r="AF19" s="112">
        <v>0</v>
      </c>
      <c r="AG19" s="112"/>
      <c r="AH19" s="112">
        <v>0</v>
      </c>
      <c r="AI19" s="112"/>
      <c r="AJ19" s="112">
        <v>0</v>
      </c>
      <c r="AK19" s="112"/>
      <c r="AL19" s="112">
        <v>0</v>
      </c>
      <c r="AM19" s="112"/>
      <c r="AN19" s="112">
        <v>559892</v>
      </c>
      <c r="AO19" s="112"/>
      <c r="AP19" s="112">
        <v>0</v>
      </c>
      <c r="AQ19" s="103"/>
      <c r="AR19" s="114"/>
      <c r="AS19" s="115"/>
      <c r="AT19" s="115"/>
      <c r="AU19" s="115"/>
      <c r="AV19" s="115"/>
      <c r="AW19" s="115"/>
      <c r="AX19" s="115"/>
      <c r="AY19" s="115"/>
      <c r="AZ19" s="115"/>
      <c r="BA19" s="115"/>
      <c r="BB19" s="115"/>
      <c r="BC19" s="115">
        <v>8.3999999999999995E-3</v>
      </c>
      <c r="BD19" s="115"/>
      <c r="BE19" s="115"/>
      <c r="BF19" s="103"/>
      <c r="BG19" s="103" t="s">
        <v>729</v>
      </c>
    </row>
    <row r="20" spans="1:59">
      <c r="A20" s="103" t="s">
        <v>767</v>
      </c>
      <c r="B20" s="103" t="s">
        <v>768</v>
      </c>
      <c r="C20" s="104" t="s">
        <v>650</v>
      </c>
      <c r="D20" s="105">
        <v>8006</v>
      </c>
      <c r="E20" s="106">
        <v>80006</v>
      </c>
      <c r="F20" s="104" t="s">
        <v>740</v>
      </c>
      <c r="G20" s="107">
        <v>2374203</v>
      </c>
      <c r="H20" s="108">
        <v>1431</v>
      </c>
      <c r="I20" s="104" t="s">
        <v>736</v>
      </c>
      <c r="J20" s="109" t="s">
        <v>728</v>
      </c>
      <c r="K20" s="109">
        <v>8</v>
      </c>
      <c r="L20" s="110"/>
      <c r="M20" s="111">
        <v>0</v>
      </c>
      <c r="N20" s="111"/>
      <c r="O20" s="111">
        <v>0</v>
      </c>
      <c r="P20" s="111"/>
      <c r="Q20" s="111">
        <v>0</v>
      </c>
      <c r="R20" s="111"/>
      <c r="S20" s="111">
        <v>0</v>
      </c>
      <c r="T20" s="111"/>
      <c r="U20" s="111">
        <v>0</v>
      </c>
      <c r="V20" s="111"/>
      <c r="W20" s="111">
        <v>0</v>
      </c>
      <c r="X20" s="111"/>
      <c r="Y20" s="111">
        <v>688983</v>
      </c>
      <c r="Z20" s="111"/>
      <c r="AA20" s="108">
        <v>0</v>
      </c>
      <c r="AB20" s="112"/>
      <c r="AC20" s="113"/>
      <c r="AD20" s="112">
        <v>0</v>
      </c>
      <c r="AE20" s="112"/>
      <c r="AF20" s="112">
        <v>0</v>
      </c>
      <c r="AG20" s="112"/>
      <c r="AH20" s="112">
        <v>0</v>
      </c>
      <c r="AI20" s="112"/>
      <c r="AJ20" s="112">
        <v>0</v>
      </c>
      <c r="AK20" s="112"/>
      <c r="AL20" s="112">
        <v>0</v>
      </c>
      <c r="AM20" s="112"/>
      <c r="AN20" s="112">
        <v>0</v>
      </c>
      <c r="AO20" s="112"/>
      <c r="AP20" s="112">
        <v>0</v>
      </c>
      <c r="AQ20" s="103"/>
      <c r="AR20" s="114"/>
      <c r="AS20" s="115"/>
      <c r="AT20" s="115"/>
      <c r="AU20" s="115"/>
      <c r="AV20" s="115"/>
      <c r="AW20" s="115"/>
      <c r="AX20" s="115"/>
      <c r="AY20" s="115"/>
      <c r="AZ20" s="115"/>
      <c r="BA20" s="115"/>
      <c r="BB20" s="115"/>
      <c r="BC20" s="115">
        <v>0</v>
      </c>
      <c r="BD20" s="115"/>
      <c r="BE20" s="115"/>
      <c r="BF20" s="103"/>
      <c r="BG20" s="103" t="s">
        <v>729</v>
      </c>
    </row>
    <row r="21" spans="1:59">
      <c r="A21" s="103" t="s">
        <v>767</v>
      </c>
      <c r="B21" s="103" t="s">
        <v>768</v>
      </c>
      <c r="C21" s="104" t="s">
        <v>650</v>
      </c>
      <c r="D21" s="105">
        <v>8006</v>
      </c>
      <c r="E21" s="106">
        <v>80006</v>
      </c>
      <c r="F21" s="104" t="s">
        <v>740</v>
      </c>
      <c r="G21" s="107">
        <v>2374203</v>
      </c>
      <c r="H21" s="108">
        <v>1431</v>
      </c>
      <c r="I21" s="104" t="s">
        <v>736</v>
      </c>
      <c r="J21" s="109" t="s">
        <v>735</v>
      </c>
      <c r="K21" s="109">
        <v>44</v>
      </c>
      <c r="L21" s="110"/>
      <c r="M21" s="111">
        <v>0</v>
      </c>
      <c r="N21" s="111"/>
      <c r="O21" s="111">
        <v>0</v>
      </c>
      <c r="P21" s="111"/>
      <c r="Q21" s="111">
        <v>0</v>
      </c>
      <c r="R21" s="111"/>
      <c r="S21" s="111">
        <v>0</v>
      </c>
      <c r="T21" s="111"/>
      <c r="U21" s="111">
        <v>0</v>
      </c>
      <c r="V21" s="111"/>
      <c r="W21" s="111">
        <v>0</v>
      </c>
      <c r="X21" s="111"/>
      <c r="Y21" s="111">
        <v>40149051</v>
      </c>
      <c r="Z21" s="111"/>
      <c r="AA21" s="108">
        <v>0</v>
      </c>
      <c r="AB21" s="112"/>
      <c r="AC21" s="113"/>
      <c r="AD21" s="112">
        <v>0</v>
      </c>
      <c r="AE21" s="112"/>
      <c r="AF21" s="112">
        <v>0</v>
      </c>
      <c r="AG21" s="112"/>
      <c r="AH21" s="112">
        <v>0</v>
      </c>
      <c r="AI21" s="112"/>
      <c r="AJ21" s="112">
        <v>0</v>
      </c>
      <c r="AK21" s="112"/>
      <c r="AL21" s="112">
        <v>0</v>
      </c>
      <c r="AM21" s="112"/>
      <c r="AN21" s="112">
        <v>6311542</v>
      </c>
      <c r="AO21" s="112"/>
      <c r="AP21" s="112">
        <v>0</v>
      </c>
      <c r="AQ21" s="103"/>
      <c r="AR21" s="114"/>
      <c r="AS21" s="115"/>
      <c r="AT21" s="115"/>
      <c r="AU21" s="115"/>
      <c r="AV21" s="115"/>
      <c r="AW21" s="115"/>
      <c r="AX21" s="115"/>
      <c r="AY21" s="115"/>
      <c r="AZ21" s="115"/>
      <c r="BA21" s="115"/>
      <c r="BB21" s="115"/>
      <c r="BC21" s="115">
        <v>0.15720000000000001</v>
      </c>
      <c r="BD21" s="115"/>
      <c r="BE21" s="115"/>
      <c r="BF21" s="103"/>
      <c r="BG21" s="103" t="s">
        <v>729</v>
      </c>
    </row>
    <row r="22" spans="1:59">
      <c r="A22" s="103" t="s">
        <v>767</v>
      </c>
      <c r="B22" s="103" t="s">
        <v>768</v>
      </c>
      <c r="C22" s="104" t="s">
        <v>650</v>
      </c>
      <c r="D22" s="105">
        <v>8006</v>
      </c>
      <c r="E22" s="106">
        <v>80006</v>
      </c>
      <c r="F22" s="104" t="s">
        <v>740</v>
      </c>
      <c r="G22" s="107">
        <v>2374203</v>
      </c>
      <c r="H22" s="108">
        <v>1431</v>
      </c>
      <c r="I22" s="104" t="s">
        <v>734</v>
      </c>
      <c r="J22" s="109" t="s">
        <v>728</v>
      </c>
      <c r="K22" s="109">
        <v>156</v>
      </c>
      <c r="L22" s="110"/>
      <c r="M22" s="111">
        <v>0</v>
      </c>
      <c r="N22" s="111"/>
      <c r="O22" s="111">
        <v>0</v>
      </c>
      <c r="P22" s="111"/>
      <c r="Q22" s="111">
        <v>0</v>
      </c>
      <c r="R22" s="111"/>
      <c r="S22" s="111">
        <v>0</v>
      </c>
      <c r="T22" s="111"/>
      <c r="U22" s="111">
        <v>0</v>
      </c>
      <c r="V22" s="111"/>
      <c r="W22" s="111">
        <v>0</v>
      </c>
      <c r="X22" s="111"/>
      <c r="Y22" s="111">
        <v>60630772</v>
      </c>
      <c r="Z22" s="111"/>
      <c r="AA22" s="108">
        <v>0</v>
      </c>
      <c r="AB22" s="112"/>
      <c r="AC22" s="113"/>
      <c r="AD22" s="112">
        <v>0</v>
      </c>
      <c r="AE22" s="112"/>
      <c r="AF22" s="112">
        <v>0</v>
      </c>
      <c r="AG22" s="112"/>
      <c r="AH22" s="112">
        <v>0</v>
      </c>
      <c r="AI22" s="112"/>
      <c r="AJ22" s="112">
        <v>0</v>
      </c>
      <c r="AK22" s="112"/>
      <c r="AL22" s="112">
        <v>0</v>
      </c>
      <c r="AM22" s="112"/>
      <c r="AN22" s="112">
        <v>9327859</v>
      </c>
      <c r="AO22" s="112"/>
      <c r="AP22" s="112">
        <v>0</v>
      </c>
      <c r="AQ22" s="103"/>
      <c r="AR22" s="114"/>
      <c r="AS22" s="115"/>
      <c r="AT22" s="115"/>
      <c r="AU22" s="115"/>
      <c r="AV22" s="115"/>
      <c r="AW22" s="115"/>
      <c r="AX22" s="115"/>
      <c r="AY22" s="115"/>
      <c r="AZ22" s="115"/>
      <c r="BA22" s="115"/>
      <c r="BB22" s="115"/>
      <c r="BC22" s="115">
        <v>0.15379999999999999</v>
      </c>
      <c r="BD22" s="115"/>
      <c r="BE22" s="115"/>
      <c r="BF22" s="103"/>
      <c r="BG22" s="103" t="s">
        <v>729</v>
      </c>
    </row>
    <row r="23" spans="1:59">
      <c r="A23" s="103" t="s">
        <v>769</v>
      </c>
      <c r="B23" s="103" t="s">
        <v>770</v>
      </c>
      <c r="C23" s="104" t="s">
        <v>724</v>
      </c>
      <c r="D23" s="105">
        <v>2078</v>
      </c>
      <c r="E23" s="106">
        <v>20078</v>
      </c>
      <c r="F23" s="104" t="s">
        <v>725</v>
      </c>
      <c r="G23" s="107">
        <v>18351295</v>
      </c>
      <c r="H23" s="108">
        <v>1133</v>
      </c>
      <c r="I23" s="104" t="s">
        <v>736</v>
      </c>
      <c r="J23" s="109" t="s">
        <v>728</v>
      </c>
      <c r="K23" s="109">
        <v>1122</v>
      </c>
      <c r="L23" s="110"/>
      <c r="M23" s="111">
        <v>5697351</v>
      </c>
      <c r="N23" s="111"/>
      <c r="O23" s="111">
        <v>0</v>
      </c>
      <c r="P23" s="111"/>
      <c r="Q23" s="111">
        <v>0</v>
      </c>
      <c r="R23" s="111"/>
      <c r="S23" s="111">
        <v>0</v>
      </c>
      <c r="T23" s="111"/>
      <c r="U23" s="111">
        <v>0</v>
      </c>
      <c r="V23" s="111"/>
      <c r="W23" s="111">
        <v>0</v>
      </c>
      <c r="X23" s="111"/>
      <c r="Y23" s="111">
        <v>367362724</v>
      </c>
      <c r="Z23" s="111"/>
      <c r="AA23" s="108">
        <v>0</v>
      </c>
      <c r="AB23" s="112"/>
      <c r="AC23" s="113"/>
      <c r="AD23" s="112">
        <v>0</v>
      </c>
      <c r="AE23" s="112"/>
      <c r="AF23" s="112">
        <v>0</v>
      </c>
      <c r="AG23" s="112"/>
      <c r="AH23" s="112">
        <v>0</v>
      </c>
      <c r="AI23" s="112"/>
      <c r="AJ23" s="112">
        <v>0</v>
      </c>
      <c r="AK23" s="112"/>
      <c r="AL23" s="112">
        <v>2002432</v>
      </c>
      <c r="AM23" s="112"/>
      <c r="AN23" s="112">
        <v>40070882</v>
      </c>
      <c r="AO23" s="112"/>
      <c r="AP23" s="112">
        <v>0</v>
      </c>
      <c r="AQ23" s="103"/>
      <c r="AR23" s="114"/>
      <c r="AS23" s="115">
        <v>0</v>
      </c>
      <c r="AT23" s="115"/>
      <c r="AU23" s="115"/>
      <c r="AV23" s="115"/>
      <c r="AW23" s="115"/>
      <c r="AX23" s="115"/>
      <c r="AY23" s="115"/>
      <c r="AZ23" s="115"/>
      <c r="BA23" s="115"/>
      <c r="BB23" s="115"/>
      <c r="BC23" s="115">
        <v>0.1091</v>
      </c>
      <c r="BD23" s="115"/>
      <c r="BE23" s="115"/>
      <c r="BF23" s="103"/>
      <c r="BG23" s="103" t="s">
        <v>729</v>
      </c>
    </row>
    <row r="24" spans="1:59">
      <c r="A24" s="103" t="s">
        <v>771</v>
      </c>
      <c r="B24" s="103" t="s">
        <v>772</v>
      </c>
      <c r="C24" s="104" t="s">
        <v>758</v>
      </c>
      <c r="D24" s="105">
        <v>6056</v>
      </c>
      <c r="E24" s="106">
        <v>60056</v>
      </c>
      <c r="F24" s="104" t="s">
        <v>740</v>
      </c>
      <c r="G24" s="107">
        <v>5121892</v>
      </c>
      <c r="H24" s="108">
        <v>1082</v>
      </c>
      <c r="I24" s="104" t="s">
        <v>736</v>
      </c>
      <c r="J24" s="109" t="s">
        <v>735</v>
      </c>
      <c r="K24" s="109">
        <v>23</v>
      </c>
      <c r="L24" s="110"/>
      <c r="M24" s="111">
        <v>1375987</v>
      </c>
      <c r="N24" s="111"/>
      <c r="O24" s="111">
        <v>0</v>
      </c>
      <c r="P24" s="111"/>
      <c r="Q24" s="111">
        <v>0</v>
      </c>
      <c r="R24" s="111"/>
      <c r="S24" s="111">
        <v>0</v>
      </c>
      <c r="T24" s="111"/>
      <c r="U24" s="111">
        <v>0</v>
      </c>
      <c r="V24" s="111"/>
      <c r="W24" s="111">
        <v>0</v>
      </c>
      <c r="X24" s="111"/>
      <c r="Y24" s="111">
        <v>0</v>
      </c>
      <c r="Z24" s="111"/>
      <c r="AA24" s="108">
        <v>0</v>
      </c>
      <c r="AB24" s="112"/>
      <c r="AC24" s="113"/>
      <c r="AD24" s="112">
        <v>460806</v>
      </c>
      <c r="AE24" s="112"/>
      <c r="AF24" s="112">
        <v>0</v>
      </c>
      <c r="AG24" s="112"/>
      <c r="AH24" s="112">
        <v>0</v>
      </c>
      <c r="AI24" s="112"/>
      <c r="AJ24" s="112">
        <v>0</v>
      </c>
      <c r="AK24" s="112"/>
      <c r="AL24" s="112">
        <v>0</v>
      </c>
      <c r="AM24" s="112"/>
      <c r="AN24" s="112">
        <v>0</v>
      </c>
      <c r="AO24" s="112"/>
      <c r="AP24" s="112">
        <v>0</v>
      </c>
      <c r="AQ24" s="103"/>
      <c r="AR24" s="114"/>
      <c r="AS24" s="115">
        <v>0.33489999999999998</v>
      </c>
      <c r="AT24" s="115"/>
      <c r="AU24" s="115"/>
      <c r="AV24" s="115"/>
      <c r="AW24" s="115"/>
      <c r="AX24" s="115"/>
      <c r="AY24" s="115"/>
      <c r="AZ24" s="115"/>
      <c r="BA24" s="115"/>
      <c r="BB24" s="115"/>
      <c r="BC24" s="115"/>
      <c r="BD24" s="115"/>
      <c r="BE24" s="115"/>
      <c r="BF24" s="103"/>
      <c r="BG24" s="103" t="s">
        <v>729</v>
      </c>
    </row>
    <row r="25" spans="1:59">
      <c r="A25" s="103" t="s">
        <v>771</v>
      </c>
      <c r="B25" s="103" t="s">
        <v>772</v>
      </c>
      <c r="C25" s="104" t="s">
        <v>758</v>
      </c>
      <c r="D25" s="105">
        <v>6056</v>
      </c>
      <c r="E25" s="106">
        <v>60056</v>
      </c>
      <c r="F25" s="104" t="s">
        <v>740</v>
      </c>
      <c r="G25" s="107">
        <v>5121892</v>
      </c>
      <c r="H25" s="108">
        <v>1082</v>
      </c>
      <c r="I25" s="104" t="s">
        <v>734</v>
      </c>
      <c r="J25" s="109" t="s">
        <v>728</v>
      </c>
      <c r="K25" s="109">
        <v>117</v>
      </c>
      <c r="L25" s="110"/>
      <c r="M25" s="111">
        <v>0</v>
      </c>
      <c r="N25" s="111"/>
      <c r="O25" s="111">
        <v>0</v>
      </c>
      <c r="P25" s="111"/>
      <c r="Q25" s="111">
        <v>0</v>
      </c>
      <c r="R25" s="111"/>
      <c r="S25" s="111">
        <v>0</v>
      </c>
      <c r="T25" s="111"/>
      <c r="U25" s="111">
        <v>0</v>
      </c>
      <c r="V25" s="111"/>
      <c r="W25" s="111">
        <v>0</v>
      </c>
      <c r="X25" s="111"/>
      <c r="Y25" s="111">
        <v>116183770</v>
      </c>
      <c r="Z25" s="111"/>
      <c r="AA25" s="108">
        <v>0</v>
      </c>
      <c r="AB25" s="112"/>
      <c r="AC25" s="113"/>
      <c r="AD25" s="112">
        <v>0</v>
      </c>
      <c r="AE25" s="112"/>
      <c r="AF25" s="112">
        <v>0</v>
      </c>
      <c r="AG25" s="112"/>
      <c r="AH25" s="112">
        <v>0</v>
      </c>
      <c r="AI25" s="112"/>
      <c r="AJ25" s="112">
        <v>0</v>
      </c>
      <c r="AK25" s="112"/>
      <c r="AL25" s="112">
        <v>0</v>
      </c>
      <c r="AM25" s="112"/>
      <c r="AN25" s="112">
        <v>9894309</v>
      </c>
      <c r="AO25" s="112"/>
      <c r="AP25" s="112">
        <v>0</v>
      </c>
      <c r="AQ25" s="103"/>
      <c r="AR25" s="114"/>
      <c r="AS25" s="115"/>
      <c r="AT25" s="115"/>
      <c r="AU25" s="115"/>
      <c r="AV25" s="115"/>
      <c r="AW25" s="115"/>
      <c r="AX25" s="115"/>
      <c r="AY25" s="115"/>
      <c r="AZ25" s="115"/>
      <c r="BA25" s="115"/>
      <c r="BB25" s="115"/>
      <c r="BC25" s="115">
        <v>8.5199999999999998E-2</v>
      </c>
      <c r="BD25" s="115"/>
      <c r="BE25" s="115"/>
      <c r="BF25" s="103"/>
      <c r="BG25" s="103" t="s">
        <v>729</v>
      </c>
    </row>
    <row r="26" spans="1:59">
      <c r="A26" s="103" t="s">
        <v>773</v>
      </c>
      <c r="B26" s="103" t="s">
        <v>774</v>
      </c>
      <c r="C26" s="104" t="s">
        <v>775</v>
      </c>
      <c r="D26" s="105">
        <v>8001</v>
      </c>
      <c r="E26" s="106">
        <v>80001</v>
      </c>
      <c r="F26" s="104" t="s">
        <v>740</v>
      </c>
      <c r="G26" s="107">
        <v>1021243</v>
      </c>
      <c r="H26" s="108">
        <v>1081</v>
      </c>
      <c r="I26" s="104" t="s">
        <v>734</v>
      </c>
      <c r="J26" s="109" t="s">
        <v>728</v>
      </c>
      <c r="K26" s="109">
        <v>89</v>
      </c>
      <c r="L26" s="110"/>
      <c r="M26" s="111">
        <v>0</v>
      </c>
      <c r="N26" s="111"/>
      <c r="O26" s="111">
        <v>0</v>
      </c>
      <c r="P26" s="111"/>
      <c r="Q26" s="111">
        <v>0</v>
      </c>
      <c r="R26" s="111"/>
      <c r="S26" s="111">
        <v>0</v>
      </c>
      <c r="T26" s="111"/>
      <c r="U26" s="111">
        <v>0</v>
      </c>
      <c r="V26" s="111"/>
      <c r="W26" s="111">
        <v>0</v>
      </c>
      <c r="X26" s="111"/>
      <c r="Y26" s="111">
        <v>39602347</v>
      </c>
      <c r="Z26" s="111"/>
      <c r="AA26" s="108">
        <v>0</v>
      </c>
      <c r="AB26" s="112"/>
      <c r="AC26" s="113"/>
      <c r="AD26" s="112">
        <v>0</v>
      </c>
      <c r="AE26" s="112"/>
      <c r="AF26" s="112">
        <v>0</v>
      </c>
      <c r="AG26" s="112"/>
      <c r="AH26" s="112">
        <v>0</v>
      </c>
      <c r="AI26" s="112"/>
      <c r="AJ26" s="112">
        <v>0</v>
      </c>
      <c r="AK26" s="112"/>
      <c r="AL26" s="112">
        <v>0</v>
      </c>
      <c r="AM26" s="112"/>
      <c r="AN26" s="112">
        <v>6307169</v>
      </c>
      <c r="AO26" s="112"/>
      <c r="AP26" s="112">
        <v>0</v>
      </c>
      <c r="AQ26" s="103"/>
      <c r="AR26" s="114"/>
      <c r="AS26" s="115"/>
      <c r="AT26" s="115"/>
      <c r="AU26" s="115"/>
      <c r="AV26" s="115"/>
      <c r="AW26" s="115"/>
      <c r="AX26" s="115"/>
      <c r="AY26" s="115"/>
      <c r="AZ26" s="115"/>
      <c r="BA26" s="115"/>
      <c r="BB26" s="115"/>
      <c r="BC26" s="115">
        <v>0.1593</v>
      </c>
      <c r="BD26" s="115"/>
      <c r="BE26" s="115"/>
      <c r="BF26" s="103"/>
      <c r="BG26" s="103" t="s">
        <v>729</v>
      </c>
    </row>
    <row r="27" spans="1:59">
      <c r="A27" s="103" t="s">
        <v>773</v>
      </c>
      <c r="B27" s="103" t="s">
        <v>774</v>
      </c>
      <c r="C27" s="104" t="s">
        <v>775</v>
      </c>
      <c r="D27" s="105">
        <v>8001</v>
      </c>
      <c r="E27" s="106">
        <v>80001</v>
      </c>
      <c r="F27" s="104" t="s">
        <v>740</v>
      </c>
      <c r="G27" s="107">
        <v>1021243</v>
      </c>
      <c r="H27" s="108">
        <v>1081</v>
      </c>
      <c r="I27" s="104" t="s">
        <v>736</v>
      </c>
      <c r="J27" s="109" t="s">
        <v>728</v>
      </c>
      <c r="K27" s="109">
        <v>50</v>
      </c>
      <c r="L27" s="110"/>
      <c r="M27" s="111">
        <v>1921417</v>
      </c>
      <c r="N27" s="111"/>
      <c r="O27" s="111">
        <v>0</v>
      </c>
      <c r="P27" s="111"/>
      <c r="Q27" s="111">
        <v>0</v>
      </c>
      <c r="R27" s="111"/>
      <c r="S27" s="111">
        <v>0</v>
      </c>
      <c r="T27" s="111"/>
      <c r="U27" s="111">
        <v>0</v>
      </c>
      <c r="V27" s="111"/>
      <c r="W27" s="111">
        <v>0</v>
      </c>
      <c r="X27" s="111"/>
      <c r="Y27" s="111">
        <v>0</v>
      </c>
      <c r="Z27" s="111"/>
      <c r="AA27" s="108">
        <v>0</v>
      </c>
      <c r="AB27" s="112"/>
      <c r="AC27" s="113"/>
      <c r="AD27" s="112">
        <v>850933</v>
      </c>
      <c r="AE27" s="112"/>
      <c r="AF27" s="112">
        <v>0</v>
      </c>
      <c r="AG27" s="112"/>
      <c r="AH27" s="112">
        <v>0</v>
      </c>
      <c r="AI27" s="112"/>
      <c r="AJ27" s="112">
        <v>0</v>
      </c>
      <c r="AK27" s="112"/>
      <c r="AL27" s="112">
        <v>0</v>
      </c>
      <c r="AM27" s="112"/>
      <c r="AN27" s="112">
        <v>0</v>
      </c>
      <c r="AO27" s="112"/>
      <c r="AP27" s="112">
        <v>0</v>
      </c>
      <c r="AQ27" s="103"/>
      <c r="AR27" s="114"/>
      <c r="AS27" s="115">
        <v>0.44290000000000002</v>
      </c>
      <c r="AT27" s="115"/>
      <c r="AU27" s="115"/>
      <c r="AV27" s="115"/>
      <c r="AW27" s="115"/>
      <c r="AX27" s="115"/>
      <c r="AY27" s="115"/>
      <c r="AZ27" s="115"/>
      <c r="BA27" s="115"/>
      <c r="BB27" s="115"/>
      <c r="BC27" s="115"/>
      <c r="BD27" s="115"/>
      <c r="BE27" s="115"/>
      <c r="BF27" s="103"/>
      <c r="BG27" s="103" t="s">
        <v>729</v>
      </c>
    </row>
    <row r="28" spans="1:59">
      <c r="A28" s="103" t="s">
        <v>776</v>
      </c>
      <c r="B28" s="103" t="s">
        <v>745</v>
      </c>
      <c r="C28" s="104" t="s">
        <v>746</v>
      </c>
      <c r="D28" s="105">
        <v>5118</v>
      </c>
      <c r="E28" s="106">
        <v>50118</v>
      </c>
      <c r="F28" s="104" t="s">
        <v>740</v>
      </c>
      <c r="G28" s="107">
        <v>8608208</v>
      </c>
      <c r="H28" s="108">
        <v>1066</v>
      </c>
      <c r="I28" s="104" t="s">
        <v>736</v>
      </c>
      <c r="J28" s="109" t="s">
        <v>728</v>
      </c>
      <c r="K28" s="109">
        <v>539</v>
      </c>
      <c r="L28" s="110"/>
      <c r="M28" s="111">
        <v>18100043</v>
      </c>
      <c r="N28" s="111"/>
      <c r="O28" s="111">
        <v>0</v>
      </c>
      <c r="P28" s="111"/>
      <c r="Q28" s="111">
        <v>0</v>
      </c>
      <c r="R28" s="111"/>
      <c r="S28" s="111">
        <v>0</v>
      </c>
      <c r="T28" s="111"/>
      <c r="U28" s="111">
        <v>0</v>
      </c>
      <c r="V28" s="111"/>
      <c r="W28" s="111">
        <v>0</v>
      </c>
      <c r="X28" s="111"/>
      <c r="Y28" s="111">
        <v>56262281</v>
      </c>
      <c r="Z28" s="111"/>
      <c r="AA28" s="108">
        <v>0</v>
      </c>
      <c r="AB28" s="112"/>
      <c r="AC28" s="113"/>
      <c r="AD28" s="112">
        <v>5202961</v>
      </c>
      <c r="AE28" s="112"/>
      <c r="AF28" s="112">
        <v>0</v>
      </c>
      <c r="AG28" s="112"/>
      <c r="AH28" s="112">
        <v>0</v>
      </c>
      <c r="AI28" s="112"/>
      <c r="AJ28" s="112">
        <v>0</v>
      </c>
      <c r="AK28" s="112"/>
      <c r="AL28" s="112">
        <v>0</v>
      </c>
      <c r="AM28" s="112"/>
      <c r="AN28" s="112">
        <v>3759786</v>
      </c>
      <c r="AO28" s="112"/>
      <c r="AP28" s="112">
        <v>0</v>
      </c>
      <c r="AQ28" s="103"/>
      <c r="AR28" s="114"/>
      <c r="AS28" s="115">
        <v>0.28749999999999998</v>
      </c>
      <c r="AT28" s="115"/>
      <c r="AU28" s="115"/>
      <c r="AV28" s="115"/>
      <c r="AW28" s="115"/>
      <c r="AX28" s="115"/>
      <c r="AY28" s="115"/>
      <c r="AZ28" s="115"/>
      <c r="BA28" s="115"/>
      <c r="BB28" s="115"/>
      <c r="BC28" s="115">
        <v>6.6799999999999998E-2</v>
      </c>
      <c r="BD28" s="115"/>
      <c r="BE28" s="115"/>
      <c r="BF28" s="103"/>
      <c r="BG28" s="103" t="s">
        <v>729</v>
      </c>
    </row>
    <row r="29" spans="1:59">
      <c r="A29" s="103" t="s">
        <v>776</v>
      </c>
      <c r="B29" s="103" t="s">
        <v>745</v>
      </c>
      <c r="C29" s="104" t="s">
        <v>746</v>
      </c>
      <c r="D29" s="105">
        <v>5118</v>
      </c>
      <c r="E29" s="106">
        <v>50118</v>
      </c>
      <c r="F29" s="104" t="s">
        <v>740</v>
      </c>
      <c r="G29" s="107">
        <v>8608208</v>
      </c>
      <c r="H29" s="108">
        <v>1066</v>
      </c>
      <c r="I29" s="104" t="s">
        <v>736</v>
      </c>
      <c r="J29" s="109" t="s">
        <v>735</v>
      </c>
      <c r="K29" s="109">
        <v>527</v>
      </c>
      <c r="L29" s="110"/>
      <c r="M29" s="111">
        <v>18100043</v>
      </c>
      <c r="N29" s="111"/>
      <c r="O29" s="111">
        <v>0</v>
      </c>
      <c r="P29" s="111"/>
      <c r="Q29" s="111">
        <v>0</v>
      </c>
      <c r="R29" s="111"/>
      <c r="S29" s="111">
        <v>0</v>
      </c>
      <c r="T29" s="111"/>
      <c r="U29" s="111">
        <v>0</v>
      </c>
      <c r="V29" s="111"/>
      <c r="W29" s="111">
        <v>0</v>
      </c>
      <c r="X29" s="111"/>
      <c r="Y29" s="111">
        <v>0</v>
      </c>
      <c r="Z29" s="111"/>
      <c r="AA29" s="108">
        <v>0</v>
      </c>
      <c r="AB29" s="112"/>
      <c r="AC29" s="113"/>
      <c r="AD29" s="112">
        <v>0</v>
      </c>
      <c r="AE29" s="112"/>
      <c r="AF29" s="112">
        <v>0</v>
      </c>
      <c r="AG29" s="112"/>
      <c r="AH29" s="112">
        <v>0</v>
      </c>
      <c r="AI29" s="112"/>
      <c r="AJ29" s="112">
        <v>0</v>
      </c>
      <c r="AK29" s="112"/>
      <c r="AL29" s="112">
        <v>0</v>
      </c>
      <c r="AM29" s="112"/>
      <c r="AN29" s="112">
        <v>0</v>
      </c>
      <c r="AO29" s="112"/>
      <c r="AP29" s="112">
        <v>0</v>
      </c>
      <c r="AQ29" s="103"/>
      <c r="AR29" s="114"/>
      <c r="AS29" s="115">
        <v>0</v>
      </c>
      <c r="AT29" s="115"/>
      <c r="AU29" s="115"/>
      <c r="AV29" s="115"/>
      <c r="AW29" s="115"/>
      <c r="AX29" s="115"/>
      <c r="AY29" s="115"/>
      <c r="AZ29" s="115"/>
      <c r="BA29" s="115"/>
      <c r="BB29" s="115"/>
      <c r="BC29" s="115"/>
      <c r="BD29" s="115"/>
      <c r="BE29" s="115"/>
      <c r="BF29" s="103"/>
      <c r="BG29" s="103" t="s">
        <v>729</v>
      </c>
    </row>
    <row r="30" spans="1:59">
      <c r="A30" s="103" t="s">
        <v>777</v>
      </c>
      <c r="B30" s="103" t="s">
        <v>778</v>
      </c>
      <c r="C30" s="104" t="s">
        <v>724</v>
      </c>
      <c r="D30" s="105">
        <v>2100</v>
      </c>
      <c r="E30" s="106">
        <v>20100</v>
      </c>
      <c r="F30" s="104" t="s">
        <v>725</v>
      </c>
      <c r="G30" s="107">
        <v>18351295</v>
      </c>
      <c r="H30" s="108">
        <v>1022</v>
      </c>
      <c r="I30" s="104" t="s">
        <v>736</v>
      </c>
      <c r="J30" s="109" t="s">
        <v>728</v>
      </c>
      <c r="K30" s="109">
        <v>1022</v>
      </c>
      <c r="L30" s="110"/>
      <c r="M30" s="111">
        <v>7034074</v>
      </c>
      <c r="N30" s="111"/>
      <c r="O30" s="111">
        <v>0</v>
      </c>
      <c r="P30" s="111"/>
      <c r="Q30" s="111">
        <v>0</v>
      </c>
      <c r="R30" s="111"/>
      <c r="S30" s="111">
        <v>0</v>
      </c>
      <c r="T30" s="111"/>
      <c r="U30" s="111">
        <v>0</v>
      </c>
      <c r="V30" s="111"/>
      <c r="W30" s="111">
        <v>0</v>
      </c>
      <c r="X30" s="111"/>
      <c r="Y30" s="111">
        <v>471350200</v>
      </c>
      <c r="Z30" s="111"/>
      <c r="AA30" s="108">
        <v>0</v>
      </c>
      <c r="AB30" s="112"/>
      <c r="AC30" s="113"/>
      <c r="AD30" s="112">
        <v>757533</v>
      </c>
      <c r="AE30" s="112"/>
      <c r="AF30" s="112">
        <v>0</v>
      </c>
      <c r="AG30" s="112"/>
      <c r="AH30" s="112">
        <v>0</v>
      </c>
      <c r="AI30" s="112"/>
      <c r="AJ30" s="112">
        <v>0</v>
      </c>
      <c r="AK30" s="112"/>
      <c r="AL30" s="112">
        <v>757533</v>
      </c>
      <c r="AM30" s="112"/>
      <c r="AN30" s="112">
        <v>54919600</v>
      </c>
      <c r="AO30" s="112"/>
      <c r="AP30" s="112">
        <v>0</v>
      </c>
      <c r="AQ30" s="103"/>
      <c r="AR30" s="114"/>
      <c r="AS30" s="115">
        <v>0.1077</v>
      </c>
      <c r="AT30" s="115"/>
      <c r="AU30" s="115"/>
      <c r="AV30" s="115"/>
      <c r="AW30" s="115"/>
      <c r="AX30" s="115"/>
      <c r="AY30" s="115"/>
      <c r="AZ30" s="115"/>
      <c r="BA30" s="115"/>
      <c r="BB30" s="115"/>
      <c r="BC30" s="115">
        <v>0.11650000000000001</v>
      </c>
      <c r="BD30" s="115"/>
      <c r="BE30" s="115"/>
      <c r="BF30" s="103"/>
      <c r="BG30" s="103" t="s">
        <v>729</v>
      </c>
    </row>
    <row r="31" spans="1:59">
      <c r="A31" s="103" t="s">
        <v>779</v>
      </c>
      <c r="B31" s="103" t="s">
        <v>780</v>
      </c>
      <c r="C31" s="104" t="s">
        <v>739</v>
      </c>
      <c r="D31" s="105">
        <v>9015</v>
      </c>
      <c r="E31" s="106">
        <v>90015</v>
      </c>
      <c r="F31" s="104" t="s">
        <v>766</v>
      </c>
      <c r="G31" s="107">
        <v>3281212</v>
      </c>
      <c r="H31" s="108">
        <v>996</v>
      </c>
      <c r="I31" s="104" t="s">
        <v>734</v>
      </c>
      <c r="J31" s="109" t="s">
        <v>728</v>
      </c>
      <c r="K31" s="109">
        <v>149</v>
      </c>
      <c r="L31" s="110"/>
      <c r="M31" s="111">
        <v>0</v>
      </c>
      <c r="N31" s="111"/>
      <c r="O31" s="111">
        <v>0</v>
      </c>
      <c r="P31" s="111"/>
      <c r="Q31" s="111">
        <v>0</v>
      </c>
      <c r="R31" s="111"/>
      <c r="S31" s="111">
        <v>0</v>
      </c>
      <c r="T31" s="111"/>
      <c r="U31" s="111">
        <v>0</v>
      </c>
      <c r="V31" s="111"/>
      <c r="W31" s="111">
        <v>0</v>
      </c>
      <c r="X31" s="111"/>
      <c r="Y31" s="111">
        <v>51453351</v>
      </c>
      <c r="Z31" s="111"/>
      <c r="AA31" s="108">
        <v>0</v>
      </c>
      <c r="AB31" s="112"/>
      <c r="AC31" s="113"/>
      <c r="AD31" s="112">
        <v>0</v>
      </c>
      <c r="AE31" s="112"/>
      <c r="AF31" s="112">
        <v>0</v>
      </c>
      <c r="AG31" s="112"/>
      <c r="AH31" s="112">
        <v>0</v>
      </c>
      <c r="AI31" s="112"/>
      <c r="AJ31" s="112">
        <v>0</v>
      </c>
      <c r="AK31" s="112"/>
      <c r="AL31" s="112">
        <v>0</v>
      </c>
      <c r="AM31" s="112"/>
      <c r="AN31" s="112">
        <v>5286597</v>
      </c>
      <c r="AO31" s="112"/>
      <c r="AP31" s="112">
        <v>0</v>
      </c>
      <c r="AQ31" s="103"/>
      <c r="AR31" s="114"/>
      <c r="AS31" s="115"/>
      <c r="AT31" s="115"/>
      <c r="AU31" s="115"/>
      <c r="AV31" s="115"/>
      <c r="AW31" s="115"/>
      <c r="AX31" s="115"/>
      <c r="AY31" s="115"/>
      <c r="AZ31" s="115"/>
      <c r="BA31" s="115"/>
      <c r="BB31" s="115"/>
      <c r="BC31" s="115">
        <v>0.1027</v>
      </c>
      <c r="BD31" s="115"/>
      <c r="BE31" s="115"/>
      <c r="BF31" s="103"/>
      <c r="BG31" s="103" t="s">
        <v>729</v>
      </c>
    </row>
    <row r="32" spans="1:59">
      <c r="A32" s="103" t="s">
        <v>781</v>
      </c>
      <c r="B32" s="103" t="s">
        <v>782</v>
      </c>
      <c r="C32" s="104" t="s">
        <v>783</v>
      </c>
      <c r="D32" s="105">
        <v>8</v>
      </c>
      <c r="E32" s="106">
        <v>8</v>
      </c>
      <c r="F32" s="104" t="s">
        <v>740</v>
      </c>
      <c r="G32" s="107">
        <v>1849898</v>
      </c>
      <c r="H32" s="108">
        <v>982</v>
      </c>
      <c r="I32" s="104" t="s">
        <v>734</v>
      </c>
      <c r="J32" s="109" t="s">
        <v>728</v>
      </c>
      <c r="K32" s="109">
        <v>116</v>
      </c>
      <c r="L32" s="110"/>
      <c r="M32" s="111">
        <v>0</v>
      </c>
      <c r="N32" s="111"/>
      <c r="O32" s="111">
        <v>0</v>
      </c>
      <c r="P32" s="111"/>
      <c r="Q32" s="111">
        <v>0</v>
      </c>
      <c r="R32" s="111"/>
      <c r="S32" s="111">
        <v>0</v>
      </c>
      <c r="T32" s="111"/>
      <c r="U32" s="111">
        <v>0</v>
      </c>
      <c r="V32" s="111"/>
      <c r="W32" s="111">
        <v>0</v>
      </c>
      <c r="X32" s="111"/>
      <c r="Y32" s="111">
        <v>54389715</v>
      </c>
      <c r="Z32" s="111"/>
      <c r="AA32" s="108">
        <v>0</v>
      </c>
      <c r="AB32" s="112"/>
      <c r="AC32" s="113"/>
      <c r="AD32" s="112">
        <v>0</v>
      </c>
      <c r="AE32" s="112"/>
      <c r="AF32" s="112">
        <v>0</v>
      </c>
      <c r="AG32" s="112"/>
      <c r="AH32" s="112">
        <v>0</v>
      </c>
      <c r="AI32" s="112"/>
      <c r="AJ32" s="112">
        <v>0</v>
      </c>
      <c r="AK32" s="112"/>
      <c r="AL32" s="112">
        <v>0</v>
      </c>
      <c r="AM32" s="112"/>
      <c r="AN32" s="112">
        <v>9045741</v>
      </c>
      <c r="AO32" s="112"/>
      <c r="AP32" s="112">
        <v>0</v>
      </c>
      <c r="AQ32" s="103"/>
      <c r="AR32" s="114"/>
      <c r="AS32" s="115"/>
      <c r="AT32" s="115"/>
      <c r="AU32" s="115"/>
      <c r="AV32" s="115"/>
      <c r="AW32" s="115"/>
      <c r="AX32" s="115"/>
      <c r="AY32" s="115"/>
      <c r="AZ32" s="115"/>
      <c r="BA32" s="115"/>
      <c r="BB32" s="115"/>
      <c r="BC32" s="115">
        <v>0.1663</v>
      </c>
      <c r="BD32" s="115"/>
      <c r="BE32" s="115"/>
      <c r="BF32" s="103"/>
      <c r="BG32" s="103" t="s">
        <v>729</v>
      </c>
    </row>
    <row r="33" spans="1:59">
      <c r="A33" s="103" t="s">
        <v>784</v>
      </c>
      <c r="B33" s="103" t="s">
        <v>785</v>
      </c>
      <c r="C33" s="104" t="s">
        <v>786</v>
      </c>
      <c r="D33" s="105">
        <v>4022</v>
      </c>
      <c r="E33" s="106">
        <v>40022</v>
      </c>
      <c r="F33" s="104" t="s">
        <v>740</v>
      </c>
      <c r="G33" s="107">
        <v>4515419</v>
      </c>
      <c r="H33" s="108">
        <v>943</v>
      </c>
      <c r="I33" s="104" t="s">
        <v>727</v>
      </c>
      <c r="J33" s="109" t="s">
        <v>728</v>
      </c>
      <c r="K33" s="109">
        <v>212</v>
      </c>
      <c r="L33" s="110"/>
      <c r="M33" s="111">
        <v>0</v>
      </c>
      <c r="N33" s="111"/>
      <c r="O33" s="111">
        <v>0</v>
      </c>
      <c r="P33" s="111"/>
      <c r="Q33" s="111">
        <v>0</v>
      </c>
      <c r="R33" s="111"/>
      <c r="S33" s="111">
        <v>0</v>
      </c>
      <c r="T33" s="111"/>
      <c r="U33" s="111">
        <v>0</v>
      </c>
      <c r="V33" s="111"/>
      <c r="W33" s="111">
        <v>0</v>
      </c>
      <c r="X33" s="111"/>
      <c r="Y33" s="111">
        <v>83566447</v>
      </c>
      <c r="Z33" s="111"/>
      <c r="AA33" s="108">
        <v>0</v>
      </c>
      <c r="AB33" s="112"/>
      <c r="AC33" s="113"/>
      <c r="AD33" s="112">
        <v>0</v>
      </c>
      <c r="AE33" s="112"/>
      <c r="AF33" s="112">
        <v>0</v>
      </c>
      <c r="AG33" s="112"/>
      <c r="AH33" s="112">
        <v>0</v>
      </c>
      <c r="AI33" s="112"/>
      <c r="AJ33" s="112">
        <v>0</v>
      </c>
      <c r="AK33" s="112"/>
      <c r="AL33" s="112">
        <v>0</v>
      </c>
      <c r="AM33" s="112"/>
      <c r="AN33" s="112">
        <v>19692749</v>
      </c>
      <c r="AO33" s="112"/>
      <c r="AP33" s="112">
        <v>0</v>
      </c>
      <c r="AQ33" s="103"/>
      <c r="AR33" s="114"/>
      <c r="AS33" s="115"/>
      <c r="AT33" s="115"/>
      <c r="AU33" s="115"/>
      <c r="AV33" s="115"/>
      <c r="AW33" s="115"/>
      <c r="AX33" s="115"/>
      <c r="AY33" s="115"/>
      <c r="AZ33" s="115"/>
      <c r="BA33" s="115"/>
      <c r="BB33" s="115"/>
      <c r="BC33" s="115">
        <v>0.23569999999999999</v>
      </c>
      <c r="BD33" s="115"/>
      <c r="BE33" s="115"/>
      <c r="BF33" s="103"/>
      <c r="BG33" s="103" t="s">
        <v>729</v>
      </c>
    </row>
    <row r="34" spans="1:59">
      <c r="A34" s="103" t="s">
        <v>787</v>
      </c>
      <c r="B34" s="103" t="s">
        <v>788</v>
      </c>
      <c r="C34" s="104" t="s">
        <v>755</v>
      </c>
      <c r="D34" s="105">
        <v>3022</v>
      </c>
      <c r="E34" s="106">
        <v>30022</v>
      </c>
      <c r="F34" s="104" t="s">
        <v>740</v>
      </c>
      <c r="G34" s="107">
        <v>1733853</v>
      </c>
      <c r="H34" s="108">
        <v>930</v>
      </c>
      <c r="I34" s="104" t="s">
        <v>734</v>
      </c>
      <c r="J34" s="109" t="s">
        <v>728</v>
      </c>
      <c r="K34" s="109">
        <v>58</v>
      </c>
      <c r="L34" s="110"/>
      <c r="M34" s="111">
        <v>0</v>
      </c>
      <c r="N34" s="111"/>
      <c r="O34" s="111">
        <v>0</v>
      </c>
      <c r="P34" s="111"/>
      <c r="Q34" s="111">
        <v>0</v>
      </c>
      <c r="R34" s="111"/>
      <c r="S34" s="111">
        <v>0</v>
      </c>
      <c r="T34" s="111"/>
      <c r="U34" s="111">
        <v>0</v>
      </c>
      <c r="V34" s="111"/>
      <c r="W34" s="111">
        <v>0</v>
      </c>
      <c r="X34" s="111"/>
      <c r="Y34" s="111">
        <v>30547053</v>
      </c>
      <c r="Z34" s="111"/>
      <c r="AA34" s="108">
        <v>0</v>
      </c>
      <c r="AB34" s="112"/>
      <c r="AC34" s="113"/>
      <c r="AD34" s="112">
        <v>0</v>
      </c>
      <c r="AE34" s="112"/>
      <c r="AF34" s="112">
        <v>0</v>
      </c>
      <c r="AG34" s="112"/>
      <c r="AH34" s="112">
        <v>0</v>
      </c>
      <c r="AI34" s="112"/>
      <c r="AJ34" s="112">
        <v>0</v>
      </c>
      <c r="AK34" s="112"/>
      <c r="AL34" s="112">
        <v>0</v>
      </c>
      <c r="AM34" s="112"/>
      <c r="AN34" s="112">
        <v>2154526</v>
      </c>
      <c r="AO34" s="112"/>
      <c r="AP34" s="112">
        <v>0</v>
      </c>
      <c r="AQ34" s="103"/>
      <c r="AR34" s="114"/>
      <c r="AS34" s="115"/>
      <c r="AT34" s="115"/>
      <c r="AU34" s="115"/>
      <c r="AV34" s="115"/>
      <c r="AW34" s="115"/>
      <c r="AX34" s="115"/>
      <c r="AY34" s="115"/>
      <c r="AZ34" s="115"/>
      <c r="BA34" s="115"/>
      <c r="BB34" s="115"/>
      <c r="BC34" s="115">
        <v>7.0499999999999993E-2</v>
      </c>
      <c r="BD34" s="115"/>
      <c r="BE34" s="115"/>
      <c r="BF34" s="103"/>
      <c r="BG34" s="103" t="s">
        <v>729</v>
      </c>
    </row>
    <row r="35" spans="1:59">
      <c r="A35" s="103" t="s">
        <v>789</v>
      </c>
      <c r="B35" s="103" t="s">
        <v>790</v>
      </c>
      <c r="C35" s="104" t="s">
        <v>739</v>
      </c>
      <c r="D35" s="105">
        <v>9026</v>
      </c>
      <c r="E35" s="106">
        <v>90026</v>
      </c>
      <c r="F35" s="104" t="s">
        <v>740</v>
      </c>
      <c r="G35" s="107">
        <v>2956746</v>
      </c>
      <c r="H35" s="108">
        <v>906</v>
      </c>
      <c r="I35" s="104" t="s">
        <v>734</v>
      </c>
      <c r="J35" s="109" t="s">
        <v>728</v>
      </c>
      <c r="K35" s="109">
        <v>103</v>
      </c>
      <c r="L35" s="110"/>
      <c r="M35" s="111">
        <v>0</v>
      </c>
      <c r="N35" s="111"/>
      <c r="O35" s="111">
        <v>0</v>
      </c>
      <c r="P35" s="111"/>
      <c r="Q35" s="111">
        <v>0</v>
      </c>
      <c r="R35" s="111"/>
      <c r="S35" s="111">
        <v>0</v>
      </c>
      <c r="T35" s="111"/>
      <c r="U35" s="111">
        <v>0</v>
      </c>
      <c r="V35" s="111"/>
      <c r="W35" s="111">
        <v>0</v>
      </c>
      <c r="X35" s="111"/>
      <c r="Y35" s="111">
        <v>52502166</v>
      </c>
      <c r="Z35" s="111"/>
      <c r="AA35" s="108">
        <v>0</v>
      </c>
      <c r="AB35" s="112"/>
      <c r="AC35" s="113"/>
      <c r="AD35" s="112">
        <v>0</v>
      </c>
      <c r="AE35" s="112"/>
      <c r="AF35" s="112">
        <v>0</v>
      </c>
      <c r="AG35" s="112"/>
      <c r="AH35" s="112">
        <v>0</v>
      </c>
      <c r="AI35" s="112"/>
      <c r="AJ35" s="112">
        <v>0</v>
      </c>
      <c r="AK35" s="112"/>
      <c r="AL35" s="112">
        <v>0</v>
      </c>
      <c r="AM35" s="112"/>
      <c r="AN35" s="112">
        <v>9579691</v>
      </c>
      <c r="AO35" s="112"/>
      <c r="AP35" s="112">
        <v>0</v>
      </c>
      <c r="AQ35" s="103"/>
      <c r="AR35" s="114"/>
      <c r="AS35" s="115"/>
      <c r="AT35" s="115"/>
      <c r="AU35" s="115"/>
      <c r="AV35" s="115"/>
      <c r="AW35" s="115"/>
      <c r="AX35" s="115"/>
      <c r="AY35" s="115"/>
      <c r="AZ35" s="115"/>
      <c r="BA35" s="115"/>
      <c r="BB35" s="115"/>
      <c r="BC35" s="115">
        <v>0.1825</v>
      </c>
      <c r="BD35" s="115"/>
      <c r="BE35" s="115"/>
      <c r="BF35" s="103"/>
      <c r="BG35" s="103" t="s">
        <v>729</v>
      </c>
    </row>
    <row r="36" spans="1:59">
      <c r="A36" s="103" t="s">
        <v>791</v>
      </c>
      <c r="B36" s="103" t="s">
        <v>792</v>
      </c>
      <c r="C36" s="104" t="s">
        <v>793</v>
      </c>
      <c r="D36" s="105">
        <v>5027</v>
      </c>
      <c r="E36" s="106">
        <v>50027</v>
      </c>
      <c r="F36" s="104" t="s">
        <v>725</v>
      </c>
      <c r="G36" s="107">
        <v>2650890</v>
      </c>
      <c r="H36" s="108">
        <v>823</v>
      </c>
      <c r="I36" s="104" t="s">
        <v>734</v>
      </c>
      <c r="J36" s="109" t="s">
        <v>728</v>
      </c>
      <c r="K36" s="109">
        <v>76</v>
      </c>
      <c r="L36" s="110"/>
      <c r="M36" s="111">
        <v>0</v>
      </c>
      <c r="N36" s="111"/>
      <c r="O36" s="111">
        <v>0</v>
      </c>
      <c r="P36" s="111"/>
      <c r="Q36" s="111">
        <v>0</v>
      </c>
      <c r="R36" s="111"/>
      <c r="S36" s="111">
        <v>0</v>
      </c>
      <c r="T36" s="111"/>
      <c r="U36" s="111">
        <v>0</v>
      </c>
      <c r="V36" s="111"/>
      <c r="W36" s="111">
        <v>0</v>
      </c>
      <c r="X36" s="111"/>
      <c r="Y36" s="111">
        <v>31871652</v>
      </c>
      <c r="Z36" s="111"/>
      <c r="AA36" s="108">
        <v>0</v>
      </c>
      <c r="AB36" s="112"/>
      <c r="AC36" s="113"/>
      <c r="AD36" s="112">
        <v>0</v>
      </c>
      <c r="AE36" s="112"/>
      <c r="AF36" s="112">
        <v>0</v>
      </c>
      <c r="AG36" s="112"/>
      <c r="AH36" s="112">
        <v>0</v>
      </c>
      <c r="AI36" s="112"/>
      <c r="AJ36" s="112">
        <v>0</v>
      </c>
      <c r="AK36" s="112"/>
      <c r="AL36" s="112">
        <v>0</v>
      </c>
      <c r="AM36" s="112"/>
      <c r="AN36" s="112">
        <v>4153269</v>
      </c>
      <c r="AO36" s="112"/>
      <c r="AP36" s="112">
        <v>0</v>
      </c>
      <c r="AQ36" s="103"/>
      <c r="AR36" s="114"/>
      <c r="AS36" s="115"/>
      <c r="AT36" s="115"/>
      <c r="AU36" s="115"/>
      <c r="AV36" s="115"/>
      <c r="AW36" s="115"/>
      <c r="AX36" s="115"/>
      <c r="AY36" s="115"/>
      <c r="AZ36" s="115"/>
      <c r="BA36" s="115"/>
      <c r="BB36" s="115"/>
      <c r="BC36" s="115">
        <v>0.1303</v>
      </c>
      <c r="BD36" s="115"/>
      <c r="BE36" s="115"/>
      <c r="BF36" s="103"/>
      <c r="BG36" s="103" t="s">
        <v>729</v>
      </c>
    </row>
    <row r="37" spans="1:59">
      <c r="A37" s="103" t="s">
        <v>791</v>
      </c>
      <c r="B37" s="103" t="s">
        <v>792</v>
      </c>
      <c r="C37" s="104" t="s">
        <v>793</v>
      </c>
      <c r="D37" s="105">
        <v>5027</v>
      </c>
      <c r="E37" s="106">
        <v>50027</v>
      </c>
      <c r="F37" s="104" t="s">
        <v>725</v>
      </c>
      <c r="G37" s="107">
        <v>2650890</v>
      </c>
      <c r="H37" s="108">
        <v>823</v>
      </c>
      <c r="I37" s="104" t="s">
        <v>736</v>
      </c>
      <c r="J37" s="109" t="s">
        <v>735</v>
      </c>
      <c r="K37" s="109">
        <v>20</v>
      </c>
      <c r="L37" s="110"/>
      <c r="M37" s="111">
        <v>213780</v>
      </c>
      <c r="N37" s="111"/>
      <c r="O37" s="111">
        <v>0</v>
      </c>
      <c r="P37" s="111"/>
      <c r="Q37" s="111">
        <v>0</v>
      </c>
      <c r="R37" s="111"/>
      <c r="S37" s="111">
        <v>0</v>
      </c>
      <c r="T37" s="111"/>
      <c r="U37" s="111">
        <v>0</v>
      </c>
      <c r="V37" s="111"/>
      <c r="W37" s="111">
        <v>0</v>
      </c>
      <c r="X37" s="111"/>
      <c r="Y37" s="111">
        <v>0</v>
      </c>
      <c r="Z37" s="111"/>
      <c r="AA37" s="108">
        <v>0</v>
      </c>
      <c r="AB37" s="112"/>
      <c r="AC37" s="113"/>
      <c r="AD37" s="112">
        <v>63438</v>
      </c>
      <c r="AE37" s="112"/>
      <c r="AF37" s="112">
        <v>0</v>
      </c>
      <c r="AG37" s="112"/>
      <c r="AH37" s="112">
        <v>0</v>
      </c>
      <c r="AI37" s="112"/>
      <c r="AJ37" s="112">
        <v>0</v>
      </c>
      <c r="AK37" s="112"/>
      <c r="AL37" s="112">
        <v>0</v>
      </c>
      <c r="AM37" s="112"/>
      <c r="AN37" s="112">
        <v>0</v>
      </c>
      <c r="AO37" s="112"/>
      <c r="AP37" s="112">
        <v>0</v>
      </c>
      <c r="AQ37" s="103"/>
      <c r="AR37" s="114"/>
      <c r="AS37" s="115">
        <v>0.29670000000000002</v>
      </c>
      <c r="AT37" s="115"/>
      <c r="AU37" s="115"/>
      <c r="AV37" s="115"/>
      <c r="AW37" s="115"/>
      <c r="AX37" s="115"/>
      <c r="AY37" s="115"/>
      <c r="AZ37" s="115"/>
      <c r="BA37" s="115"/>
      <c r="BB37" s="115"/>
      <c r="BC37" s="115"/>
      <c r="BD37" s="115"/>
      <c r="BE37" s="115"/>
      <c r="BF37" s="103"/>
      <c r="BG37" s="103" t="s">
        <v>729</v>
      </c>
    </row>
    <row r="38" spans="1:59">
      <c r="A38" s="103" t="s">
        <v>794</v>
      </c>
      <c r="B38" s="103" t="s">
        <v>795</v>
      </c>
      <c r="C38" s="104" t="s">
        <v>739</v>
      </c>
      <c r="D38" s="105">
        <v>9013</v>
      </c>
      <c r="E38" s="106">
        <v>90013</v>
      </c>
      <c r="F38" s="104" t="s">
        <v>740</v>
      </c>
      <c r="G38" s="107">
        <v>1664496</v>
      </c>
      <c r="H38" s="108">
        <v>635</v>
      </c>
      <c r="I38" s="104" t="s">
        <v>734</v>
      </c>
      <c r="J38" s="109" t="s">
        <v>728</v>
      </c>
      <c r="K38" s="109">
        <v>61</v>
      </c>
      <c r="L38" s="110"/>
      <c r="M38" s="111">
        <v>0</v>
      </c>
      <c r="N38" s="111"/>
      <c r="O38" s="111">
        <v>0</v>
      </c>
      <c r="P38" s="111"/>
      <c r="Q38" s="111">
        <v>0</v>
      </c>
      <c r="R38" s="111"/>
      <c r="S38" s="111">
        <v>0</v>
      </c>
      <c r="T38" s="111"/>
      <c r="U38" s="111">
        <v>0</v>
      </c>
      <c r="V38" s="111"/>
      <c r="W38" s="111">
        <v>0</v>
      </c>
      <c r="X38" s="111"/>
      <c r="Y38" s="111">
        <v>22062611</v>
      </c>
      <c r="Z38" s="111"/>
      <c r="AA38" s="108">
        <v>0</v>
      </c>
      <c r="AB38" s="112"/>
      <c r="AC38" s="113"/>
      <c r="AD38" s="112">
        <v>0</v>
      </c>
      <c r="AE38" s="112"/>
      <c r="AF38" s="112">
        <v>0</v>
      </c>
      <c r="AG38" s="112"/>
      <c r="AH38" s="112">
        <v>0</v>
      </c>
      <c r="AI38" s="112"/>
      <c r="AJ38" s="112">
        <v>0</v>
      </c>
      <c r="AK38" s="112"/>
      <c r="AL38" s="112">
        <v>0</v>
      </c>
      <c r="AM38" s="112"/>
      <c r="AN38" s="112">
        <v>3093884</v>
      </c>
      <c r="AO38" s="112"/>
      <c r="AP38" s="112">
        <v>0</v>
      </c>
      <c r="AQ38" s="103"/>
      <c r="AR38" s="114"/>
      <c r="AS38" s="115"/>
      <c r="AT38" s="115"/>
      <c r="AU38" s="115"/>
      <c r="AV38" s="115"/>
      <c r="AW38" s="115"/>
      <c r="AX38" s="115"/>
      <c r="AY38" s="115"/>
      <c r="AZ38" s="115"/>
      <c r="BA38" s="115"/>
      <c r="BB38" s="115"/>
      <c r="BC38" s="115">
        <v>0.14019999999999999</v>
      </c>
      <c r="BD38" s="115"/>
      <c r="BE38" s="115"/>
      <c r="BF38" s="103"/>
      <c r="BG38" s="103" t="s">
        <v>729</v>
      </c>
    </row>
    <row r="39" spans="1:59">
      <c r="A39" s="103" t="s">
        <v>796</v>
      </c>
      <c r="B39" s="103" t="s">
        <v>797</v>
      </c>
      <c r="C39" s="104" t="s">
        <v>739</v>
      </c>
      <c r="D39" s="105">
        <v>9003</v>
      </c>
      <c r="E39" s="106">
        <v>90003</v>
      </c>
      <c r="F39" s="104" t="s">
        <v>740</v>
      </c>
      <c r="G39" s="107">
        <v>3281212</v>
      </c>
      <c r="H39" s="108">
        <v>616</v>
      </c>
      <c r="I39" s="104" t="s">
        <v>727</v>
      </c>
      <c r="J39" s="109" t="s">
        <v>728</v>
      </c>
      <c r="K39" s="109">
        <v>599</v>
      </c>
      <c r="L39" s="110"/>
      <c r="M39" s="111">
        <v>0</v>
      </c>
      <c r="N39" s="111"/>
      <c r="O39" s="111">
        <v>0</v>
      </c>
      <c r="P39" s="111"/>
      <c r="Q39" s="111">
        <v>0</v>
      </c>
      <c r="R39" s="111"/>
      <c r="S39" s="111">
        <v>0</v>
      </c>
      <c r="T39" s="111"/>
      <c r="U39" s="111">
        <v>0</v>
      </c>
      <c r="V39" s="111"/>
      <c r="W39" s="111">
        <v>0</v>
      </c>
      <c r="X39" s="111"/>
      <c r="Y39" s="111">
        <v>298200780</v>
      </c>
      <c r="Z39" s="111"/>
      <c r="AA39" s="108">
        <v>0</v>
      </c>
      <c r="AB39" s="112"/>
      <c r="AC39" s="113"/>
      <c r="AD39" s="112">
        <v>0</v>
      </c>
      <c r="AE39" s="112"/>
      <c r="AF39" s="112">
        <v>0</v>
      </c>
      <c r="AG39" s="112"/>
      <c r="AH39" s="112">
        <v>0</v>
      </c>
      <c r="AI39" s="112"/>
      <c r="AJ39" s="112">
        <v>0</v>
      </c>
      <c r="AK39" s="112"/>
      <c r="AL39" s="112">
        <v>0</v>
      </c>
      <c r="AM39" s="112"/>
      <c r="AN39" s="112">
        <v>61097126</v>
      </c>
      <c r="AO39" s="112"/>
      <c r="AP39" s="112">
        <v>0</v>
      </c>
      <c r="AQ39" s="103"/>
      <c r="AR39" s="114"/>
      <c r="AS39" s="115"/>
      <c r="AT39" s="115"/>
      <c r="AU39" s="115"/>
      <c r="AV39" s="115"/>
      <c r="AW39" s="115"/>
      <c r="AX39" s="115"/>
      <c r="AY39" s="115"/>
      <c r="AZ39" s="115"/>
      <c r="BA39" s="115"/>
      <c r="BB39" s="115"/>
      <c r="BC39" s="115">
        <v>0.2049</v>
      </c>
      <c r="BD39" s="115"/>
      <c r="BE39" s="115"/>
      <c r="BF39" s="103"/>
      <c r="BG39" s="103" t="s">
        <v>729</v>
      </c>
    </row>
    <row r="40" spans="1:59">
      <c r="A40" s="103" t="s">
        <v>798</v>
      </c>
      <c r="B40" s="103" t="s">
        <v>799</v>
      </c>
      <c r="C40" s="104" t="s">
        <v>800</v>
      </c>
      <c r="D40" s="105">
        <v>7006</v>
      </c>
      <c r="E40" s="106">
        <v>70006</v>
      </c>
      <c r="F40" s="104" t="s">
        <v>740</v>
      </c>
      <c r="G40" s="107">
        <v>2150706</v>
      </c>
      <c r="H40" s="108">
        <v>493</v>
      </c>
      <c r="I40" s="104" t="s">
        <v>734</v>
      </c>
      <c r="J40" s="109" t="s">
        <v>728</v>
      </c>
      <c r="K40" s="109">
        <v>50</v>
      </c>
      <c r="L40" s="110"/>
      <c r="M40" s="111">
        <v>0</v>
      </c>
      <c r="N40" s="111"/>
      <c r="O40" s="111">
        <v>0</v>
      </c>
      <c r="P40" s="111"/>
      <c r="Q40" s="111">
        <v>0</v>
      </c>
      <c r="R40" s="111"/>
      <c r="S40" s="111">
        <v>0</v>
      </c>
      <c r="T40" s="111"/>
      <c r="U40" s="111">
        <v>0</v>
      </c>
      <c r="V40" s="111"/>
      <c r="W40" s="111">
        <v>0</v>
      </c>
      <c r="X40" s="111"/>
      <c r="Y40" s="111">
        <v>36496148</v>
      </c>
      <c r="Z40" s="111"/>
      <c r="AA40" s="108">
        <v>0</v>
      </c>
      <c r="AB40" s="112"/>
      <c r="AC40" s="113"/>
      <c r="AD40" s="112">
        <v>0</v>
      </c>
      <c r="AE40" s="112"/>
      <c r="AF40" s="112">
        <v>0</v>
      </c>
      <c r="AG40" s="112"/>
      <c r="AH40" s="112">
        <v>0</v>
      </c>
      <c r="AI40" s="112"/>
      <c r="AJ40" s="112">
        <v>0</v>
      </c>
      <c r="AK40" s="112"/>
      <c r="AL40" s="112">
        <v>0</v>
      </c>
      <c r="AM40" s="112"/>
      <c r="AN40" s="112">
        <v>5934378</v>
      </c>
      <c r="AO40" s="112"/>
      <c r="AP40" s="112">
        <v>0</v>
      </c>
      <c r="AQ40" s="103"/>
      <c r="AR40" s="114"/>
      <c r="AS40" s="115"/>
      <c r="AT40" s="115"/>
      <c r="AU40" s="115"/>
      <c r="AV40" s="115"/>
      <c r="AW40" s="115"/>
      <c r="AX40" s="115"/>
      <c r="AY40" s="115"/>
      <c r="AZ40" s="115"/>
      <c r="BA40" s="115"/>
      <c r="BB40" s="115"/>
      <c r="BC40" s="115">
        <v>0.16259999999999999</v>
      </c>
      <c r="BD40" s="115"/>
      <c r="BE40" s="115"/>
      <c r="BF40" s="103"/>
      <c r="BG40" s="103" t="s">
        <v>729</v>
      </c>
    </row>
    <row r="41" spans="1:59">
      <c r="A41" s="103" t="s">
        <v>801</v>
      </c>
      <c r="B41" s="103" t="s">
        <v>802</v>
      </c>
      <c r="C41" s="104" t="s">
        <v>803</v>
      </c>
      <c r="D41" s="105">
        <v>5015</v>
      </c>
      <c r="E41" s="106">
        <v>50015</v>
      </c>
      <c r="F41" s="104" t="s">
        <v>740</v>
      </c>
      <c r="G41" s="107">
        <v>1780673</v>
      </c>
      <c r="H41" s="108">
        <v>418</v>
      </c>
      <c r="I41" s="104" t="s">
        <v>734</v>
      </c>
      <c r="J41" s="109" t="s">
        <v>728</v>
      </c>
      <c r="K41" s="109">
        <v>6</v>
      </c>
      <c r="L41" s="110"/>
      <c r="M41" s="111">
        <v>0</v>
      </c>
      <c r="N41" s="111"/>
      <c r="O41" s="111">
        <v>0</v>
      </c>
      <c r="P41" s="111"/>
      <c r="Q41" s="111">
        <v>0</v>
      </c>
      <c r="R41" s="111"/>
      <c r="S41" s="111">
        <v>0</v>
      </c>
      <c r="T41" s="111"/>
      <c r="U41" s="111">
        <v>0</v>
      </c>
      <c r="V41" s="111"/>
      <c r="W41" s="111">
        <v>0</v>
      </c>
      <c r="X41" s="111"/>
      <c r="Y41" s="111">
        <v>11321758</v>
      </c>
      <c r="Z41" s="111"/>
      <c r="AA41" s="108">
        <v>0</v>
      </c>
      <c r="AB41" s="112"/>
      <c r="AC41" s="113"/>
      <c r="AD41" s="112">
        <v>0</v>
      </c>
      <c r="AE41" s="112"/>
      <c r="AF41" s="112">
        <v>0</v>
      </c>
      <c r="AG41" s="112"/>
      <c r="AH41" s="112">
        <v>0</v>
      </c>
      <c r="AI41" s="112"/>
      <c r="AJ41" s="112">
        <v>0</v>
      </c>
      <c r="AK41" s="112"/>
      <c r="AL41" s="112">
        <v>0</v>
      </c>
      <c r="AM41" s="112"/>
      <c r="AN41" s="112">
        <v>625941</v>
      </c>
      <c r="AO41" s="112"/>
      <c r="AP41" s="112">
        <v>0</v>
      </c>
      <c r="AQ41" s="103"/>
      <c r="AR41" s="114"/>
      <c r="AS41" s="115"/>
      <c r="AT41" s="115"/>
      <c r="AU41" s="115"/>
      <c r="AV41" s="115"/>
      <c r="AW41" s="115"/>
      <c r="AX41" s="115"/>
      <c r="AY41" s="115"/>
      <c r="AZ41" s="115"/>
      <c r="BA41" s="115"/>
      <c r="BB41" s="115"/>
      <c r="BC41" s="115">
        <v>5.5300000000000002E-2</v>
      </c>
      <c r="BD41" s="115"/>
      <c r="BE41" s="115"/>
      <c r="BF41" s="103"/>
      <c r="BG41" s="103" t="s">
        <v>729</v>
      </c>
    </row>
    <row r="42" spans="1:59">
      <c r="A42" s="103" t="s">
        <v>801</v>
      </c>
      <c r="B42" s="103" t="s">
        <v>802</v>
      </c>
      <c r="C42" s="104" t="s">
        <v>803</v>
      </c>
      <c r="D42" s="105">
        <v>5015</v>
      </c>
      <c r="E42" s="106">
        <v>50015</v>
      </c>
      <c r="F42" s="104" t="s">
        <v>740</v>
      </c>
      <c r="G42" s="107">
        <v>1780673</v>
      </c>
      <c r="H42" s="108">
        <v>418</v>
      </c>
      <c r="I42" s="104" t="s">
        <v>727</v>
      </c>
      <c r="J42" s="109" t="s">
        <v>728</v>
      </c>
      <c r="K42" s="109">
        <v>16</v>
      </c>
      <c r="L42" s="110"/>
      <c r="M42" s="111">
        <v>0</v>
      </c>
      <c r="N42" s="111"/>
      <c r="O42" s="111">
        <v>0</v>
      </c>
      <c r="P42" s="111"/>
      <c r="Q42" s="111">
        <v>0</v>
      </c>
      <c r="R42" s="111"/>
      <c r="S42" s="111">
        <v>0</v>
      </c>
      <c r="T42" s="111"/>
      <c r="U42" s="111">
        <v>0</v>
      </c>
      <c r="V42" s="111"/>
      <c r="W42" s="111">
        <v>0</v>
      </c>
      <c r="X42" s="111"/>
      <c r="Y42" s="111">
        <v>20768378</v>
      </c>
      <c r="Z42" s="111"/>
      <c r="AA42" s="108">
        <v>0</v>
      </c>
      <c r="AB42" s="112"/>
      <c r="AC42" s="113"/>
      <c r="AD42" s="112">
        <v>0</v>
      </c>
      <c r="AE42" s="112"/>
      <c r="AF42" s="112">
        <v>0</v>
      </c>
      <c r="AG42" s="112"/>
      <c r="AH42" s="112">
        <v>0</v>
      </c>
      <c r="AI42" s="112"/>
      <c r="AJ42" s="112">
        <v>0</v>
      </c>
      <c r="AK42" s="112"/>
      <c r="AL42" s="112">
        <v>0</v>
      </c>
      <c r="AM42" s="112"/>
      <c r="AN42" s="112">
        <v>2295631</v>
      </c>
      <c r="AO42" s="112"/>
      <c r="AP42" s="112">
        <v>0</v>
      </c>
      <c r="AQ42" s="103"/>
      <c r="AR42" s="114"/>
      <c r="AS42" s="115"/>
      <c r="AT42" s="115"/>
      <c r="AU42" s="115"/>
      <c r="AV42" s="115"/>
      <c r="AW42" s="115"/>
      <c r="AX42" s="115"/>
      <c r="AY42" s="115"/>
      <c r="AZ42" s="115"/>
      <c r="BA42" s="115"/>
      <c r="BB42" s="115"/>
      <c r="BC42" s="115">
        <v>0.1105</v>
      </c>
      <c r="BD42" s="115"/>
      <c r="BE42" s="115"/>
      <c r="BF42" s="103"/>
      <c r="BG42" s="103" t="s">
        <v>729</v>
      </c>
    </row>
    <row r="43" spans="1:59">
      <c r="A43" s="103" t="s">
        <v>804</v>
      </c>
      <c r="B43" s="103" t="s">
        <v>805</v>
      </c>
      <c r="C43" s="104" t="s">
        <v>806</v>
      </c>
      <c r="D43" s="105">
        <v>3083</v>
      </c>
      <c r="E43" s="106">
        <v>30083</v>
      </c>
      <c r="F43" s="104" t="s">
        <v>740</v>
      </c>
      <c r="G43" s="107">
        <v>1439666</v>
      </c>
      <c r="H43" s="108">
        <v>417</v>
      </c>
      <c r="I43" s="104" t="s">
        <v>734</v>
      </c>
      <c r="J43" s="109" t="s">
        <v>728</v>
      </c>
      <c r="K43" s="109">
        <v>6</v>
      </c>
      <c r="L43" s="110"/>
      <c r="M43" s="111">
        <v>0</v>
      </c>
      <c r="N43" s="111"/>
      <c r="O43" s="111">
        <v>0</v>
      </c>
      <c r="P43" s="111"/>
      <c r="Q43" s="111">
        <v>0</v>
      </c>
      <c r="R43" s="111"/>
      <c r="S43" s="111">
        <v>0</v>
      </c>
      <c r="T43" s="111"/>
      <c r="U43" s="111">
        <v>0</v>
      </c>
      <c r="V43" s="111"/>
      <c r="W43" s="111">
        <v>0</v>
      </c>
      <c r="X43" s="111"/>
      <c r="Y43" s="111">
        <v>3318000</v>
      </c>
      <c r="Z43" s="111"/>
      <c r="AA43" s="108">
        <v>0</v>
      </c>
      <c r="AB43" s="112"/>
      <c r="AC43" s="113"/>
      <c r="AD43" s="112">
        <v>0</v>
      </c>
      <c r="AE43" s="112"/>
      <c r="AF43" s="112">
        <v>0</v>
      </c>
      <c r="AG43" s="112"/>
      <c r="AH43" s="112">
        <v>0</v>
      </c>
      <c r="AI43" s="112"/>
      <c r="AJ43" s="112">
        <v>0</v>
      </c>
      <c r="AK43" s="112"/>
      <c r="AL43" s="112">
        <v>0</v>
      </c>
      <c r="AM43" s="112"/>
      <c r="AN43" s="112">
        <v>345837</v>
      </c>
      <c r="AO43" s="112"/>
      <c r="AP43" s="112">
        <v>0</v>
      </c>
      <c r="AQ43" s="103"/>
      <c r="AR43" s="114"/>
      <c r="AS43" s="115"/>
      <c r="AT43" s="115"/>
      <c r="AU43" s="115"/>
      <c r="AV43" s="115"/>
      <c r="AW43" s="115"/>
      <c r="AX43" s="115"/>
      <c r="AY43" s="115"/>
      <c r="AZ43" s="115"/>
      <c r="BA43" s="115"/>
      <c r="BB43" s="115"/>
      <c r="BC43" s="115">
        <v>0.1042</v>
      </c>
      <c r="BD43" s="115"/>
      <c r="BE43" s="115"/>
      <c r="BF43" s="103"/>
      <c r="BG43" s="103" t="s">
        <v>729</v>
      </c>
    </row>
    <row r="44" spans="1:59">
      <c r="A44" s="103" t="s">
        <v>807</v>
      </c>
      <c r="B44" s="103" t="s">
        <v>808</v>
      </c>
      <c r="C44" s="104" t="s">
        <v>809</v>
      </c>
      <c r="D44" s="105">
        <v>4008</v>
      </c>
      <c r="E44" s="106">
        <v>40008</v>
      </c>
      <c r="F44" s="104" t="s">
        <v>766</v>
      </c>
      <c r="G44" s="107">
        <v>1249442</v>
      </c>
      <c r="H44" s="108">
        <v>409</v>
      </c>
      <c r="I44" s="104" t="s">
        <v>734</v>
      </c>
      <c r="J44" s="109" t="s">
        <v>728</v>
      </c>
      <c r="K44" s="109">
        <v>36</v>
      </c>
      <c r="L44" s="110"/>
      <c r="M44" s="111">
        <v>0</v>
      </c>
      <c r="N44" s="111"/>
      <c r="O44" s="111">
        <v>0</v>
      </c>
      <c r="P44" s="111"/>
      <c r="Q44" s="111">
        <v>0</v>
      </c>
      <c r="R44" s="111"/>
      <c r="S44" s="111">
        <v>0</v>
      </c>
      <c r="T44" s="111"/>
      <c r="U44" s="111">
        <v>0</v>
      </c>
      <c r="V44" s="111"/>
      <c r="W44" s="111">
        <v>0</v>
      </c>
      <c r="X44" s="111"/>
      <c r="Y44" s="111">
        <v>16786660</v>
      </c>
      <c r="Z44" s="111"/>
      <c r="AA44" s="108">
        <v>0</v>
      </c>
      <c r="AB44" s="112"/>
      <c r="AC44" s="113"/>
      <c r="AD44" s="112">
        <v>0</v>
      </c>
      <c r="AE44" s="112"/>
      <c r="AF44" s="112">
        <v>0</v>
      </c>
      <c r="AG44" s="112"/>
      <c r="AH44" s="112">
        <v>0</v>
      </c>
      <c r="AI44" s="112"/>
      <c r="AJ44" s="112">
        <v>0</v>
      </c>
      <c r="AK44" s="112"/>
      <c r="AL44" s="112">
        <v>0</v>
      </c>
      <c r="AM44" s="112"/>
      <c r="AN44" s="112">
        <v>2267804</v>
      </c>
      <c r="AO44" s="112"/>
      <c r="AP44" s="112">
        <v>0</v>
      </c>
      <c r="AQ44" s="103"/>
      <c r="AR44" s="114"/>
      <c r="AS44" s="115"/>
      <c r="AT44" s="115"/>
      <c r="AU44" s="115"/>
      <c r="AV44" s="115"/>
      <c r="AW44" s="115"/>
      <c r="AX44" s="115"/>
      <c r="AY44" s="115"/>
      <c r="AZ44" s="115"/>
      <c r="BA44" s="115"/>
      <c r="BB44" s="115"/>
      <c r="BC44" s="115">
        <v>0.1351</v>
      </c>
      <c r="BD44" s="115"/>
      <c r="BE44" s="115"/>
      <c r="BF44" s="103"/>
      <c r="BG44" s="103" t="s">
        <v>729</v>
      </c>
    </row>
    <row r="45" spans="1:59">
      <c r="A45" s="103" t="s">
        <v>810</v>
      </c>
      <c r="B45" s="103" t="s">
        <v>811</v>
      </c>
      <c r="C45" s="104" t="s">
        <v>812</v>
      </c>
      <c r="D45" s="105">
        <v>40</v>
      </c>
      <c r="E45" s="106">
        <v>40</v>
      </c>
      <c r="F45" s="104" t="s">
        <v>740</v>
      </c>
      <c r="G45" s="107">
        <v>3059393</v>
      </c>
      <c r="H45" s="108">
        <v>381</v>
      </c>
      <c r="I45" s="104" t="s">
        <v>736</v>
      </c>
      <c r="J45" s="109" t="s">
        <v>735</v>
      </c>
      <c r="K45" s="109">
        <v>70</v>
      </c>
      <c r="L45" s="110"/>
      <c r="M45" s="111">
        <v>625305</v>
      </c>
      <c r="N45" s="111"/>
      <c r="O45" s="111">
        <v>0</v>
      </c>
      <c r="P45" s="111"/>
      <c r="Q45" s="111">
        <v>0</v>
      </c>
      <c r="R45" s="111"/>
      <c r="S45" s="111">
        <v>0</v>
      </c>
      <c r="T45" s="111"/>
      <c r="U45" s="111">
        <v>0</v>
      </c>
      <c r="V45" s="111"/>
      <c r="W45" s="111">
        <v>0</v>
      </c>
      <c r="X45" s="111"/>
      <c r="Y45" s="111">
        <v>0</v>
      </c>
      <c r="Z45" s="111"/>
      <c r="AA45" s="108">
        <v>0</v>
      </c>
      <c r="AB45" s="112"/>
      <c r="AC45" s="113"/>
      <c r="AD45" s="112">
        <v>335545</v>
      </c>
      <c r="AE45" s="112"/>
      <c r="AF45" s="112">
        <v>0</v>
      </c>
      <c r="AG45" s="112"/>
      <c r="AH45" s="112">
        <v>0</v>
      </c>
      <c r="AI45" s="112"/>
      <c r="AJ45" s="112">
        <v>0</v>
      </c>
      <c r="AK45" s="112"/>
      <c r="AL45" s="112">
        <v>0</v>
      </c>
      <c r="AM45" s="112"/>
      <c r="AN45" s="112">
        <v>0</v>
      </c>
      <c r="AO45" s="112"/>
      <c r="AP45" s="112">
        <v>0</v>
      </c>
      <c r="AQ45" s="103"/>
      <c r="AR45" s="114"/>
      <c r="AS45" s="115">
        <v>0.53659999999999997</v>
      </c>
      <c r="AT45" s="115"/>
      <c r="AU45" s="115"/>
      <c r="AV45" s="115"/>
      <c r="AW45" s="115"/>
      <c r="AX45" s="115"/>
      <c r="AY45" s="115"/>
      <c r="AZ45" s="115"/>
      <c r="BA45" s="115"/>
      <c r="BB45" s="115"/>
      <c r="BC45" s="115"/>
      <c r="BD45" s="115"/>
      <c r="BE45" s="115"/>
      <c r="BF45" s="103"/>
      <c r="BG45" s="103" t="s">
        <v>729</v>
      </c>
    </row>
    <row r="46" spans="1:59">
      <c r="A46" s="103" t="s">
        <v>810</v>
      </c>
      <c r="B46" s="103" t="s">
        <v>811</v>
      </c>
      <c r="C46" s="104" t="s">
        <v>812</v>
      </c>
      <c r="D46" s="105">
        <v>40</v>
      </c>
      <c r="E46" s="106">
        <v>40</v>
      </c>
      <c r="F46" s="104" t="s">
        <v>740</v>
      </c>
      <c r="G46" s="107">
        <v>3059393</v>
      </c>
      <c r="H46" s="108">
        <v>381</v>
      </c>
      <c r="I46" s="104" t="s">
        <v>734</v>
      </c>
      <c r="J46" s="109" t="s">
        <v>728</v>
      </c>
      <c r="K46" s="109">
        <v>48</v>
      </c>
      <c r="L46" s="110"/>
      <c r="M46" s="111">
        <v>0</v>
      </c>
      <c r="N46" s="111"/>
      <c r="O46" s="111">
        <v>0</v>
      </c>
      <c r="P46" s="111"/>
      <c r="Q46" s="111">
        <v>0</v>
      </c>
      <c r="R46" s="111"/>
      <c r="S46" s="111">
        <v>0</v>
      </c>
      <c r="T46" s="111"/>
      <c r="U46" s="111">
        <v>0</v>
      </c>
      <c r="V46" s="111"/>
      <c r="W46" s="111">
        <v>0</v>
      </c>
      <c r="X46" s="111"/>
      <c r="Y46" s="111">
        <v>20355203</v>
      </c>
      <c r="Z46" s="111"/>
      <c r="AA46" s="108">
        <v>0</v>
      </c>
      <c r="AB46" s="112"/>
      <c r="AC46" s="113"/>
      <c r="AD46" s="112">
        <v>0</v>
      </c>
      <c r="AE46" s="112"/>
      <c r="AF46" s="112">
        <v>0</v>
      </c>
      <c r="AG46" s="112"/>
      <c r="AH46" s="112">
        <v>0</v>
      </c>
      <c r="AI46" s="112"/>
      <c r="AJ46" s="112">
        <v>0</v>
      </c>
      <c r="AK46" s="112"/>
      <c r="AL46" s="112">
        <v>0</v>
      </c>
      <c r="AM46" s="112"/>
      <c r="AN46" s="112">
        <v>4232555</v>
      </c>
      <c r="AO46" s="112"/>
      <c r="AP46" s="112">
        <v>0</v>
      </c>
      <c r="AQ46" s="103"/>
      <c r="AR46" s="114"/>
      <c r="AS46" s="115"/>
      <c r="AT46" s="115"/>
      <c r="AU46" s="115"/>
      <c r="AV46" s="115"/>
      <c r="AW46" s="115"/>
      <c r="AX46" s="115"/>
      <c r="AY46" s="115"/>
      <c r="AZ46" s="115"/>
      <c r="BA46" s="115"/>
      <c r="BB46" s="115"/>
      <c r="BC46" s="115">
        <v>0.2079</v>
      </c>
      <c r="BD46" s="115"/>
      <c r="BE46" s="115"/>
      <c r="BF46" s="103"/>
      <c r="BG46" s="103" t="s">
        <v>729</v>
      </c>
    </row>
    <row r="47" spans="1:59">
      <c r="A47" s="103" t="s">
        <v>813</v>
      </c>
      <c r="B47" s="103" t="s">
        <v>814</v>
      </c>
      <c r="C47" s="104" t="s">
        <v>724</v>
      </c>
      <c r="D47" s="105">
        <v>2004</v>
      </c>
      <c r="E47" s="106">
        <v>20004</v>
      </c>
      <c r="F47" s="104" t="s">
        <v>740</v>
      </c>
      <c r="G47" s="107">
        <v>935906</v>
      </c>
      <c r="H47" s="108">
        <v>359</v>
      </c>
      <c r="I47" s="104" t="s">
        <v>734</v>
      </c>
      <c r="J47" s="109" t="s">
        <v>728</v>
      </c>
      <c r="K47" s="109">
        <v>23</v>
      </c>
      <c r="L47" s="110"/>
      <c r="M47" s="111">
        <v>0</v>
      </c>
      <c r="N47" s="111"/>
      <c r="O47" s="111">
        <v>0</v>
      </c>
      <c r="P47" s="111"/>
      <c r="Q47" s="111">
        <v>0</v>
      </c>
      <c r="R47" s="111"/>
      <c r="S47" s="111">
        <v>0</v>
      </c>
      <c r="T47" s="111"/>
      <c r="U47" s="111">
        <v>0</v>
      </c>
      <c r="V47" s="111"/>
      <c r="W47" s="111">
        <v>0</v>
      </c>
      <c r="X47" s="111"/>
      <c r="Y47" s="111">
        <v>7920559</v>
      </c>
      <c r="Z47" s="111"/>
      <c r="AA47" s="108">
        <v>0</v>
      </c>
      <c r="AB47" s="112"/>
      <c r="AC47" s="113"/>
      <c r="AD47" s="112">
        <v>0</v>
      </c>
      <c r="AE47" s="112"/>
      <c r="AF47" s="112">
        <v>0</v>
      </c>
      <c r="AG47" s="112"/>
      <c r="AH47" s="112">
        <v>0</v>
      </c>
      <c r="AI47" s="112"/>
      <c r="AJ47" s="112">
        <v>0</v>
      </c>
      <c r="AK47" s="112"/>
      <c r="AL47" s="112">
        <v>0</v>
      </c>
      <c r="AM47" s="112"/>
      <c r="AN47" s="112">
        <v>990450</v>
      </c>
      <c r="AO47" s="112"/>
      <c r="AP47" s="112">
        <v>0</v>
      </c>
      <c r="AQ47" s="103"/>
      <c r="AR47" s="114"/>
      <c r="AS47" s="115"/>
      <c r="AT47" s="115"/>
      <c r="AU47" s="115"/>
      <c r="AV47" s="115"/>
      <c r="AW47" s="115"/>
      <c r="AX47" s="115"/>
      <c r="AY47" s="115"/>
      <c r="AZ47" s="115"/>
      <c r="BA47" s="115"/>
      <c r="BB47" s="115"/>
      <c r="BC47" s="115">
        <v>0.125</v>
      </c>
      <c r="BD47" s="115"/>
      <c r="BE47" s="115"/>
      <c r="BF47" s="103"/>
      <c r="BG47" s="103" t="s">
        <v>729</v>
      </c>
    </row>
    <row r="48" spans="1:59">
      <c r="A48" s="103" t="s">
        <v>815</v>
      </c>
      <c r="B48" s="103" t="s">
        <v>816</v>
      </c>
      <c r="C48" s="104" t="s">
        <v>739</v>
      </c>
      <c r="D48" s="105">
        <v>9019</v>
      </c>
      <c r="E48" s="106">
        <v>90019</v>
      </c>
      <c r="F48" s="104" t="s">
        <v>740</v>
      </c>
      <c r="G48" s="107">
        <v>1723634</v>
      </c>
      <c r="H48" s="108">
        <v>331</v>
      </c>
      <c r="I48" s="104" t="s">
        <v>734</v>
      </c>
      <c r="J48" s="109" t="s">
        <v>728</v>
      </c>
      <c r="K48" s="109">
        <v>69</v>
      </c>
      <c r="L48" s="110"/>
      <c r="M48" s="111">
        <v>0</v>
      </c>
      <c r="N48" s="111"/>
      <c r="O48" s="111">
        <v>0</v>
      </c>
      <c r="P48" s="111"/>
      <c r="Q48" s="111">
        <v>0</v>
      </c>
      <c r="R48" s="111"/>
      <c r="S48" s="111">
        <v>0</v>
      </c>
      <c r="T48" s="111"/>
      <c r="U48" s="111">
        <v>0</v>
      </c>
      <c r="V48" s="111"/>
      <c r="W48" s="111">
        <v>0</v>
      </c>
      <c r="X48" s="111"/>
      <c r="Y48" s="111">
        <v>30089655</v>
      </c>
      <c r="Z48" s="111"/>
      <c r="AA48" s="108">
        <v>0</v>
      </c>
      <c r="AB48" s="112"/>
      <c r="AC48" s="113"/>
      <c r="AD48" s="112">
        <v>0</v>
      </c>
      <c r="AE48" s="112"/>
      <c r="AF48" s="112">
        <v>0</v>
      </c>
      <c r="AG48" s="112"/>
      <c r="AH48" s="112">
        <v>0</v>
      </c>
      <c r="AI48" s="112"/>
      <c r="AJ48" s="112">
        <v>0</v>
      </c>
      <c r="AK48" s="112"/>
      <c r="AL48" s="112">
        <v>0</v>
      </c>
      <c r="AM48" s="112"/>
      <c r="AN48" s="112">
        <v>3768892</v>
      </c>
      <c r="AO48" s="112"/>
      <c r="AP48" s="112">
        <v>0</v>
      </c>
      <c r="AQ48" s="103"/>
      <c r="AR48" s="114"/>
      <c r="AS48" s="115"/>
      <c r="AT48" s="115"/>
      <c r="AU48" s="115"/>
      <c r="AV48" s="115"/>
      <c r="AW48" s="115"/>
      <c r="AX48" s="115"/>
      <c r="AY48" s="115"/>
      <c r="AZ48" s="115"/>
      <c r="BA48" s="115"/>
      <c r="BB48" s="115"/>
      <c r="BC48" s="115">
        <v>0.12529999999999999</v>
      </c>
      <c r="BD48" s="115"/>
      <c r="BE48" s="115"/>
      <c r="BF48" s="103"/>
      <c r="BG48" s="103" t="s">
        <v>729</v>
      </c>
    </row>
    <row r="49" spans="1:59">
      <c r="A49" s="103" t="s">
        <v>817</v>
      </c>
      <c r="B49" s="103" t="s">
        <v>818</v>
      </c>
      <c r="C49" s="104" t="s">
        <v>758</v>
      </c>
      <c r="D49" s="105">
        <v>6007</v>
      </c>
      <c r="E49" s="106">
        <v>60007</v>
      </c>
      <c r="F49" s="104" t="s">
        <v>740</v>
      </c>
      <c r="G49" s="107">
        <v>5121892</v>
      </c>
      <c r="H49" s="108">
        <v>312</v>
      </c>
      <c r="I49" s="104" t="s">
        <v>736</v>
      </c>
      <c r="J49" s="109" t="s">
        <v>735</v>
      </c>
      <c r="K49" s="109">
        <v>20</v>
      </c>
      <c r="L49" s="110"/>
      <c r="M49" s="111">
        <v>442412</v>
      </c>
      <c r="N49" s="111"/>
      <c r="O49" s="111">
        <v>0</v>
      </c>
      <c r="P49" s="111"/>
      <c r="Q49" s="111">
        <v>0</v>
      </c>
      <c r="R49" s="111"/>
      <c r="S49" s="111">
        <v>0</v>
      </c>
      <c r="T49" s="111"/>
      <c r="U49" s="111">
        <v>0</v>
      </c>
      <c r="V49" s="111"/>
      <c r="W49" s="111">
        <v>0</v>
      </c>
      <c r="X49" s="111"/>
      <c r="Y49" s="111">
        <v>0</v>
      </c>
      <c r="Z49" s="111"/>
      <c r="AA49" s="108">
        <v>0</v>
      </c>
      <c r="AB49" s="112"/>
      <c r="AC49" s="113"/>
      <c r="AD49" s="112">
        <v>2349673</v>
      </c>
      <c r="AE49" s="112"/>
      <c r="AF49" s="112">
        <v>0</v>
      </c>
      <c r="AG49" s="112"/>
      <c r="AH49" s="112">
        <v>0</v>
      </c>
      <c r="AI49" s="112"/>
      <c r="AJ49" s="112">
        <v>0</v>
      </c>
      <c r="AK49" s="112"/>
      <c r="AL49" s="112">
        <v>0</v>
      </c>
      <c r="AM49" s="112"/>
      <c r="AN49" s="112">
        <v>0</v>
      </c>
      <c r="AO49" s="112"/>
      <c r="AP49" s="112">
        <v>0</v>
      </c>
      <c r="AQ49" s="103"/>
      <c r="AR49" s="114"/>
      <c r="AS49" s="115">
        <v>5.3110999999999997</v>
      </c>
      <c r="AT49" s="115"/>
      <c r="AU49" s="115"/>
      <c r="AV49" s="115"/>
      <c r="AW49" s="115"/>
      <c r="AX49" s="115"/>
      <c r="AY49" s="115"/>
      <c r="AZ49" s="115"/>
      <c r="BA49" s="115"/>
      <c r="BB49" s="115"/>
      <c r="BC49" s="115"/>
      <c r="BD49" s="115"/>
      <c r="BE49" s="115"/>
      <c r="BF49" s="103"/>
      <c r="BG49" s="103" t="s">
        <v>729</v>
      </c>
    </row>
    <row r="50" spans="1:59">
      <c r="A50" s="103" t="s">
        <v>819</v>
      </c>
      <c r="B50" s="103" t="s">
        <v>770</v>
      </c>
      <c r="C50" s="104" t="s">
        <v>732</v>
      </c>
      <c r="D50" s="105">
        <v>2098</v>
      </c>
      <c r="E50" s="106">
        <v>20098</v>
      </c>
      <c r="F50" s="104" t="s">
        <v>740</v>
      </c>
      <c r="G50" s="107">
        <v>18351295</v>
      </c>
      <c r="H50" s="108">
        <v>310</v>
      </c>
      <c r="I50" s="104" t="s">
        <v>727</v>
      </c>
      <c r="J50" s="109" t="s">
        <v>728</v>
      </c>
      <c r="K50" s="109">
        <v>304</v>
      </c>
      <c r="L50" s="110"/>
      <c r="M50" s="111">
        <v>0</v>
      </c>
      <c r="N50" s="111"/>
      <c r="O50" s="111">
        <v>0</v>
      </c>
      <c r="P50" s="111"/>
      <c r="Q50" s="111">
        <v>0</v>
      </c>
      <c r="R50" s="111"/>
      <c r="S50" s="111">
        <v>0</v>
      </c>
      <c r="T50" s="111"/>
      <c r="U50" s="111">
        <v>0</v>
      </c>
      <c r="V50" s="111"/>
      <c r="W50" s="111">
        <v>0</v>
      </c>
      <c r="X50" s="111"/>
      <c r="Y50" s="111">
        <v>93567629</v>
      </c>
      <c r="Z50" s="111"/>
      <c r="AA50" s="108">
        <v>0</v>
      </c>
      <c r="AB50" s="112"/>
      <c r="AC50" s="113"/>
      <c r="AD50" s="112">
        <v>0</v>
      </c>
      <c r="AE50" s="112"/>
      <c r="AF50" s="112">
        <v>0</v>
      </c>
      <c r="AG50" s="112"/>
      <c r="AH50" s="112">
        <v>0</v>
      </c>
      <c r="AI50" s="112"/>
      <c r="AJ50" s="112">
        <v>0</v>
      </c>
      <c r="AK50" s="112"/>
      <c r="AL50" s="112">
        <v>0</v>
      </c>
      <c r="AM50" s="112"/>
      <c r="AN50" s="112">
        <v>13256385</v>
      </c>
      <c r="AO50" s="112"/>
      <c r="AP50" s="112">
        <v>0</v>
      </c>
      <c r="AQ50" s="103"/>
      <c r="AR50" s="114"/>
      <c r="AS50" s="115"/>
      <c r="AT50" s="115"/>
      <c r="AU50" s="115"/>
      <c r="AV50" s="115"/>
      <c r="AW50" s="115"/>
      <c r="AX50" s="115"/>
      <c r="AY50" s="115"/>
      <c r="AZ50" s="115"/>
      <c r="BA50" s="115"/>
      <c r="BB50" s="115"/>
      <c r="BC50" s="115">
        <v>0.14169999999999999</v>
      </c>
      <c r="BD50" s="115"/>
      <c r="BE50" s="115"/>
      <c r="BF50" s="103"/>
      <c r="BG50" s="103" t="s">
        <v>729</v>
      </c>
    </row>
    <row r="51" spans="1:59">
      <c r="A51" s="103" t="s">
        <v>820</v>
      </c>
      <c r="B51" s="103" t="s">
        <v>821</v>
      </c>
      <c r="C51" s="104" t="s">
        <v>739</v>
      </c>
      <c r="D51" s="105">
        <v>9030</v>
      </c>
      <c r="E51" s="106">
        <v>90030</v>
      </c>
      <c r="F51" s="104" t="s">
        <v>740</v>
      </c>
      <c r="G51" s="107">
        <v>2956746</v>
      </c>
      <c r="H51" s="108">
        <v>205</v>
      </c>
      <c r="I51" s="104" t="s">
        <v>736</v>
      </c>
      <c r="J51" s="109" t="s">
        <v>735</v>
      </c>
      <c r="K51" s="109">
        <v>24</v>
      </c>
      <c r="L51" s="110"/>
      <c r="M51" s="111">
        <v>766773</v>
      </c>
      <c r="N51" s="111"/>
      <c r="O51" s="111">
        <v>0</v>
      </c>
      <c r="P51" s="111"/>
      <c r="Q51" s="111">
        <v>0</v>
      </c>
      <c r="R51" s="111"/>
      <c r="S51" s="111">
        <v>0</v>
      </c>
      <c r="T51" s="111"/>
      <c r="U51" s="111">
        <v>0</v>
      </c>
      <c r="V51" s="111"/>
      <c r="W51" s="111">
        <v>0</v>
      </c>
      <c r="X51" s="111"/>
      <c r="Y51" s="111">
        <v>0</v>
      </c>
      <c r="Z51" s="111"/>
      <c r="AA51" s="108">
        <v>0</v>
      </c>
      <c r="AB51" s="112"/>
      <c r="AC51" s="113"/>
      <c r="AD51" s="112">
        <v>253519</v>
      </c>
      <c r="AE51" s="112"/>
      <c r="AF51" s="112">
        <v>0</v>
      </c>
      <c r="AG51" s="112"/>
      <c r="AH51" s="112">
        <v>0</v>
      </c>
      <c r="AI51" s="112"/>
      <c r="AJ51" s="112">
        <v>0</v>
      </c>
      <c r="AK51" s="112"/>
      <c r="AL51" s="112">
        <v>0</v>
      </c>
      <c r="AM51" s="112"/>
      <c r="AN51" s="112">
        <v>0</v>
      </c>
      <c r="AO51" s="112"/>
      <c r="AP51" s="112">
        <v>0</v>
      </c>
      <c r="AQ51" s="103"/>
      <c r="AR51" s="114"/>
      <c r="AS51" s="115">
        <v>0.3306</v>
      </c>
      <c r="AT51" s="115"/>
      <c r="AU51" s="115"/>
      <c r="AV51" s="115"/>
      <c r="AW51" s="115"/>
      <c r="AX51" s="115"/>
      <c r="AY51" s="115"/>
      <c r="AZ51" s="115"/>
      <c r="BA51" s="115"/>
      <c r="BB51" s="115"/>
      <c r="BC51" s="115"/>
      <c r="BD51" s="115"/>
      <c r="BE51" s="115"/>
      <c r="BF51" s="103"/>
      <c r="BG51" s="103" t="s">
        <v>729</v>
      </c>
    </row>
    <row r="52" spans="1:59">
      <c r="A52" s="103" t="s">
        <v>822</v>
      </c>
      <c r="B52" s="103" t="s">
        <v>738</v>
      </c>
      <c r="C52" s="104" t="s">
        <v>739</v>
      </c>
      <c r="D52" s="105">
        <v>9151</v>
      </c>
      <c r="E52" s="106">
        <v>90151</v>
      </c>
      <c r="F52" s="104" t="s">
        <v>740</v>
      </c>
      <c r="G52" s="107">
        <v>12150996</v>
      </c>
      <c r="H52" s="108">
        <v>195</v>
      </c>
      <c r="I52" s="104" t="s">
        <v>736</v>
      </c>
      <c r="J52" s="109" t="s">
        <v>735</v>
      </c>
      <c r="K52" s="109">
        <v>195</v>
      </c>
      <c r="L52" s="110"/>
      <c r="M52" s="111">
        <v>8293151</v>
      </c>
      <c r="N52" s="111"/>
      <c r="O52" s="111">
        <v>0</v>
      </c>
      <c r="P52" s="111"/>
      <c r="Q52" s="111">
        <v>0</v>
      </c>
      <c r="R52" s="111"/>
      <c r="S52" s="111">
        <v>0</v>
      </c>
      <c r="T52" s="111"/>
      <c r="U52" s="111">
        <v>0</v>
      </c>
      <c r="V52" s="111"/>
      <c r="W52" s="111">
        <v>0</v>
      </c>
      <c r="X52" s="111"/>
      <c r="Y52" s="111">
        <v>0</v>
      </c>
      <c r="Z52" s="111"/>
      <c r="AA52" s="108">
        <v>0</v>
      </c>
      <c r="AB52" s="112"/>
      <c r="AC52" s="113"/>
      <c r="AD52" s="112">
        <v>2539026</v>
      </c>
      <c r="AE52" s="112"/>
      <c r="AF52" s="112">
        <v>0</v>
      </c>
      <c r="AG52" s="112"/>
      <c r="AH52" s="112">
        <v>0</v>
      </c>
      <c r="AI52" s="112"/>
      <c r="AJ52" s="112">
        <v>0</v>
      </c>
      <c r="AK52" s="112"/>
      <c r="AL52" s="112">
        <v>0</v>
      </c>
      <c r="AM52" s="112"/>
      <c r="AN52" s="112">
        <v>0</v>
      </c>
      <c r="AO52" s="112"/>
      <c r="AP52" s="112">
        <v>0</v>
      </c>
      <c r="AQ52" s="103"/>
      <c r="AR52" s="114"/>
      <c r="AS52" s="115">
        <v>0.30620000000000003</v>
      </c>
      <c r="AT52" s="115"/>
      <c r="AU52" s="115"/>
      <c r="AV52" s="115"/>
      <c r="AW52" s="115"/>
      <c r="AX52" s="115"/>
      <c r="AY52" s="115"/>
      <c r="AZ52" s="115"/>
      <c r="BA52" s="115"/>
      <c r="BB52" s="115"/>
      <c r="BC52" s="115"/>
      <c r="BD52" s="115"/>
      <c r="BE52" s="115"/>
      <c r="BF52" s="103"/>
      <c r="BG52" s="103" t="s">
        <v>729</v>
      </c>
    </row>
    <row r="53" spans="1:59">
      <c r="A53" s="103" t="s">
        <v>823</v>
      </c>
      <c r="B53" s="103" t="s">
        <v>824</v>
      </c>
      <c r="C53" s="104" t="s">
        <v>739</v>
      </c>
      <c r="D53" s="105">
        <v>9134</v>
      </c>
      <c r="E53" s="106">
        <v>90134</v>
      </c>
      <c r="F53" s="104" t="s">
        <v>740</v>
      </c>
      <c r="G53" s="107">
        <v>3281212</v>
      </c>
      <c r="H53" s="108">
        <v>141</v>
      </c>
      <c r="I53" s="104" t="s">
        <v>736</v>
      </c>
      <c r="J53" s="109" t="s">
        <v>735</v>
      </c>
      <c r="K53" s="109">
        <v>111</v>
      </c>
      <c r="L53" s="110"/>
      <c r="M53" s="111">
        <v>3805923</v>
      </c>
      <c r="N53" s="111"/>
      <c r="O53" s="111">
        <v>0</v>
      </c>
      <c r="P53" s="111"/>
      <c r="Q53" s="111">
        <v>0</v>
      </c>
      <c r="R53" s="111"/>
      <c r="S53" s="111">
        <v>0</v>
      </c>
      <c r="T53" s="111"/>
      <c r="U53" s="111">
        <v>0</v>
      </c>
      <c r="V53" s="111"/>
      <c r="W53" s="111">
        <v>0</v>
      </c>
      <c r="X53" s="111"/>
      <c r="Y53" s="111">
        <v>0</v>
      </c>
      <c r="Z53" s="111"/>
      <c r="AA53" s="108">
        <v>0</v>
      </c>
      <c r="AB53" s="112"/>
      <c r="AC53" s="113"/>
      <c r="AD53" s="112">
        <v>1179829</v>
      </c>
      <c r="AE53" s="112"/>
      <c r="AF53" s="112">
        <v>0</v>
      </c>
      <c r="AG53" s="112"/>
      <c r="AH53" s="112">
        <v>0</v>
      </c>
      <c r="AI53" s="112"/>
      <c r="AJ53" s="112">
        <v>0</v>
      </c>
      <c r="AK53" s="112"/>
      <c r="AL53" s="112">
        <v>0</v>
      </c>
      <c r="AM53" s="112"/>
      <c r="AN53" s="112">
        <v>0</v>
      </c>
      <c r="AO53" s="112"/>
      <c r="AP53" s="112">
        <v>0</v>
      </c>
      <c r="AQ53" s="103"/>
      <c r="AR53" s="114"/>
      <c r="AS53" s="115">
        <v>0.31</v>
      </c>
      <c r="AT53" s="115"/>
      <c r="AU53" s="115"/>
      <c r="AV53" s="115"/>
      <c r="AW53" s="115"/>
      <c r="AX53" s="115"/>
      <c r="AY53" s="115"/>
      <c r="AZ53" s="115"/>
      <c r="BA53" s="115"/>
      <c r="BB53" s="115"/>
      <c r="BC53" s="115"/>
      <c r="BD53" s="115"/>
      <c r="BE53" s="115"/>
      <c r="BF53" s="103"/>
      <c r="BG53" s="103" t="s">
        <v>729</v>
      </c>
    </row>
    <row r="54" spans="1:59">
      <c r="A54" s="103" t="s">
        <v>825</v>
      </c>
      <c r="B54" s="103" t="s">
        <v>826</v>
      </c>
      <c r="C54" s="104" t="s">
        <v>806</v>
      </c>
      <c r="D54" s="105">
        <v>3073</v>
      </c>
      <c r="E54" s="106">
        <v>30073</v>
      </c>
      <c r="F54" s="104" t="s">
        <v>740</v>
      </c>
      <c r="G54" s="107">
        <v>4586770</v>
      </c>
      <c r="H54" s="108">
        <v>99</v>
      </c>
      <c r="I54" s="104" t="s">
        <v>736</v>
      </c>
      <c r="J54" s="109" t="s">
        <v>735</v>
      </c>
      <c r="K54" s="109">
        <v>99</v>
      </c>
      <c r="L54" s="110"/>
      <c r="M54" s="111">
        <v>1430638</v>
      </c>
      <c r="N54" s="111"/>
      <c r="O54" s="111">
        <v>0</v>
      </c>
      <c r="P54" s="111"/>
      <c r="Q54" s="111">
        <v>0</v>
      </c>
      <c r="R54" s="111"/>
      <c r="S54" s="111">
        <v>0</v>
      </c>
      <c r="T54" s="111"/>
      <c r="U54" s="111">
        <v>0</v>
      </c>
      <c r="V54" s="111"/>
      <c r="W54" s="111">
        <v>0</v>
      </c>
      <c r="X54" s="111"/>
      <c r="Y54" s="111">
        <v>0</v>
      </c>
      <c r="Z54" s="111"/>
      <c r="AA54" s="108">
        <v>0</v>
      </c>
      <c r="AB54" s="112"/>
      <c r="AC54" s="113"/>
      <c r="AD54" s="112">
        <v>333956</v>
      </c>
      <c r="AE54" s="112"/>
      <c r="AF54" s="112">
        <v>0</v>
      </c>
      <c r="AG54" s="112"/>
      <c r="AH54" s="112">
        <v>0</v>
      </c>
      <c r="AI54" s="112"/>
      <c r="AJ54" s="112">
        <v>0</v>
      </c>
      <c r="AK54" s="112"/>
      <c r="AL54" s="112">
        <v>0</v>
      </c>
      <c r="AM54" s="112"/>
      <c r="AN54" s="112">
        <v>0</v>
      </c>
      <c r="AO54" s="112"/>
      <c r="AP54" s="112">
        <v>0</v>
      </c>
      <c r="AQ54" s="103"/>
      <c r="AR54" s="114"/>
      <c r="AS54" s="115">
        <v>0.2334</v>
      </c>
      <c r="AT54" s="115"/>
      <c r="AU54" s="115"/>
      <c r="AV54" s="115"/>
      <c r="AW54" s="115"/>
      <c r="AX54" s="115"/>
      <c r="AY54" s="115"/>
      <c r="AZ54" s="115"/>
      <c r="BA54" s="115"/>
      <c r="BB54" s="115"/>
      <c r="BC54" s="115"/>
      <c r="BD54" s="115"/>
      <c r="BE54" s="115"/>
      <c r="BF54" s="103"/>
      <c r="BG54" s="103" t="s">
        <v>729</v>
      </c>
    </row>
    <row r="55" spans="1:59">
      <c r="A55" s="103" t="s">
        <v>827</v>
      </c>
      <c r="B55" s="103" t="s">
        <v>828</v>
      </c>
      <c r="C55" s="104" t="s">
        <v>732</v>
      </c>
      <c r="D55" s="105">
        <v>2075</v>
      </c>
      <c r="E55" s="106">
        <v>20075</v>
      </c>
      <c r="F55" s="104" t="s">
        <v>740</v>
      </c>
      <c r="G55" s="107">
        <v>5441567</v>
      </c>
      <c r="H55" s="108">
        <v>78</v>
      </c>
      <c r="I55" s="104" t="s">
        <v>727</v>
      </c>
      <c r="J55" s="109" t="s">
        <v>728</v>
      </c>
      <c r="K55" s="109">
        <v>78</v>
      </c>
      <c r="L55" s="110"/>
      <c r="M55" s="111">
        <v>0</v>
      </c>
      <c r="N55" s="111"/>
      <c r="O55" s="111">
        <v>0</v>
      </c>
      <c r="P55" s="111"/>
      <c r="Q55" s="111">
        <v>0</v>
      </c>
      <c r="R55" s="111"/>
      <c r="S55" s="111">
        <v>0</v>
      </c>
      <c r="T55" s="111"/>
      <c r="U55" s="111">
        <v>0</v>
      </c>
      <c r="V55" s="111"/>
      <c r="W55" s="111">
        <v>0</v>
      </c>
      <c r="X55" s="111"/>
      <c r="Y55" s="111">
        <v>32179173</v>
      </c>
      <c r="Z55" s="111"/>
      <c r="AA55" s="108">
        <v>0</v>
      </c>
      <c r="AB55" s="112"/>
      <c r="AC55" s="113"/>
      <c r="AD55" s="112">
        <v>0</v>
      </c>
      <c r="AE55" s="112"/>
      <c r="AF55" s="112">
        <v>0</v>
      </c>
      <c r="AG55" s="112"/>
      <c r="AH55" s="112">
        <v>0</v>
      </c>
      <c r="AI55" s="112"/>
      <c r="AJ55" s="112">
        <v>0</v>
      </c>
      <c r="AK55" s="112"/>
      <c r="AL55" s="112">
        <v>0</v>
      </c>
      <c r="AM55" s="112"/>
      <c r="AN55" s="112">
        <v>4661254</v>
      </c>
      <c r="AO55" s="112"/>
      <c r="AP55" s="112">
        <v>0</v>
      </c>
      <c r="AQ55" s="103"/>
      <c r="AR55" s="114"/>
      <c r="AS55" s="115"/>
      <c r="AT55" s="115"/>
      <c r="AU55" s="115"/>
      <c r="AV55" s="115"/>
      <c r="AW55" s="115"/>
      <c r="AX55" s="115"/>
      <c r="AY55" s="115"/>
      <c r="AZ55" s="115"/>
      <c r="BA55" s="115"/>
      <c r="BB55" s="115"/>
      <c r="BC55" s="115">
        <v>0.1449</v>
      </c>
      <c r="BD55" s="115"/>
      <c r="BE55" s="115"/>
      <c r="BF55" s="103"/>
      <c r="BG55" s="103" t="s">
        <v>729</v>
      </c>
    </row>
    <row r="56" spans="1:59">
      <c r="A56" s="103" t="s">
        <v>829</v>
      </c>
      <c r="B56" s="103" t="s">
        <v>830</v>
      </c>
      <c r="C56" s="104" t="s">
        <v>831</v>
      </c>
      <c r="D56" s="105">
        <v>5104</v>
      </c>
      <c r="E56" s="106">
        <v>50104</v>
      </c>
      <c r="F56" s="104" t="s">
        <v>740</v>
      </c>
      <c r="G56" s="107">
        <v>8608208</v>
      </c>
      <c r="H56" s="108">
        <v>70</v>
      </c>
      <c r="I56" s="104" t="s">
        <v>736</v>
      </c>
      <c r="J56" s="109" t="s">
        <v>728</v>
      </c>
      <c r="K56" s="109">
        <v>70</v>
      </c>
      <c r="L56" s="110"/>
      <c r="M56" s="111">
        <v>0</v>
      </c>
      <c r="N56" s="111"/>
      <c r="O56" s="111">
        <v>0</v>
      </c>
      <c r="P56" s="111"/>
      <c r="Q56" s="111">
        <v>0</v>
      </c>
      <c r="R56" s="111"/>
      <c r="S56" s="111">
        <v>0</v>
      </c>
      <c r="T56" s="111"/>
      <c r="U56" s="111">
        <v>0</v>
      </c>
      <c r="V56" s="111"/>
      <c r="W56" s="111">
        <v>0</v>
      </c>
      <c r="X56" s="111"/>
      <c r="Y56" s="111">
        <v>18158000</v>
      </c>
      <c r="Z56" s="111"/>
      <c r="AA56" s="108">
        <v>0</v>
      </c>
      <c r="AB56" s="112"/>
      <c r="AC56" s="113"/>
      <c r="AD56" s="112">
        <v>0</v>
      </c>
      <c r="AE56" s="112"/>
      <c r="AF56" s="112">
        <v>0</v>
      </c>
      <c r="AG56" s="112"/>
      <c r="AH56" s="112">
        <v>0</v>
      </c>
      <c r="AI56" s="112"/>
      <c r="AJ56" s="112">
        <v>0</v>
      </c>
      <c r="AK56" s="112"/>
      <c r="AL56" s="112">
        <v>0</v>
      </c>
      <c r="AM56" s="112"/>
      <c r="AN56" s="112">
        <v>3510093</v>
      </c>
      <c r="AO56" s="112"/>
      <c r="AP56" s="112">
        <v>0</v>
      </c>
      <c r="AQ56" s="103"/>
      <c r="AR56" s="114"/>
      <c r="AS56" s="115"/>
      <c r="AT56" s="115"/>
      <c r="AU56" s="115"/>
      <c r="AV56" s="115"/>
      <c r="AW56" s="115"/>
      <c r="AX56" s="115"/>
      <c r="AY56" s="115"/>
      <c r="AZ56" s="115"/>
      <c r="BA56" s="115"/>
      <c r="BB56" s="115"/>
      <c r="BC56" s="115">
        <v>0.1933</v>
      </c>
      <c r="BD56" s="115"/>
      <c r="BE56" s="115"/>
      <c r="BF56" s="103"/>
      <c r="BG56" s="103" t="s">
        <v>729</v>
      </c>
    </row>
    <row r="57" spans="1:59">
      <c r="A57" s="103" t="s">
        <v>832</v>
      </c>
      <c r="B57" s="103" t="s">
        <v>833</v>
      </c>
      <c r="C57" s="104" t="s">
        <v>765</v>
      </c>
      <c r="D57" s="105">
        <v>4077</v>
      </c>
      <c r="E57" s="106">
        <v>40077</v>
      </c>
      <c r="F57" s="104" t="s">
        <v>740</v>
      </c>
      <c r="G57" s="107">
        <v>5502379</v>
      </c>
      <c r="H57" s="108">
        <v>65</v>
      </c>
      <c r="I57" s="104" t="s">
        <v>736</v>
      </c>
      <c r="J57" s="109" t="s">
        <v>735</v>
      </c>
      <c r="K57" s="109">
        <v>43</v>
      </c>
      <c r="L57" s="110"/>
      <c r="M57" s="111">
        <v>2838234</v>
      </c>
      <c r="N57" s="111"/>
      <c r="O57" s="111">
        <v>0</v>
      </c>
      <c r="P57" s="111"/>
      <c r="Q57" s="111">
        <v>0</v>
      </c>
      <c r="R57" s="111"/>
      <c r="S57" s="111">
        <v>0</v>
      </c>
      <c r="T57" s="111"/>
      <c r="U57" s="111">
        <v>0</v>
      </c>
      <c r="V57" s="111"/>
      <c r="W57" s="111">
        <v>0</v>
      </c>
      <c r="X57" s="111"/>
      <c r="Y57" s="111">
        <v>0</v>
      </c>
      <c r="Z57" s="111"/>
      <c r="AA57" s="108">
        <v>0</v>
      </c>
      <c r="AB57" s="112"/>
      <c r="AC57" s="113"/>
      <c r="AD57" s="112">
        <v>1018267</v>
      </c>
      <c r="AE57" s="112"/>
      <c r="AF57" s="112">
        <v>0</v>
      </c>
      <c r="AG57" s="112"/>
      <c r="AH57" s="112">
        <v>0</v>
      </c>
      <c r="AI57" s="112"/>
      <c r="AJ57" s="112">
        <v>0</v>
      </c>
      <c r="AK57" s="112"/>
      <c r="AL57" s="112">
        <v>0</v>
      </c>
      <c r="AM57" s="112"/>
      <c r="AN57" s="112">
        <v>0</v>
      </c>
      <c r="AO57" s="112"/>
      <c r="AP57" s="112">
        <v>0</v>
      </c>
      <c r="AQ57" s="103"/>
      <c r="AR57" s="114"/>
      <c r="AS57" s="115">
        <v>0.35880000000000001</v>
      </c>
      <c r="AT57" s="115"/>
      <c r="AU57" s="115"/>
      <c r="AV57" s="115"/>
      <c r="AW57" s="115"/>
      <c r="AX57" s="115"/>
      <c r="AY57" s="115"/>
      <c r="AZ57" s="115"/>
      <c r="BA57" s="115"/>
      <c r="BB57" s="115"/>
      <c r="BC57" s="115"/>
      <c r="BD57" s="115"/>
      <c r="BE57" s="115"/>
      <c r="BF57" s="103"/>
      <c r="BG57" s="103" t="s">
        <v>729</v>
      </c>
    </row>
    <row r="58" spans="1:59">
      <c r="A58" s="103" t="s">
        <v>834</v>
      </c>
      <c r="B58" s="103" t="s">
        <v>835</v>
      </c>
      <c r="C58" s="104" t="s">
        <v>836</v>
      </c>
      <c r="D58" s="105">
        <v>6111</v>
      </c>
      <c r="E58" s="106">
        <v>60111</v>
      </c>
      <c r="F58" s="104" t="s">
        <v>740</v>
      </c>
      <c r="G58" s="107">
        <v>741318</v>
      </c>
      <c r="H58" s="108">
        <v>58</v>
      </c>
      <c r="I58" s="104" t="s">
        <v>736</v>
      </c>
      <c r="J58" s="109" t="s">
        <v>735</v>
      </c>
      <c r="K58" s="109">
        <v>25</v>
      </c>
      <c r="L58" s="110"/>
      <c r="M58" s="111">
        <v>0</v>
      </c>
      <c r="N58" s="111"/>
      <c r="O58" s="111">
        <v>0</v>
      </c>
      <c r="P58" s="111"/>
      <c r="Q58" s="111">
        <v>0</v>
      </c>
      <c r="R58" s="111"/>
      <c r="S58" s="111">
        <v>0</v>
      </c>
      <c r="T58" s="111"/>
      <c r="U58" s="111">
        <v>792273</v>
      </c>
      <c r="V58" s="111"/>
      <c r="W58" s="111">
        <v>0</v>
      </c>
      <c r="X58" s="111"/>
      <c r="Y58" s="111">
        <v>0</v>
      </c>
      <c r="Z58" s="111"/>
      <c r="AA58" s="108">
        <v>0</v>
      </c>
      <c r="AB58" s="112"/>
      <c r="AC58" s="113"/>
      <c r="AD58" s="112">
        <v>350453</v>
      </c>
      <c r="AE58" s="112"/>
      <c r="AF58" s="112">
        <v>0</v>
      </c>
      <c r="AG58" s="112"/>
      <c r="AH58" s="112">
        <v>0</v>
      </c>
      <c r="AI58" s="112"/>
      <c r="AJ58" s="112">
        <v>0</v>
      </c>
      <c r="AK58" s="112"/>
      <c r="AL58" s="112">
        <v>0</v>
      </c>
      <c r="AM58" s="112"/>
      <c r="AN58" s="112">
        <v>0</v>
      </c>
      <c r="AO58" s="112"/>
      <c r="AP58" s="112">
        <v>0</v>
      </c>
      <c r="AQ58" s="103"/>
      <c r="AR58" s="114"/>
      <c r="AS58" s="115"/>
      <c r="AT58" s="115"/>
      <c r="AU58" s="115"/>
      <c r="AV58" s="115"/>
      <c r="AW58" s="115"/>
      <c r="AX58" s="115"/>
      <c r="AY58" s="115"/>
      <c r="AZ58" s="115"/>
      <c r="BA58" s="115"/>
      <c r="BB58" s="115"/>
      <c r="BC58" s="115"/>
      <c r="BD58" s="115"/>
      <c r="BE58" s="115"/>
      <c r="BF58" s="103"/>
      <c r="BG58" s="103" t="s">
        <v>729</v>
      </c>
    </row>
    <row r="59" spans="1:59">
      <c r="A59" s="103" t="s">
        <v>837</v>
      </c>
      <c r="B59" s="103" t="s">
        <v>838</v>
      </c>
      <c r="C59" s="104" t="s">
        <v>839</v>
      </c>
      <c r="D59" s="105">
        <v>4094</v>
      </c>
      <c r="E59" s="106">
        <v>40094</v>
      </c>
      <c r="F59" s="104" t="s">
        <v>762</v>
      </c>
      <c r="G59" s="107">
        <v>2148346</v>
      </c>
      <c r="H59" s="108">
        <v>54</v>
      </c>
      <c r="I59" s="104" t="s">
        <v>727</v>
      </c>
      <c r="J59" s="109" t="s">
        <v>735</v>
      </c>
      <c r="K59" s="109">
        <v>32</v>
      </c>
      <c r="L59" s="110"/>
      <c r="M59" s="111">
        <v>0</v>
      </c>
      <c r="N59" s="111"/>
      <c r="O59" s="111">
        <v>0</v>
      </c>
      <c r="P59" s="111"/>
      <c r="Q59" s="111">
        <v>0</v>
      </c>
      <c r="R59" s="111"/>
      <c r="S59" s="111">
        <v>0</v>
      </c>
      <c r="T59" s="111"/>
      <c r="U59" s="111">
        <v>0</v>
      </c>
      <c r="V59" s="111"/>
      <c r="W59" s="111">
        <v>0</v>
      </c>
      <c r="X59" s="111"/>
      <c r="Y59" s="111">
        <v>4009792</v>
      </c>
      <c r="Z59" s="111"/>
      <c r="AA59" s="108">
        <v>0</v>
      </c>
      <c r="AB59" s="112"/>
      <c r="AC59" s="113"/>
      <c r="AD59" s="112">
        <v>0</v>
      </c>
      <c r="AE59" s="112"/>
      <c r="AF59" s="112">
        <v>0</v>
      </c>
      <c r="AG59" s="112"/>
      <c r="AH59" s="112">
        <v>0</v>
      </c>
      <c r="AI59" s="112"/>
      <c r="AJ59" s="112">
        <v>0</v>
      </c>
      <c r="AK59" s="112"/>
      <c r="AL59" s="112">
        <v>0</v>
      </c>
      <c r="AM59" s="112"/>
      <c r="AN59" s="112">
        <v>1432878</v>
      </c>
      <c r="AO59" s="112"/>
      <c r="AP59" s="112">
        <v>0</v>
      </c>
      <c r="AQ59" s="103"/>
      <c r="AR59" s="114"/>
      <c r="AS59" s="115"/>
      <c r="AT59" s="115"/>
      <c r="AU59" s="115"/>
      <c r="AV59" s="115"/>
      <c r="AW59" s="115"/>
      <c r="AX59" s="115"/>
      <c r="AY59" s="115"/>
      <c r="AZ59" s="115"/>
      <c r="BA59" s="115"/>
      <c r="BB59" s="115"/>
      <c r="BC59" s="115">
        <v>0.35730000000000001</v>
      </c>
      <c r="BD59" s="115"/>
      <c r="BE59" s="115"/>
      <c r="BF59" s="103"/>
      <c r="BG59" s="103" t="s">
        <v>729</v>
      </c>
    </row>
    <row r="60" spans="1:59">
      <c r="A60" s="103" t="s">
        <v>840</v>
      </c>
      <c r="B60" s="103" t="s">
        <v>841</v>
      </c>
      <c r="C60" s="104" t="s">
        <v>842</v>
      </c>
      <c r="D60" s="105">
        <v>4159</v>
      </c>
      <c r="E60" s="106">
        <v>40159</v>
      </c>
      <c r="F60" s="104" t="s">
        <v>740</v>
      </c>
      <c r="G60" s="107">
        <v>969587</v>
      </c>
      <c r="H60" s="108">
        <v>46</v>
      </c>
      <c r="I60" s="104" t="s">
        <v>736</v>
      </c>
      <c r="J60" s="109" t="s">
        <v>735</v>
      </c>
      <c r="K60" s="109">
        <v>8</v>
      </c>
      <c r="L60" s="110"/>
      <c r="M60" s="111">
        <v>195054</v>
      </c>
      <c r="N60" s="111"/>
      <c r="O60" s="111">
        <v>0</v>
      </c>
      <c r="P60" s="111"/>
      <c r="Q60" s="111">
        <v>0</v>
      </c>
      <c r="R60" s="111"/>
      <c r="S60" s="111">
        <v>0</v>
      </c>
      <c r="T60" s="111"/>
      <c r="U60" s="111">
        <v>0</v>
      </c>
      <c r="V60" s="111"/>
      <c r="W60" s="111">
        <v>0</v>
      </c>
      <c r="X60" s="111"/>
      <c r="Y60" s="111">
        <v>0</v>
      </c>
      <c r="Z60" s="111"/>
      <c r="AA60" s="108">
        <v>0</v>
      </c>
      <c r="AB60" s="112"/>
      <c r="AC60" s="113"/>
      <c r="AD60" s="112">
        <v>71832</v>
      </c>
      <c r="AE60" s="112"/>
      <c r="AF60" s="112">
        <v>0</v>
      </c>
      <c r="AG60" s="112"/>
      <c r="AH60" s="112">
        <v>0</v>
      </c>
      <c r="AI60" s="112"/>
      <c r="AJ60" s="112">
        <v>0</v>
      </c>
      <c r="AK60" s="112"/>
      <c r="AL60" s="112">
        <v>0</v>
      </c>
      <c r="AM60" s="112"/>
      <c r="AN60" s="112">
        <v>0</v>
      </c>
      <c r="AO60" s="112"/>
      <c r="AP60" s="112">
        <v>0</v>
      </c>
      <c r="AQ60" s="103"/>
      <c r="AR60" s="114"/>
      <c r="AS60" s="115">
        <v>0.36830000000000002</v>
      </c>
      <c r="AT60" s="115"/>
      <c r="AU60" s="115"/>
      <c r="AV60" s="115"/>
      <c r="AW60" s="115"/>
      <c r="AX60" s="115"/>
      <c r="AY60" s="115"/>
      <c r="AZ60" s="115"/>
      <c r="BA60" s="115"/>
      <c r="BB60" s="115"/>
      <c r="BC60" s="115"/>
      <c r="BD60" s="115"/>
      <c r="BE60" s="115"/>
      <c r="BF60" s="103"/>
      <c r="BG60" s="103" t="s">
        <v>729</v>
      </c>
    </row>
    <row r="61" spans="1:59">
      <c r="A61" s="103" t="s">
        <v>843</v>
      </c>
      <c r="B61" s="103" t="s">
        <v>844</v>
      </c>
      <c r="C61" s="104" t="s">
        <v>724</v>
      </c>
      <c r="D61" s="105">
        <v>2099</v>
      </c>
      <c r="E61" s="106">
        <v>20099</v>
      </c>
      <c r="F61" s="104" t="s">
        <v>725</v>
      </c>
      <c r="G61" s="107">
        <v>18351295</v>
      </c>
      <c r="H61" s="108">
        <v>44</v>
      </c>
      <c r="I61" s="104" t="s">
        <v>727</v>
      </c>
      <c r="J61" s="109" t="s">
        <v>728</v>
      </c>
      <c r="K61" s="109">
        <v>44</v>
      </c>
      <c r="L61" s="110"/>
      <c r="M61" s="111">
        <v>0</v>
      </c>
      <c r="N61" s="111"/>
      <c r="O61" s="111">
        <v>0</v>
      </c>
      <c r="P61" s="111"/>
      <c r="Q61" s="111">
        <v>0</v>
      </c>
      <c r="R61" s="111"/>
      <c r="S61" s="111">
        <v>0</v>
      </c>
      <c r="T61" s="111"/>
      <c r="U61" s="111">
        <v>0</v>
      </c>
      <c r="V61" s="111"/>
      <c r="W61" s="111">
        <v>0</v>
      </c>
      <c r="X61" s="111"/>
      <c r="Y61" s="111">
        <v>27982542</v>
      </c>
      <c r="Z61" s="111"/>
      <c r="AA61" s="108">
        <v>0</v>
      </c>
      <c r="AB61" s="112"/>
      <c r="AC61" s="113"/>
      <c r="AD61" s="112">
        <v>0</v>
      </c>
      <c r="AE61" s="112"/>
      <c r="AF61" s="112">
        <v>0</v>
      </c>
      <c r="AG61" s="112"/>
      <c r="AH61" s="112">
        <v>0</v>
      </c>
      <c r="AI61" s="112"/>
      <c r="AJ61" s="112">
        <v>0</v>
      </c>
      <c r="AK61" s="112"/>
      <c r="AL61" s="112">
        <v>0</v>
      </c>
      <c r="AM61" s="112"/>
      <c r="AN61" s="112">
        <v>2267541</v>
      </c>
      <c r="AO61" s="112"/>
      <c r="AP61" s="112">
        <v>0</v>
      </c>
      <c r="AQ61" s="103"/>
      <c r="AR61" s="114"/>
      <c r="AS61" s="115"/>
      <c r="AT61" s="115"/>
      <c r="AU61" s="115"/>
      <c r="AV61" s="115"/>
      <c r="AW61" s="115"/>
      <c r="AX61" s="115"/>
      <c r="AY61" s="115"/>
      <c r="AZ61" s="115"/>
      <c r="BA61" s="115"/>
      <c r="BB61" s="115"/>
      <c r="BC61" s="115">
        <v>8.1000000000000003E-2</v>
      </c>
      <c r="BD61" s="115"/>
      <c r="BE61" s="115"/>
      <c r="BF61" s="103"/>
      <c r="BG61" s="103" t="s">
        <v>729</v>
      </c>
    </row>
    <row r="62" spans="1:59">
      <c r="A62" s="103" t="s">
        <v>845</v>
      </c>
      <c r="B62" s="103" t="s">
        <v>846</v>
      </c>
      <c r="C62" s="104" t="s">
        <v>847</v>
      </c>
      <c r="D62" s="105">
        <v>1102</v>
      </c>
      <c r="E62" s="106">
        <v>10102</v>
      </c>
      <c r="F62" s="104" t="s">
        <v>762</v>
      </c>
      <c r="G62" s="107">
        <v>924859</v>
      </c>
      <c r="H62" s="108">
        <v>43</v>
      </c>
      <c r="I62" s="104" t="s">
        <v>736</v>
      </c>
      <c r="J62" s="109" t="s">
        <v>735</v>
      </c>
      <c r="K62" s="109">
        <v>28</v>
      </c>
      <c r="L62" s="110"/>
      <c r="M62" s="111">
        <v>1678569</v>
      </c>
      <c r="N62" s="111"/>
      <c r="O62" s="111">
        <v>0</v>
      </c>
      <c r="P62" s="111"/>
      <c r="Q62" s="111">
        <v>0</v>
      </c>
      <c r="R62" s="111"/>
      <c r="S62" s="111">
        <v>0</v>
      </c>
      <c r="T62" s="111"/>
      <c r="U62" s="111">
        <v>0</v>
      </c>
      <c r="V62" s="111"/>
      <c r="W62" s="111">
        <v>0</v>
      </c>
      <c r="X62" s="111"/>
      <c r="Y62" s="111">
        <v>0</v>
      </c>
      <c r="Z62" s="111"/>
      <c r="AA62" s="108">
        <v>0</v>
      </c>
      <c r="AB62" s="112"/>
      <c r="AC62" s="113"/>
      <c r="AD62" s="112">
        <v>724004</v>
      </c>
      <c r="AE62" s="112"/>
      <c r="AF62" s="112">
        <v>0</v>
      </c>
      <c r="AG62" s="112"/>
      <c r="AH62" s="112">
        <v>0</v>
      </c>
      <c r="AI62" s="112"/>
      <c r="AJ62" s="112">
        <v>0</v>
      </c>
      <c r="AK62" s="112"/>
      <c r="AL62" s="112">
        <v>0</v>
      </c>
      <c r="AM62" s="112"/>
      <c r="AN62" s="112">
        <v>0</v>
      </c>
      <c r="AO62" s="112"/>
      <c r="AP62" s="112">
        <v>0</v>
      </c>
      <c r="AQ62" s="103"/>
      <c r="AR62" s="114"/>
      <c r="AS62" s="115">
        <v>0.43130000000000002</v>
      </c>
      <c r="AT62" s="115"/>
      <c r="AU62" s="115"/>
      <c r="AV62" s="115"/>
      <c r="AW62" s="115"/>
      <c r="AX62" s="115"/>
      <c r="AY62" s="115"/>
      <c r="AZ62" s="115"/>
      <c r="BA62" s="115"/>
      <c r="BB62" s="115"/>
      <c r="BC62" s="115"/>
      <c r="BD62" s="115"/>
      <c r="BE62" s="115"/>
      <c r="BF62" s="103"/>
      <c r="BG62" s="103" t="s">
        <v>729</v>
      </c>
    </row>
    <row r="63" spans="1:59">
      <c r="A63" s="103" t="s">
        <v>848</v>
      </c>
      <c r="B63" s="103" t="s">
        <v>849</v>
      </c>
      <c r="C63" s="104" t="s">
        <v>850</v>
      </c>
      <c r="D63" s="105">
        <v>9209</v>
      </c>
      <c r="E63" s="106">
        <v>90209</v>
      </c>
      <c r="F63" s="104" t="s">
        <v>733</v>
      </c>
      <c r="G63" s="107">
        <v>3629114</v>
      </c>
      <c r="H63" s="108">
        <v>38</v>
      </c>
      <c r="I63" s="104" t="s">
        <v>734</v>
      </c>
      <c r="J63" s="109" t="s">
        <v>735</v>
      </c>
      <c r="K63" s="109">
        <v>38</v>
      </c>
      <c r="L63" s="110"/>
      <c r="M63" s="111">
        <v>0</v>
      </c>
      <c r="N63" s="111"/>
      <c r="O63" s="111">
        <v>0</v>
      </c>
      <c r="P63" s="111"/>
      <c r="Q63" s="111">
        <v>0</v>
      </c>
      <c r="R63" s="111"/>
      <c r="S63" s="111">
        <v>0</v>
      </c>
      <c r="T63" s="111"/>
      <c r="U63" s="111">
        <v>0</v>
      </c>
      <c r="V63" s="111"/>
      <c r="W63" s="111">
        <v>0</v>
      </c>
      <c r="X63" s="111"/>
      <c r="Y63" s="111">
        <v>23474521</v>
      </c>
      <c r="Z63" s="111"/>
      <c r="AA63" s="108">
        <v>0</v>
      </c>
      <c r="AB63" s="112"/>
      <c r="AC63" s="113"/>
      <c r="AD63" s="112">
        <v>0</v>
      </c>
      <c r="AE63" s="112"/>
      <c r="AF63" s="112">
        <v>0</v>
      </c>
      <c r="AG63" s="112"/>
      <c r="AH63" s="112">
        <v>0</v>
      </c>
      <c r="AI63" s="112"/>
      <c r="AJ63" s="112">
        <v>0</v>
      </c>
      <c r="AK63" s="112"/>
      <c r="AL63" s="112">
        <v>0</v>
      </c>
      <c r="AM63" s="112"/>
      <c r="AN63" s="112">
        <v>3452467</v>
      </c>
      <c r="AO63" s="112"/>
      <c r="AP63" s="112">
        <v>0</v>
      </c>
      <c r="AQ63" s="103"/>
      <c r="AR63" s="114"/>
      <c r="AS63" s="115"/>
      <c r="AT63" s="115"/>
      <c r="AU63" s="115"/>
      <c r="AV63" s="115"/>
      <c r="AW63" s="115"/>
      <c r="AX63" s="115"/>
      <c r="AY63" s="115"/>
      <c r="AZ63" s="115"/>
      <c r="BA63" s="115"/>
      <c r="BB63" s="115"/>
      <c r="BC63" s="115">
        <v>0.14710000000000001</v>
      </c>
      <c r="BD63" s="115"/>
      <c r="BE63" s="115"/>
      <c r="BF63" s="103"/>
      <c r="BG63" s="103" t="s">
        <v>729</v>
      </c>
    </row>
    <row r="64" spans="1:59">
      <c r="A64" s="103" t="s">
        <v>851</v>
      </c>
      <c r="B64" s="103" t="s">
        <v>852</v>
      </c>
      <c r="C64" s="104" t="s">
        <v>739</v>
      </c>
      <c r="D64" s="105">
        <v>9182</v>
      </c>
      <c r="E64" s="106">
        <v>90182</v>
      </c>
      <c r="F64" s="104" t="s">
        <v>740</v>
      </c>
      <c r="G64" s="107">
        <v>370583</v>
      </c>
      <c r="H64" s="108">
        <v>35</v>
      </c>
      <c r="I64" s="104" t="s">
        <v>736</v>
      </c>
      <c r="J64" s="109" t="s">
        <v>735</v>
      </c>
      <c r="K64" s="109">
        <v>35</v>
      </c>
      <c r="L64" s="110"/>
      <c r="M64" s="111">
        <v>514210</v>
      </c>
      <c r="N64" s="111"/>
      <c r="O64" s="111">
        <v>0</v>
      </c>
      <c r="P64" s="111"/>
      <c r="Q64" s="111">
        <v>0</v>
      </c>
      <c r="R64" s="111"/>
      <c r="S64" s="111">
        <v>0</v>
      </c>
      <c r="T64" s="111"/>
      <c r="U64" s="111">
        <v>0</v>
      </c>
      <c r="V64" s="111"/>
      <c r="W64" s="111">
        <v>0</v>
      </c>
      <c r="X64" s="111"/>
      <c r="Y64" s="111">
        <v>0</v>
      </c>
      <c r="Z64" s="111"/>
      <c r="AA64" s="108">
        <v>0</v>
      </c>
      <c r="AB64" s="112"/>
      <c r="AC64" s="113"/>
      <c r="AD64" s="112">
        <v>130583</v>
      </c>
      <c r="AE64" s="112"/>
      <c r="AF64" s="112">
        <v>0</v>
      </c>
      <c r="AG64" s="112"/>
      <c r="AH64" s="112">
        <v>0</v>
      </c>
      <c r="AI64" s="112"/>
      <c r="AJ64" s="112">
        <v>0</v>
      </c>
      <c r="AK64" s="112"/>
      <c r="AL64" s="112">
        <v>0</v>
      </c>
      <c r="AM64" s="112"/>
      <c r="AN64" s="112">
        <v>0</v>
      </c>
      <c r="AO64" s="112"/>
      <c r="AP64" s="112">
        <v>0</v>
      </c>
      <c r="AQ64" s="103"/>
      <c r="AR64" s="114"/>
      <c r="AS64" s="115">
        <v>0.25390000000000001</v>
      </c>
      <c r="AT64" s="115"/>
      <c r="AU64" s="115"/>
      <c r="AV64" s="115"/>
      <c r="AW64" s="115"/>
      <c r="AX64" s="115"/>
      <c r="AY64" s="115"/>
      <c r="AZ64" s="115"/>
      <c r="BA64" s="115"/>
      <c r="BB64" s="115"/>
      <c r="BC64" s="115"/>
      <c r="BD64" s="115"/>
      <c r="BE64" s="115"/>
      <c r="BF64" s="103"/>
      <c r="BG64" s="103" t="s">
        <v>729</v>
      </c>
    </row>
    <row r="65" spans="1:59">
      <c r="A65" s="103" t="s">
        <v>853</v>
      </c>
      <c r="B65" s="103" t="s">
        <v>854</v>
      </c>
      <c r="C65" s="104" t="s">
        <v>765</v>
      </c>
      <c r="D65" s="105">
        <v>4232</v>
      </c>
      <c r="E65" s="106">
        <v>40232</v>
      </c>
      <c r="F65" s="104" t="s">
        <v>762</v>
      </c>
      <c r="G65" s="107">
        <v>1510516</v>
      </c>
      <c r="H65" s="108">
        <v>25</v>
      </c>
      <c r="I65" s="104" t="s">
        <v>736</v>
      </c>
      <c r="J65" s="109" t="s">
        <v>735</v>
      </c>
      <c r="K65" s="109">
        <v>25</v>
      </c>
      <c r="L65" s="110"/>
      <c r="M65" s="111">
        <v>810032</v>
      </c>
      <c r="N65" s="111"/>
      <c r="O65" s="111">
        <v>0</v>
      </c>
      <c r="P65" s="111"/>
      <c r="Q65" s="111">
        <v>0</v>
      </c>
      <c r="R65" s="111"/>
      <c r="S65" s="111">
        <v>0</v>
      </c>
      <c r="T65" s="111"/>
      <c r="U65" s="111">
        <v>0</v>
      </c>
      <c r="V65" s="111"/>
      <c r="W65" s="111">
        <v>0</v>
      </c>
      <c r="X65" s="111"/>
      <c r="Y65" s="111">
        <v>0</v>
      </c>
      <c r="Z65" s="111"/>
      <c r="AA65" s="108">
        <v>0</v>
      </c>
      <c r="AB65" s="112"/>
      <c r="AC65" s="113"/>
      <c r="AD65" s="112">
        <v>486222</v>
      </c>
      <c r="AE65" s="112"/>
      <c r="AF65" s="112">
        <v>0</v>
      </c>
      <c r="AG65" s="112"/>
      <c r="AH65" s="112">
        <v>0</v>
      </c>
      <c r="AI65" s="112"/>
      <c r="AJ65" s="112">
        <v>0</v>
      </c>
      <c r="AK65" s="112"/>
      <c r="AL65" s="112">
        <v>0</v>
      </c>
      <c r="AM65" s="112"/>
      <c r="AN65" s="112">
        <v>0</v>
      </c>
      <c r="AO65" s="112"/>
      <c r="AP65" s="112">
        <v>0</v>
      </c>
      <c r="AQ65" s="103"/>
      <c r="AR65" s="114"/>
      <c r="AS65" s="115">
        <v>0.60029999999999994</v>
      </c>
      <c r="AT65" s="115"/>
      <c r="AU65" s="115"/>
      <c r="AV65" s="115"/>
      <c r="AW65" s="115"/>
      <c r="AX65" s="115"/>
      <c r="AY65" s="115"/>
      <c r="AZ65" s="115"/>
      <c r="BA65" s="115"/>
      <c r="BB65" s="115"/>
      <c r="BC65" s="115"/>
      <c r="BD65" s="115"/>
      <c r="BE65" s="115"/>
      <c r="BF65" s="103"/>
      <c r="BG65" s="103" t="s">
        <v>729</v>
      </c>
    </row>
    <row r="66" spans="1:59">
      <c r="A66" s="103" t="s">
        <v>855</v>
      </c>
      <c r="B66" s="103" t="s">
        <v>782</v>
      </c>
      <c r="C66" s="104" t="s">
        <v>856</v>
      </c>
      <c r="D66" s="105">
        <v>1115</v>
      </c>
      <c r="E66" s="106">
        <v>10115</v>
      </c>
      <c r="F66" s="104" t="s">
        <v>740</v>
      </c>
      <c r="G66" s="107">
        <v>203914</v>
      </c>
      <c r="H66" s="108">
        <v>21</v>
      </c>
      <c r="I66" s="104" t="s">
        <v>736</v>
      </c>
      <c r="J66" s="109" t="s">
        <v>735</v>
      </c>
      <c r="K66" s="109">
        <v>21</v>
      </c>
      <c r="L66" s="110"/>
      <c r="M66" s="111">
        <v>628302</v>
      </c>
      <c r="N66" s="111"/>
      <c r="O66" s="111">
        <v>0</v>
      </c>
      <c r="P66" s="111"/>
      <c r="Q66" s="111">
        <v>0</v>
      </c>
      <c r="R66" s="111"/>
      <c r="S66" s="111">
        <v>0</v>
      </c>
      <c r="T66" s="111"/>
      <c r="U66" s="111">
        <v>0</v>
      </c>
      <c r="V66" s="111"/>
      <c r="W66" s="111">
        <v>0</v>
      </c>
      <c r="X66" s="111"/>
      <c r="Y66" s="111">
        <v>0</v>
      </c>
      <c r="Z66" s="111"/>
      <c r="AA66" s="108">
        <v>0</v>
      </c>
      <c r="AB66" s="112"/>
      <c r="AC66" s="113"/>
      <c r="AD66" s="112">
        <v>0</v>
      </c>
      <c r="AE66" s="112"/>
      <c r="AF66" s="112">
        <v>0</v>
      </c>
      <c r="AG66" s="112"/>
      <c r="AH66" s="112">
        <v>0</v>
      </c>
      <c r="AI66" s="112"/>
      <c r="AJ66" s="112">
        <v>0</v>
      </c>
      <c r="AK66" s="112"/>
      <c r="AL66" s="112">
        <v>0</v>
      </c>
      <c r="AM66" s="112"/>
      <c r="AN66" s="112">
        <v>0</v>
      </c>
      <c r="AO66" s="112"/>
      <c r="AP66" s="112">
        <v>0</v>
      </c>
      <c r="AQ66" s="103"/>
      <c r="AR66" s="114"/>
      <c r="AS66" s="115">
        <v>0</v>
      </c>
      <c r="AT66" s="115"/>
      <c r="AU66" s="115"/>
      <c r="AV66" s="115"/>
      <c r="AW66" s="115"/>
      <c r="AX66" s="115"/>
      <c r="AY66" s="115"/>
      <c r="AZ66" s="115"/>
      <c r="BA66" s="115"/>
      <c r="BB66" s="115"/>
      <c r="BC66" s="115"/>
      <c r="BD66" s="115"/>
      <c r="BE66" s="115"/>
      <c r="BF66" s="103"/>
      <c r="BG66" s="103" t="s">
        <v>729</v>
      </c>
    </row>
    <row r="67" spans="1:59">
      <c r="A67" s="103" t="s">
        <v>857</v>
      </c>
      <c r="B67" s="103" t="s">
        <v>858</v>
      </c>
      <c r="C67" s="104" t="s">
        <v>755</v>
      </c>
      <c r="D67" s="105">
        <v>3057</v>
      </c>
      <c r="E67" s="106">
        <v>30057</v>
      </c>
      <c r="F67" s="104" t="s">
        <v>762</v>
      </c>
      <c r="G67" s="107">
        <v>5441567</v>
      </c>
      <c r="H67" s="108">
        <v>20</v>
      </c>
      <c r="I67" s="104" t="s">
        <v>736</v>
      </c>
      <c r="J67" s="109" t="s">
        <v>735</v>
      </c>
      <c r="K67" s="109">
        <v>20</v>
      </c>
      <c r="L67" s="110"/>
      <c r="M67" s="111">
        <v>0</v>
      </c>
      <c r="N67" s="111"/>
      <c r="O67" s="111">
        <v>0</v>
      </c>
      <c r="P67" s="111"/>
      <c r="Q67" s="111">
        <v>0</v>
      </c>
      <c r="R67" s="111"/>
      <c r="S67" s="111">
        <v>0</v>
      </c>
      <c r="T67" s="111"/>
      <c r="U67" s="111">
        <v>0</v>
      </c>
      <c r="V67" s="111"/>
      <c r="W67" s="111">
        <v>0</v>
      </c>
      <c r="X67" s="111"/>
      <c r="Y67" s="111">
        <v>27325354</v>
      </c>
      <c r="Z67" s="111"/>
      <c r="AA67" s="108">
        <v>0</v>
      </c>
      <c r="AB67" s="112"/>
      <c r="AC67" s="113"/>
      <c r="AD67" s="112">
        <v>0</v>
      </c>
      <c r="AE67" s="112"/>
      <c r="AF67" s="112">
        <v>0</v>
      </c>
      <c r="AG67" s="112"/>
      <c r="AH67" s="112">
        <v>0</v>
      </c>
      <c r="AI67" s="112"/>
      <c r="AJ67" s="112">
        <v>0</v>
      </c>
      <c r="AK67" s="112"/>
      <c r="AL67" s="112">
        <v>0</v>
      </c>
      <c r="AM67" s="112"/>
      <c r="AN67" s="112">
        <v>0</v>
      </c>
      <c r="AO67" s="112"/>
      <c r="AP67" s="112">
        <v>0</v>
      </c>
      <c r="AQ67" s="103"/>
      <c r="AR67" s="114"/>
      <c r="AS67" s="115"/>
      <c r="AT67" s="115"/>
      <c r="AU67" s="115"/>
      <c r="AV67" s="115"/>
      <c r="AW67" s="115"/>
      <c r="AX67" s="115"/>
      <c r="AY67" s="115"/>
      <c r="AZ67" s="115"/>
      <c r="BA67" s="115"/>
      <c r="BB67" s="115"/>
      <c r="BC67" s="115">
        <v>0</v>
      </c>
      <c r="BD67" s="115"/>
      <c r="BE67" s="115"/>
      <c r="BF67" s="103"/>
      <c r="BG67" s="103" t="s">
        <v>729</v>
      </c>
    </row>
    <row r="68" spans="1:59">
      <c r="A68" s="103" t="s">
        <v>859</v>
      </c>
      <c r="B68" s="103" t="s">
        <v>860</v>
      </c>
      <c r="C68" s="104" t="s">
        <v>739</v>
      </c>
      <c r="D68" s="105"/>
      <c r="E68" s="106">
        <v>90299</v>
      </c>
      <c r="F68" s="104" t="s">
        <v>740</v>
      </c>
      <c r="G68" s="107">
        <v>308231</v>
      </c>
      <c r="H68" s="108">
        <v>12</v>
      </c>
      <c r="I68" s="104" t="s">
        <v>736</v>
      </c>
      <c r="J68" s="109" t="s">
        <v>728</v>
      </c>
      <c r="K68" s="109">
        <v>12</v>
      </c>
      <c r="L68" s="110"/>
      <c r="M68" s="111">
        <v>286520</v>
      </c>
      <c r="N68" s="111"/>
      <c r="O68" s="111">
        <v>0</v>
      </c>
      <c r="P68" s="111"/>
      <c r="Q68" s="111">
        <v>0</v>
      </c>
      <c r="R68" s="111"/>
      <c r="S68" s="111">
        <v>0</v>
      </c>
      <c r="T68" s="111"/>
      <c r="U68" s="111">
        <v>0</v>
      </c>
      <c r="V68" s="111"/>
      <c r="W68" s="111">
        <v>0</v>
      </c>
      <c r="X68" s="111"/>
      <c r="Y68" s="111">
        <v>0</v>
      </c>
      <c r="Z68" s="111"/>
      <c r="AA68" s="108">
        <v>0</v>
      </c>
      <c r="AB68" s="112"/>
      <c r="AC68" s="113"/>
      <c r="AD68" s="112">
        <v>931897</v>
      </c>
      <c r="AE68" s="112"/>
      <c r="AF68" s="112">
        <v>0</v>
      </c>
      <c r="AG68" s="112"/>
      <c r="AH68" s="112">
        <v>0</v>
      </c>
      <c r="AI68" s="112"/>
      <c r="AJ68" s="112">
        <v>0</v>
      </c>
      <c r="AK68" s="112"/>
      <c r="AL68" s="112">
        <v>0</v>
      </c>
      <c r="AM68" s="112"/>
      <c r="AN68" s="112">
        <v>0</v>
      </c>
      <c r="AO68" s="112"/>
      <c r="AP68" s="112">
        <v>0</v>
      </c>
      <c r="AQ68" s="103"/>
      <c r="AR68" s="114"/>
      <c r="AS68" s="115">
        <v>3.2524999999999999</v>
      </c>
      <c r="AT68" s="115"/>
      <c r="AU68" s="115"/>
      <c r="AV68" s="115"/>
      <c r="AW68" s="115"/>
      <c r="AX68" s="115"/>
      <c r="AY68" s="115"/>
      <c r="AZ68" s="115"/>
      <c r="BA68" s="115"/>
      <c r="BB68" s="115"/>
      <c r="BC68" s="115"/>
      <c r="BD68" s="115"/>
      <c r="BE68" s="115"/>
      <c r="BF68" s="103"/>
      <c r="BG68" s="103" t="s">
        <v>729</v>
      </c>
    </row>
    <row r="70" spans="1:59">
      <c r="M70" s="6">
        <f>SUM(M1:M68)</f>
        <v>104995073</v>
      </c>
      <c r="N70" s="6">
        <f t="shared" ref="N70:AB70" si="0">SUM(N1:N68)</f>
        <v>0</v>
      </c>
      <c r="O70" s="6">
        <f t="shared" si="0"/>
        <v>0</v>
      </c>
      <c r="P70" s="6">
        <f t="shared" si="0"/>
        <v>0</v>
      </c>
      <c r="Q70" s="6">
        <f t="shared" si="0"/>
        <v>0</v>
      </c>
      <c r="R70" s="6">
        <f t="shared" si="0"/>
        <v>0</v>
      </c>
      <c r="S70" s="6">
        <f t="shared" si="0"/>
        <v>0</v>
      </c>
      <c r="T70" s="6">
        <f t="shared" si="0"/>
        <v>0</v>
      </c>
      <c r="U70" s="6">
        <f t="shared" si="0"/>
        <v>792273</v>
      </c>
      <c r="V70" s="6">
        <f t="shared" si="0"/>
        <v>0</v>
      </c>
      <c r="W70" s="6">
        <f t="shared" si="0"/>
        <v>0</v>
      </c>
      <c r="X70" s="6">
        <f t="shared" si="0"/>
        <v>0</v>
      </c>
      <c r="Y70" s="6">
        <f t="shared" si="0"/>
        <v>6030683824</v>
      </c>
      <c r="Z70" s="6">
        <f t="shared" si="0"/>
        <v>0</v>
      </c>
      <c r="AA70" s="6">
        <f t="shared" si="0"/>
        <v>0</v>
      </c>
      <c r="AB70" s="6">
        <f t="shared" si="0"/>
        <v>0</v>
      </c>
    </row>
  </sheetData>
  <conditionalFormatting sqref="A2:BG68">
    <cfRule type="expression" dxfId="2" priority="1">
      <formula>MOD(ROW(),2)=0</formula>
    </cfRule>
  </conditionalFormatting>
  <conditionalFormatting sqref="K5:K68">
    <cfRule type="expression" dxfId="1" priority="5">
      <formula>MOD(ROW(),2)=0</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A7821-BEDD-4DE0-B288-4FF077BD012A}">
  <sheetPr>
    <tabColor theme="9"/>
  </sheetPr>
  <dimension ref="A1"/>
  <sheetViews>
    <sheetView workbookViewId="0"/>
  </sheetViews>
  <sheetFormatPr defaultRowHeight="1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3"/>
  <sheetViews>
    <sheetView workbookViewId="0"/>
  </sheetViews>
  <sheetFormatPr defaultRowHeight="15"/>
  <cols>
    <col min="1" max="1" width="12.28515625" customWidth="1"/>
    <col min="2" max="2" width="21.85546875" customWidth="1"/>
    <col min="3" max="3" width="18.140625" customWidth="1"/>
    <col min="4" max="5" width="16.7109375" customWidth="1"/>
    <col min="6" max="8" width="20.5703125" customWidth="1"/>
  </cols>
  <sheetData>
    <row r="1" spans="1:1">
      <c r="A1" t="s">
        <v>226</v>
      </c>
    </row>
    <row r="2" spans="1:1">
      <c r="A2" t="s">
        <v>227</v>
      </c>
    </row>
    <row r="3" spans="1:1">
      <c r="A3" t="s">
        <v>228</v>
      </c>
    </row>
    <row r="4" spans="1:1">
      <c r="A4" t="s">
        <v>229</v>
      </c>
    </row>
    <row r="5" spans="1:1">
      <c r="A5" t="s">
        <v>230</v>
      </c>
    </row>
    <row r="6" spans="1:1">
      <c r="A6" t="s">
        <v>231</v>
      </c>
    </row>
    <row r="7" spans="1:1">
      <c r="A7" t="s">
        <v>232</v>
      </c>
    </row>
    <row r="8" spans="1:1">
      <c r="A8" t="s">
        <v>233</v>
      </c>
    </row>
    <row r="10" spans="1:1">
      <c r="A10" t="s">
        <v>236</v>
      </c>
    </row>
    <row r="11" spans="1:1">
      <c r="A11" t="s">
        <v>237</v>
      </c>
    </row>
    <row r="12" spans="1:1">
      <c r="A12" t="s">
        <v>238</v>
      </c>
    </row>
    <row r="13" spans="1:1">
      <c r="A13" t="s">
        <v>239</v>
      </c>
    </row>
    <row r="14" spans="1:1">
      <c r="A14" t="s">
        <v>245</v>
      </c>
    </row>
    <row r="15" spans="1:1">
      <c r="A15" t="s">
        <v>244</v>
      </c>
    </row>
    <row r="17" spans="1:8">
      <c r="A17" s="2" t="s">
        <v>234</v>
      </c>
      <c r="B17" s="3"/>
      <c r="C17" s="3"/>
      <c r="D17" s="3"/>
      <c r="E17" s="3"/>
      <c r="F17" s="3"/>
      <c r="G17" s="3"/>
      <c r="H17" s="3"/>
    </row>
    <row r="18" spans="1:8">
      <c r="B18" s="12" t="s">
        <v>111</v>
      </c>
      <c r="C18" s="12" t="s">
        <v>112</v>
      </c>
      <c r="D18" s="12" t="s">
        <v>113</v>
      </c>
      <c r="E18" s="12" t="s">
        <v>114</v>
      </c>
      <c r="F18" s="12" t="s">
        <v>115</v>
      </c>
      <c r="G18" s="12" t="s">
        <v>257</v>
      </c>
      <c r="H18" s="12" t="s">
        <v>258</v>
      </c>
    </row>
    <row r="19" spans="1:8">
      <c r="A19" t="s">
        <v>219</v>
      </c>
      <c r="B19">
        <v>1</v>
      </c>
      <c r="C19">
        <v>1</v>
      </c>
      <c r="D19">
        <v>1</v>
      </c>
      <c r="E19">
        <v>1</v>
      </c>
      <c r="F19">
        <v>1</v>
      </c>
      <c r="G19">
        <v>1</v>
      </c>
      <c r="H19">
        <v>1</v>
      </c>
    </row>
    <row r="20" spans="1:8">
      <c r="A20" t="s">
        <v>134</v>
      </c>
      <c r="B20">
        <v>1</v>
      </c>
      <c r="C20">
        <v>1</v>
      </c>
      <c r="D20">
        <v>1</v>
      </c>
      <c r="E20">
        <v>1</v>
      </c>
      <c r="F20">
        <v>1</v>
      </c>
      <c r="G20">
        <v>1</v>
      </c>
      <c r="H20">
        <v>1</v>
      </c>
    </row>
    <row r="21" spans="1:8">
      <c r="A21" t="s">
        <v>131</v>
      </c>
      <c r="B21">
        <v>1</v>
      </c>
      <c r="C21">
        <v>1</v>
      </c>
      <c r="D21">
        <v>1</v>
      </c>
      <c r="E21">
        <v>1</v>
      </c>
      <c r="F21">
        <v>0</v>
      </c>
      <c r="G21">
        <v>0</v>
      </c>
      <c r="H21">
        <v>1</v>
      </c>
    </row>
    <row r="22" spans="1:8">
      <c r="A22" t="s">
        <v>220</v>
      </c>
      <c r="B22">
        <v>1</v>
      </c>
      <c r="C22">
        <v>1</v>
      </c>
      <c r="D22">
        <v>1</v>
      </c>
      <c r="E22">
        <v>1</v>
      </c>
      <c r="F22">
        <v>0</v>
      </c>
      <c r="G22">
        <v>0</v>
      </c>
      <c r="H22">
        <v>1</v>
      </c>
    </row>
    <row r="23" spans="1:8">
      <c r="A23" t="s">
        <v>221</v>
      </c>
      <c r="B23">
        <v>1</v>
      </c>
      <c r="C23">
        <v>1</v>
      </c>
      <c r="D23">
        <v>1</v>
      </c>
      <c r="E23">
        <v>1</v>
      </c>
      <c r="F23">
        <v>0</v>
      </c>
      <c r="G23">
        <v>0</v>
      </c>
      <c r="H23">
        <v>1</v>
      </c>
    </row>
    <row r="24" spans="1:8">
      <c r="A24" t="s">
        <v>222</v>
      </c>
      <c r="B24">
        <v>1</v>
      </c>
      <c r="C24">
        <v>1</v>
      </c>
      <c r="D24">
        <v>1</v>
      </c>
      <c r="E24">
        <v>1</v>
      </c>
      <c r="F24">
        <v>1</v>
      </c>
      <c r="G24">
        <v>1</v>
      </c>
      <c r="H24">
        <v>1</v>
      </c>
    </row>
    <row r="26" spans="1:8">
      <c r="A26" s="2" t="s">
        <v>235</v>
      </c>
      <c r="B26" s="3"/>
      <c r="C26" s="3"/>
      <c r="D26" s="3"/>
      <c r="E26" s="3"/>
      <c r="F26" s="3"/>
      <c r="G26" s="3"/>
      <c r="H26" s="3"/>
    </row>
    <row r="27" spans="1:8">
      <c r="B27" s="12" t="s">
        <v>111</v>
      </c>
      <c r="C27" s="12" t="s">
        <v>112</v>
      </c>
      <c r="D27" s="12" t="s">
        <v>113</v>
      </c>
      <c r="E27" s="12" t="s">
        <v>114</v>
      </c>
      <c r="F27" s="12" t="s">
        <v>115</v>
      </c>
      <c r="G27" s="12" t="s">
        <v>257</v>
      </c>
      <c r="H27" s="12" t="s">
        <v>258</v>
      </c>
    </row>
    <row r="28" spans="1:8">
      <c r="A28" t="s">
        <v>219</v>
      </c>
      <c r="B28">
        <v>1</v>
      </c>
      <c r="C28">
        <v>1</v>
      </c>
      <c r="D28">
        <v>1</v>
      </c>
      <c r="E28">
        <v>1</v>
      </c>
      <c r="F28">
        <v>1</v>
      </c>
      <c r="G28">
        <v>1</v>
      </c>
      <c r="H28">
        <v>1</v>
      </c>
    </row>
    <row r="29" spans="1:8">
      <c r="A29" t="s">
        <v>134</v>
      </c>
      <c r="B29">
        <v>1</v>
      </c>
      <c r="C29">
        <v>1</v>
      </c>
      <c r="D29">
        <v>1</v>
      </c>
      <c r="E29">
        <v>1</v>
      </c>
      <c r="F29">
        <v>1</v>
      </c>
      <c r="G29">
        <v>1</v>
      </c>
      <c r="H29">
        <v>1</v>
      </c>
    </row>
    <row r="30" spans="1:8">
      <c r="A30" t="s">
        <v>131</v>
      </c>
      <c r="B30">
        <v>1</v>
      </c>
      <c r="C30">
        <v>1</v>
      </c>
      <c r="D30">
        <v>1</v>
      </c>
      <c r="E30">
        <v>1</v>
      </c>
      <c r="F30">
        <v>0</v>
      </c>
      <c r="G30">
        <v>0</v>
      </c>
      <c r="H30">
        <v>1</v>
      </c>
    </row>
    <row r="31" spans="1:8">
      <c r="A31" t="s">
        <v>220</v>
      </c>
      <c r="B31">
        <v>1</v>
      </c>
      <c r="C31">
        <v>1</v>
      </c>
      <c r="D31">
        <v>1</v>
      </c>
      <c r="E31">
        <v>1</v>
      </c>
      <c r="F31">
        <v>0</v>
      </c>
      <c r="G31">
        <v>0</v>
      </c>
      <c r="H31">
        <v>1</v>
      </c>
    </row>
    <row r="32" spans="1:8">
      <c r="A32" t="s">
        <v>221</v>
      </c>
      <c r="B32">
        <v>1</v>
      </c>
      <c r="C32">
        <v>1</v>
      </c>
      <c r="D32">
        <v>1</v>
      </c>
      <c r="E32">
        <v>1</v>
      </c>
      <c r="F32">
        <v>0</v>
      </c>
      <c r="G32">
        <v>0</v>
      </c>
      <c r="H32">
        <v>1</v>
      </c>
    </row>
    <row r="33" spans="1:8">
      <c r="A33" t="s">
        <v>222</v>
      </c>
      <c r="B33">
        <v>1</v>
      </c>
      <c r="C33">
        <v>1</v>
      </c>
      <c r="D33">
        <v>1</v>
      </c>
      <c r="E33">
        <v>1</v>
      </c>
      <c r="F33">
        <v>1</v>
      </c>
      <c r="G33">
        <v>1</v>
      </c>
      <c r="H33">
        <v>1</v>
      </c>
    </row>
  </sheetData>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FC765-561B-4C3F-8161-235865212FAF}">
  <dimension ref="B2:X69"/>
  <sheetViews>
    <sheetView workbookViewId="0"/>
  </sheetViews>
  <sheetFormatPr defaultRowHeight="15"/>
  <cols>
    <col min="2" max="2" width="18.28515625" customWidth="1"/>
    <col min="3" max="3" width="12" bestFit="1" customWidth="1"/>
    <col min="4" max="4" width="11.42578125" customWidth="1"/>
    <col min="5" max="5" width="22.42578125" bestFit="1" customWidth="1"/>
    <col min="6" max="6" width="15.28515625" bestFit="1" customWidth="1"/>
    <col min="7" max="7" width="16.85546875" bestFit="1" customWidth="1"/>
    <col min="8" max="8" width="15.85546875" customWidth="1"/>
    <col min="9" max="9" width="18.5703125" customWidth="1"/>
    <col min="10" max="10" width="16.42578125" bestFit="1" customWidth="1"/>
    <col min="11" max="11" width="17.85546875" bestFit="1" customWidth="1"/>
    <col min="12" max="12" width="9.7109375" bestFit="1" customWidth="1"/>
    <col min="13" max="13" width="14.28515625" bestFit="1" customWidth="1"/>
    <col min="14" max="20" width="14.28515625" customWidth="1"/>
    <col min="21" max="21" width="18.140625" bestFit="1" customWidth="1"/>
    <col min="22" max="22" width="19.42578125" bestFit="1" customWidth="1"/>
  </cols>
  <sheetData>
    <row r="2" spans="2:22">
      <c r="B2" s="1" t="s">
        <v>907</v>
      </c>
      <c r="C2" s="6">
        <v>138700</v>
      </c>
    </row>
    <row r="3" spans="2:22">
      <c r="B3" s="1" t="s">
        <v>908</v>
      </c>
      <c r="C3">
        <v>3412.14</v>
      </c>
      <c r="H3" s="21"/>
    </row>
    <row r="4" spans="2:22">
      <c r="B4" s="1" t="s">
        <v>681</v>
      </c>
      <c r="C4" s="116" t="s">
        <v>909</v>
      </c>
      <c r="D4" s="116" t="s">
        <v>727</v>
      </c>
      <c r="E4" s="116" t="s">
        <v>736</v>
      </c>
      <c r="F4" s="116" t="s">
        <v>734</v>
      </c>
    </row>
    <row r="5" spans="2:22">
      <c r="B5" s="1"/>
      <c r="C5" s="1"/>
      <c r="D5" s="1"/>
      <c r="E5" s="1"/>
      <c r="F5" s="1"/>
    </row>
    <row r="6" spans="2:22">
      <c r="B6" s="1" t="s">
        <v>3245</v>
      </c>
      <c r="C6" s="1"/>
      <c r="D6" s="1"/>
      <c r="E6" s="1"/>
      <c r="F6" s="1"/>
    </row>
    <row r="7" spans="2:22">
      <c r="B7" t="s">
        <v>638</v>
      </c>
      <c r="C7" s="187">
        <f>SUMIFS('AEO 2025 Table 36 Alt T'!$G$77:$G$89,'AEO 2025 Table 36 Alt T'!$B$77:$B$89,B7)*10^12</f>
        <v>23082237999999.996</v>
      </c>
      <c r="D7" s="1"/>
      <c r="E7" s="1"/>
      <c r="F7" s="1"/>
    </row>
    <row r="8" spans="2:22">
      <c r="B8" t="s">
        <v>207</v>
      </c>
      <c r="C8" s="187">
        <f>SUMIFS('AEO 2025 Table 36 Alt T'!$G$77:$G$89,'AEO 2025 Table 36 Alt T'!$B$77:$B$89,B8)*10^12</f>
        <v>20809967000000</v>
      </c>
      <c r="D8" s="1"/>
      <c r="E8" s="1"/>
      <c r="F8" s="1"/>
    </row>
    <row r="9" spans="2:22">
      <c r="B9" s="1"/>
      <c r="C9" s="187"/>
      <c r="D9" s="187"/>
      <c r="E9" s="1"/>
      <c r="F9" s="1"/>
    </row>
    <row r="10" spans="2:22">
      <c r="B10" s="1"/>
      <c r="C10" s="1"/>
      <c r="D10" s="1"/>
      <c r="E10" s="1"/>
      <c r="F10" s="1"/>
    </row>
    <row r="11" spans="2:22">
      <c r="B11" s="1"/>
      <c r="C11" s="1"/>
      <c r="D11" s="1"/>
      <c r="E11" s="117" t="s">
        <v>910</v>
      </c>
      <c r="F11" s="117"/>
      <c r="G11" s="118"/>
      <c r="H11" s="118"/>
      <c r="I11" s="118"/>
      <c r="J11" s="118"/>
      <c r="K11" s="118"/>
      <c r="L11" s="118"/>
      <c r="M11" s="118"/>
      <c r="N11" s="118"/>
      <c r="O11" s="118"/>
      <c r="P11" s="119" t="s">
        <v>911</v>
      </c>
      <c r="Q11" s="120"/>
      <c r="R11" s="120"/>
      <c r="S11" s="120"/>
      <c r="T11" s="120"/>
      <c r="U11" s="120"/>
      <c r="V11" s="120"/>
    </row>
    <row r="12" spans="2:22">
      <c r="G12" s="121"/>
      <c r="H12" s="1" t="s">
        <v>879</v>
      </c>
      <c r="I12" s="1"/>
      <c r="J12" s="1"/>
      <c r="K12" s="1"/>
      <c r="N12" s="1"/>
      <c r="O12" s="1"/>
    </row>
    <row r="13" spans="2:22">
      <c r="B13" s="122" t="s">
        <v>674</v>
      </c>
      <c r="C13" s="122" t="s">
        <v>674</v>
      </c>
      <c r="D13" s="1" t="s">
        <v>912</v>
      </c>
      <c r="E13" s="1" t="s">
        <v>685</v>
      </c>
      <c r="F13" s="1" t="s">
        <v>695</v>
      </c>
      <c r="G13" s="1" t="s">
        <v>717</v>
      </c>
      <c r="H13" s="1" t="s">
        <v>327</v>
      </c>
      <c r="I13" s="1" t="s">
        <v>887</v>
      </c>
      <c r="J13" s="1" t="s">
        <v>913</v>
      </c>
      <c r="K13" s="1" t="s">
        <v>914</v>
      </c>
      <c r="L13" s="123" t="s">
        <v>915</v>
      </c>
      <c r="M13" s="123" t="s">
        <v>916</v>
      </c>
      <c r="N13" s="123" t="s">
        <v>917</v>
      </c>
      <c r="O13" s="123" t="s">
        <v>918</v>
      </c>
      <c r="P13" s="1" t="s">
        <v>863</v>
      </c>
      <c r="Q13" s="1" t="s">
        <v>871</v>
      </c>
      <c r="R13" s="1" t="s">
        <v>875</v>
      </c>
      <c r="S13" s="1" t="s">
        <v>919</v>
      </c>
      <c r="T13" s="1" t="s">
        <v>920</v>
      </c>
      <c r="U13" s="123" t="s">
        <v>921</v>
      </c>
      <c r="V13" s="123" t="s">
        <v>922</v>
      </c>
    </row>
    <row r="14" spans="2:22">
      <c r="B14" s="124" t="s">
        <v>923</v>
      </c>
      <c r="C14" s="124" t="s">
        <v>924</v>
      </c>
      <c r="D14" t="s">
        <v>925</v>
      </c>
      <c r="E14">
        <f>SUMIFS('Annual Service Data_rail only'!N:N,'Annual Service Data_rail only'!C:C,C14)</f>
        <v>0</v>
      </c>
      <c r="F14" s="121">
        <f>SUMIFS('Annual Service Data_rail only'!X:X,'Annual Service Data_rail only'!C:C,C14)</f>
        <v>0</v>
      </c>
      <c r="G14" s="121">
        <f>SUMIFS('Annual Service Data_rail only'!AT:AT,'Annual Service Data_rail only'!C:C,C14)</f>
        <v>0</v>
      </c>
      <c r="H14">
        <f>SUMIFS('Fuel and Energy_rail only'!AD:AD,'Fuel and Energy_rail only'!C:C,C14)</f>
        <v>0</v>
      </c>
      <c r="I14">
        <f>SUMIFS('Fuel and Energy_rail only'!AN:AN,'Fuel and Energy_rail only'!C:C,C14)</f>
        <v>0</v>
      </c>
      <c r="J14" s="21">
        <f>IFERROR(H14/SUM($H14:$I14),0)</f>
        <v>0</v>
      </c>
      <c r="K14" s="21">
        <f>IFERROR(I14/SUM($H14:$I14),0)</f>
        <v>0</v>
      </c>
      <c r="L14" s="125">
        <f t="shared" ref="L14:L45" si="0">IFERROR(G14/F14,0)</f>
        <v>0</v>
      </c>
      <c r="M14" s="126">
        <f t="shared" ref="M14:M45" si="1">IFERROR(F14/E14,0)</f>
        <v>0</v>
      </c>
      <c r="N14" s="126">
        <f>E14*J14</f>
        <v>0</v>
      </c>
      <c r="O14" s="126">
        <f>K14*E14</f>
        <v>0</v>
      </c>
      <c r="P14">
        <f>SUMIFS('Fuel and Energy_rail only'!M:M,'Fuel and Energy_rail only'!C:C,C14)</f>
        <v>0</v>
      </c>
      <c r="Q14">
        <f>SUMIFS('Fuel and Energy_rail only'!U:U,'Fuel and Energy_rail only'!C:C,C14)</f>
        <v>0</v>
      </c>
      <c r="R14">
        <f>SUMIFS('Fuel and Energy_rail only'!Y:Y,'Fuel and Energy_rail only'!C:C,C14)</f>
        <v>0</v>
      </c>
      <c r="S14">
        <f>SUM(P14:Q14)*$C$2</f>
        <v>0</v>
      </c>
      <c r="T14">
        <f>R14*$C$3</f>
        <v>0</v>
      </c>
      <c r="U14" s="127">
        <f>IFERROR(($L14*$M14*N14)/S14,0)</f>
        <v>0</v>
      </c>
      <c r="V14" s="127">
        <f>IFERROR(($L14*$M14*O14)/T14,0)</f>
        <v>0</v>
      </c>
    </row>
    <row r="15" spans="2:22">
      <c r="B15" s="124" t="s">
        <v>926</v>
      </c>
      <c r="C15" s="124" t="s">
        <v>927</v>
      </c>
      <c r="D15" t="s">
        <v>928</v>
      </c>
      <c r="E15">
        <f>SUMIFS('Annual Service Data_rail only'!N:N,'Annual Service Data_rail only'!C:C,C15)</f>
        <v>0</v>
      </c>
      <c r="F15" s="121">
        <f>SUMIFS('Annual Service Data_rail only'!X:X,'Annual Service Data_rail only'!C:C,C15)</f>
        <v>0</v>
      </c>
      <c r="G15" s="121">
        <f>SUMIFS('Annual Service Data_rail only'!AT:AT,'Annual Service Data_rail only'!C:C,C15)</f>
        <v>0</v>
      </c>
      <c r="H15">
        <f>SUMIFS('Fuel and Energy_rail only'!AD:AD,'Fuel and Energy_rail only'!C:C,C15)</f>
        <v>0</v>
      </c>
      <c r="I15">
        <f>SUMIFS('Fuel and Energy_rail only'!AN:AN,'Fuel and Energy_rail only'!C:C,C15)</f>
        <v>0</v>
      </c>
      <c r="J15" s="21">
        <f t="shared" ref="J15:K64" si="2">IFERROR(H15/SUM($H15:$I15),0)</f>
        <v>0</v>
      </c>
      <c r="K15" s="21">
        <f t="shared" si="2"/>
        <v>0</v>
      </c>
      <c r="L15" s="125">
        <f t="shared" si="0"/>
        <v>0</v>
      </c>
      <c r="M15" s="126">
        <f t="shared" si="1"/>
        <v>0</v>
      </c>
      <c r="N15" s="126">
        <f t="shared" ref="N15:N64" si="3">E15*J15</f>
        <v>0</v>
      </c>
      <c r="O15" s="126">
        <f t="shared" ref="O15:O64" si="4">K15*E15</f>
        <v>0</v>
      </c>
      <c r="P15">
        <f>SUMIFS('Fuel and Energy_rail only'!M:M,'Fuel and Energy_rail only'!C:C,C15)</f>
        <v>0</v>
      </c>
      <c r="Q15">
        <f>SUMIFS('Fuel and Energy_rail only'!U:U,'Fuel and Energy_rail only'!C:C,C15)</f>
        <v>0</v>
      </c>
      <c r="R15">
        <f>SUMIFS('Fuel and Energy_rail only'!Y:Y,'Fuel and Energy_rail only'!C:C,C15)</f>
        <v>0</v>
      </c>
      <c r="S15">
        <f t="shared" ref="S15:S64" si="5">SUM(P15:Q15)*$C$2</f>
        <v>0</v>
      </c>
      <c r="T15">
        <f t="shared" ref="T15:T64" si="6">R15*$C$3</f>
        <v>0</v>
      </c>
      <c r="U15" s="127">
        <f t="shared" ref="U15:V64" si="7">IFERROR(($L15*$M15*N15)/S15,0)</f>
        <v>0</v>
      </c>
      <c r="V15" s="127">
        <f t="shared" si="7"/>
        <v>0</v>
      </c>
    </row>
    <row r="16" spans="2:22">
      <c r="B16" s="124" t="s">
        <v>929</v>
      </c>
      <c r="C16" s="124" t="s">
        <v>850</v>
      </c>
      <c r="D16" t="s">
        <v>930</v>
      </c>
      <c r="E16">
        <f>SUMIFS('Annual Service Data_rail only'!N:N,'Annual Service Data_rail only'!C:C,C16)</f>
        <v>17</v>
      </c>
      <c r="F16" s="121">
        <f>SUMIFS('Annual Service Data_rail only'!X:X,'Annual Service Data_rail only'!C:C,C16)</f>
        <v>3435184</v>
      </c>
      <c r="G16" s="121">
        <f>SUMIFS('Annual Service Data_rail only'!AT:AT,'Annual Service Data_rail only'!C:C,C16)</f>
        <v>90553779</v>
      </c>
      <c r="H16">
        <f>SUMIFS('Fuel and Energy_rail only'!AD:AD,'Fuel and Energy_rail only'!C:C,C16)</f>
        <v>0</v>
      </c>
      <c r="I16">
        <f>SUMIFS('Fuel and Energy_rail only'!AN:AN,'Fuel and Energy_rail only'!C:C,C16)</f>
        <v>3452467</v>
      </c>
      <c r="J16" s="21">
        <f t="shared" si="2"/>
        <v>0</v>
      </c>
      <c r="K16" s="21">
        <f t="shared" si="2"/>
        <v>1</v>
      </c>
      <c r="L16" s="125">
        <f t="shared" si="0"/>
        <v>26.360677914196152</v>
      </c>
      <c r="M16" s="126">
        <f t="shared" si="1"/>
        <v>202069.64705882352</v>
      </c>
      <c r="N16" s="126">
        <f t="shared" si="3"/>
        <v>0</v>
      </c>
      <c r="O16" s="126">
        <f>K16*E16</f>
        <v>17</v>
      </c>
      <c r="P16">
        <f>SUMIFS('Fuel and Energy_rail only'!M:M,'Fuel and Energy_rail only'!C:C,C16)</f>
        <v>0</v>
      </c>
      <c r="Q16">
        <f>SUMIFS('Fuel and Energy_rail only'!U:U,'Fuel and Energy_rail only'!C:C,C16)</f>
        <v>0</v>
      </c>
      <c r="R16">
        <f>SUMIFS('Fuel and Energy_rail only'!Y:Y,'Fuel and Energy_rail only'!C:C,C16)</f>
        <v>23474521</v>
      </c>
      <c r="S16">
        <f t="shared" si="5"/>
        <v>0</v>
      </c>
      <c r="T16">
        <f t="shared" si="6"/>
        <v>80098352084.940002</v>
      </c>
      <c r="U16" s="127">
        <f t="shared" si="7"/>
        <v>0</v>
      </c>
      <c r="V16" s="127">
        <f t="shared" si="7"/>
        <v>1.1305323598164989E-3</v>
      </c>
    </row>
    <row r="17" spans="2:22">
      <c r="B17" s="124" t="s">
        <v>931</v>
      </c>
      <c r="C17" s="124" t="s">
        <v>932</v>
      </c>
      <c r="D17" t="s">
        <v>933</v>
      </c>
      <c r="E17">
        <f>SUMIFS('Annual Service Data_rail only'!N:N,'Annual Service Data_rail only'!C:C,C17)</f>
        <v>0</v>
      </c>
      <c r="F17" s="121">
        <f>SUMIFS('Annual Service Data_rail only'!X:X,'Annual Service Data_rail only'!C:C,C17)</f>
        <v>0</v>
      </c>
      <c r="G17" s="121">
        <f>SUMIFS('Annual Service Data_rail only'!AT:AT,'Annual Service Data_rail only'!C:C,C17)</f>
        <v>0</v>
      </c>
      <c r="H17">
        <f>SUMIFS('Fuel and Energy_rail only'!AD:AD,'Fuel and Energy_rail only'!C:C,C17)</f>
        <v>0</v>
      </c>
      <c r="I17">
        <f>SUMIFS('Fuel and Energy_rail only'!AN:AN,'Fuel and Energy_rail only'!C:C,C17)</f>
        <v>0</v>
      </c>
      <c r="J17" s="21">
        <f t="shared" si="2"/>
        <v>0</v>
      </c>
      <c r="K17" s="21">
        <f t="shared" si="2"/>
        <v>0</v>
      </c>
      <c r="L17" s="125">
        <f t="shared" si="0"/>
        <v>0</v>
      </c>
      <c r="M17" s="126">
        <f t="shared" si="1"/>
        <v>0</v>
      </c>
      <c r="N17" s="126">
        <f t="shared" si="3"/>
        <v>0</v>
      </c>
      <c r="O17" s="126">
        <f t="shared" si="4"/>
        <v>0</v>
      </c>
      <c r="P17">
        <f>SUMIFS('Fuel and Energy_rail only'!M:M,'Fuel and Energy_rail only'!C:C,C17)</f>
        <v>0</v>
      </c>
      <c r="Q17">
        <f>SUMIFS('Fuel and Energy_rail only'!U:U,'Fuel and Energy_rail only'!C:C,C17)</f>
        <v>0</v>
      </c>
      <c r="R17">
        <f>SUMIFS('Fuel and Energy_rail only'!Y:Y,'Fuel and Energy_rail only'!C:C,C17)</f>
        <v>0</v>
      </c>
      <c r="S17">
        <f t="shared" si="5"/>
        <v>0</v>
      </c>
      <c r="T17">
        <f t="shared" si="6"/>
        <v>0</v>
      </c>
      <c r="U17" s="127">
        <f t="shared" si="7"/>
        <v>0</v>
      </c>
      <c r="V17" s="127">
        <f t="shared" si="7"/>
        <v>0</v>
      </c>
    </row>
    <row r="18" spans="2:22">
      <c r="B18" s="124" t="s">
        <v>934</v>
      </c>
      <c r="C18" s="124" t="s">
        <v>739</v>
      </c>
      <c r="D18" t="s">
        <v>935</v>
      </c>
      <c r="E18">
        <f>SUMIFS('Annual Service Data_rail only'!N:N,'Annual Service Data_rail only'!C:C,C18)</f>
        <v>441</v>
      </c>
      <c r="F18" s="121">
        <f>SUMIFS('Annual Service Data_rail only'!X:X,'Annual Service Data_rail only'!C:C,C18)</f>
        <v>139399021</v>
      </c>
      <c r="G18" s="121">
        <f>SUMIFS('Annual Service Data_rail only'!AT:AT,'Annual Service Data_rail only'!C:C,C18)</f>
        <v>2812423160</v>
      </c>
      <c r="H18">
        <f>SUMIFS('Fuel and Energy_rail only'!AD:AD,'Fuel and Energy_rail only'!C:C,C18)</f>
        <v>5034854</v>
      </c>
      <c r="I18">
        <f>SUMIFS('Fuel and Energy_rail only'!AN:AN,'Fuel and Energy_rail only'!C:C,C18)</f>
        <v>106204511</v>
      </c>
      <c r="J18" s="21">
        <f t="shared" si="2"/>
        <v>4.5261441397116929E-2</v>
      </c>
      <c r="K18" s="21">
        <f t="shared" si="2"/>
        <v>0.95473855860288304</v>
      </c>
      <c r="L18" s="125">
        <f t="shared" si="0"/>
        <v>20.175343699149796</v>
      </c>
      <c r="M18" s="126">
        <f t="shared" si="1"/>
        <v>316097.55328798183</v>
      </c>
      <c r="N18" s="126">
        <f t="shared" si="3"/>
        <v>19.960295656128565</v>
      </c>
      <c r="O18" s="126">
        <f t="shared" si="4"/>
        <v>421.03970434387139</v>
      </c>
      <c r="P18">
        <f>SUMIFS('Fuel and Energy_rail only'!M:M,'Fuel and Energy_rail only'!C:C,C18)</f>
        <v>13666577</v>
      </c>
      <c r="Q18">
        <f>SUMIFS('Fuel and Energy_rail only'!U:U,'Fuel and Energy_rail only'!C:C,C18)</f>
        <v>0</v>
      </c>
      <c r="R18">
        <f>SUMIFS('Fuel and Energy_rail only'!Y:Y,'Fuel and Energy_rail only'!C:C,C18)</f>
        <v>681466893</v>
      </c>
      <c r="S18">
        <f t="shared" si="5"/>
        <v>1895554229900</v>
      </c>
      <c r="T18">
        <f t="shared" si="6"/>
        <v>2325260444281.02</v>
      </c>
      <c r="U18" s="127">
        <f t="shared" si="7"/>
        <v>6.7154146282034786E-5</v>
      </c>
      <c r="V18" s="127">
        <f t="shared" si="7"/>
        <v>1.154764766486198E-3</v>
      </c>
    </row>
    <row r="19" spans="2:22">
      <c r="B19" s="124" t="s">
        <v>936</v>
      </c>
      <c r="C19" s="124" t="s">
        <v>650</v>
      </c>
      <c r="D19" t="s">
        <v>937</v>
      </c>
      <c r="E19">
        <f>SUMIFS('Annual Service Data_rail only'!N:N,'Annual Service Data_rail only'!C:C,C19)</f>
        <v>56</v>
      </c>
      <c r="F19" s="121">
        <f>SUMIFS('Annual Service Data_rail only'!X:X,'Annual Service Data_rail only'!C:C,C19)</f>
        <v>15749288</v>
      </c>
      <c r="G19" s="121">
        <f>SUMIFS('Annual Service Data_rail only'!AT:AT,'Annual Service Data_rail only'!C:C,C19)</f>
        <v>129461494</v>
      </c>
      <c r="H19">
        <f>SUMIFS('Fuel and Energy_rail only'!AD:AD,'Fuel and Energy_rail only'!C:C,C19)</f>
        <v>0</v>
      </c>
      <c r="I19">
        <f>SUMIFS('Fuel and Energy_rail only'!AN:AN,'Fuel and Energy_rail only'!C:C,C19)</f>
        <v>15639401</v>
      </c>
      <c r="J19" s="21">
        <f t="shared" si="2"/>
        <v>0</v>
      </c>
      <c r="K19" s="21">
        <f t="shared" si="2"/>
        <v>1</v>
      </c>
      <c r="L19" s="125">
        <f t="shared" si="0"/>
        <v>8.2201489997516077</v>
      </c>
      <c r="M19" s="126">
        <f t="shared" si="1"/>
        <v>281237.28571428574</v>
      </c>
      <c r="N19" s="126">
        <f t="shared" si="3"/>
        <v>0</v>
      </c>
      <c r="O19" s="126">
        <f t="shared" si="4"/>
        <v>56</v>
      </c>
      <c r="P19">
        <f>SUMIFS('Fuel and Energy_rail only'!M:M,'Fuel and Energy_rail only'!C:C,C19)</f>
        <v>0</v>
      </c>
      <c r="Q19">
        <f>SUMIFS('Fuel and Energy_rail only'!U:U,'Fuel and Energy_rail only'!C:C,C19)</f>
        <v>0</v>
      </c>
      <c r="R19">
        <f>SUMIFS('Fuel and Energy_rail only'!Y:Y,'Fuel and Energy_rail only'!C:C,C19)</f>
        <v>101468806</v>
      </c>
      <c r="S19">
        <f t="shared" si="5"/>
        <v>0</v>
      </c>
      <c r="T19">
        <f t="shared" si="6"/>
        <v>346225771704.83997</v>
      </c>
      <c r="U19" s="127">
        <f t="shared" si="7"/>
        <v>0</v>
      </c>
      <c r="V19" s="127">
        <f t="shared" si="7"/>
        <v>3.739221761641906E-4</v>
      </c>
    </row>
    <row r="20" spans="2:22">
      <c r="B20" s="124" t="s">
        <v>938</v>
      </c>
      <c r="C20" s="124" t="s">
        <v>847</v>
      </c>
      <c r="D20" t="s">
        <v>939</v>
      </c>
      <c r="E20">
        <f>SUMIFS('Annual Service Data_rail only'!N:N,'Annual Service Data_rail only'!C:C,C20)</f>
        <v>5</v>
      </c>
      <c r="F20" s="121">
        <f>SUMIFS('Annual Service Data_rail only'!X:X,'Annual Service Data_rail only'!C:C,C20)</f>
        <v>1717047</v>
      </c>
      <c r="G20" s="121">
        <f>SUMIFS('Annual Service Data_rail only'!AT:AT,'Annual Service Data_rail only'!C:C,C20)</f>
        <v>12884750</v>
      </c>
      <c r="H20">
        <f>SUMIFS('Fuel and Energy_rail only'!AD:AD,'Fuel and Energy_rail only'!C:C,C20)</f>
        <v>724004</v>
      </c>
      <c r="I20">
        <f>SUMIFS('Fuel and Energy_rail only'!AN:AN,'Fuel and Energy_rail only'!C:C,C20)</f>
        <v>0</v>
      </c>
      <c r="J20" s="21">
        <f t="shared" si="2"/>
        <v>1</v>
      </c>
      <c r="K20" s="21">
        <f t="shared" si="2"/>
        <v>0</v>
      </c>
      <c r="L20" s="125">
        <f t="shared" si="0"/>
        <v>7.5040170711692804</v>
      </c>
      <c r="M20" s="126">
        <f t="shared" si="1"/>
        <v>343409.4</v>
      </c>
      <c r="N20" s="126">
        <f t="shared" si="3"/>
        <v>5</v>
      </c>
      <c r="O20" s="126">
        <f t="shared" si="4"/>
        <v>0</v>
      </c>
      <c r="P20">
        <f>SUMIFS('Fuel and Energy_rail only'!M:M,'Fuel and Energy_rail only'!C:C,C20)</f>
        <v>1678569</v>
      </c>
      <c r="Q20">
        <f>SUMIFS('Fuel and Energy_rail only'!U:U,'Fuel and Energy_rail only'!C:C,C20)</f>
        <v>0</v>
      </c>
      <c r="R20">
        <f>SUMIFS('Fuel and Energy_rail only'!Y:Y,'Fuel and Energy_rail only'!C:C,C20)</f>
        <v>0</v>
      </c>
      <c r="S20">
        <f t="shared" si="5"/>
        <v>232817520300</v>
      </c>
      <c r="T20">
        <f t="shared" si="6"/>
        <v>0</v>
      </c>
      <c r="U20" s="127">
        <f t="shared" si="7"/>
        <v>5.5342699223826415E-5</v>
      </c>
      <c r="V20" s="127">
        <f t="shared" si="7"/>
        <v>0</v>
      </c>
    </row>
    <row r="21" spans="2:22">
      <c r="B21" s="124" t="s">
        <v>940</v>
      </c>
      <c r="C21" s="124" t="s">
        <v>941</v>
      </c>
      <c r="D21" t="s">
        <v>942</v>
      </c>
      <c r="E21">
        <f>SUMIFS('Annual Service Data_rail only'!N:N,'Annual Service Data_rail only'!C:C,C21)</f>
        <v>0</v>
      </c>
      <c r="F21" s="121">
        <f>SUMIFS('Annual Service Data_rail only'!X:X,'Annual Service Data_rail only'!C:C,C21)</f>
        <v>0</v>
      </c>
      <c r="G21" s="121">
        <f>SUMIFS('Annual Service Data_rail only'!AT:AT,'Annual Service Data_rail only'!C:C,C21)</f>
        <v>0</v>
      </c>
      <c r="H21">
        <f>SUMIFS('Fuel and Energy_rail only'!AD:AD,'Fuel and Energy_rail only'!C:C,C21)</f>
        <v>0</v>
      </c>
      <c r="I21">
        <f>SUMIFS('Fuel and Energy_rail only'!AN:AN,'Fuel and Energy_rail only'!C:C,C21)</f>
        <v>0</v>
      </c>
      <c r="J21" s="21">
        <f t="shared" si="2"/>
        <v>0</v>
      </c>
      <c r="K21" s="21">
        <f t="shared" si="2"/>
        <v>0</v>
      </c>
      <c r="L21" s="125">
        <f t="shared" si="0"/>
        <v>0</v>
      </c>
      <c r="M21" s="126">
        <f t="shared" si="1"/>
        <v>0</v>
      </c>
      <c r="N21" s="126">
        <f t="shared" si="3"/>
        <v>0</v>
      </c>
      <c r="O21" s="126">
        <f t="shared" si="4"/>
        <v>0</v>
      </c>
      <c r="P21">
        <f>SUMIFS('Fuel and Energy_rail only'!M:M,'Fuel and Energy_rail only'!C:C,C21)</f>
        <v>0</v>
      </c>
      <c r="Q21">
        <f>SUMIFS('Fuel and Energy_rail only'!U:U,'Fuel and Energy_rail only'!C:C,C21)</f>
        <v>0</v>
      </c>
      <c r="R21">
        <f>SUMIFS('Fuel and Energy_rail only'!Y:Y,'Fuel and Energy_rail only'!C:C,C21)</f>
        <v>0</v>
      </c>
      <c r="S21">
        <f t="shared" si="5"/>
        <v>0</v>
      </c>
      <c r="T21">
        <f t="shared" si="6"/>
        <v>0</v>
      </c>
      <c r="U21" s="127">
        <f t="shared" si="7"/>
        <v>0</v>
      </c>
      <c r="V21" s="127">
        <f t="shared" si="7"/>
        <v>0</v>
      </c>
    </row>
    <row r="22" spans="2:22">
      <c r="B22" s="124" t="s">
        <v>743</v>
      </c>
      <c r="C22" s="124" t="s">
        <v>743</v>
      </c>
      <c r="D22" t="s">
        <v>943</v>
      </c>
      <c r="E22">
        <f>SUMIFS('Annual Service Data_rail only'!N:N,'Annual Service Data_rail only'!C:C,C22)</f>
        <v>129</v>
      </c>
      <c r="F22" s="121">
        <f>SUMIFS('Annual Service Data_rail only'!X:X,'Annual Service Data_rail only'!C:C,C22)</f>
        <v>82234530</v>
      </c>
      <c r="G22" s="121">
        <f>SUMIFS('Annual Service Data_rail only'!AT:AT,'Annual Service Data_rail only'!C:C,C22)</f>
        <v>985922295</v>
      </c>
      <c r="H22">
        <f>SUMIFS('Fuel and Energy_rail only'!AD:AD,'Fuel and Energy_rail only'!C:C,C22)</f>
        <v>0</v>
      </c>
      <c r="I22">
        <f>SUMIFS('Fuel and Energy_rail only'!AN:AN,'Fuel and Energy_rail only'!C:C,C22)</f>
        <v>64920984</v>
      </c>
      <c r="J22" s="21">
        <f t="shared" si="2"/>
        <v>0</v>
      </c>
      <c r="K22" s="21">
        <f t="shared" si="2"/>
        <v>1</v>
      </c>
      <c r="L22" s="125">
        <f t="shared" si="0"/>
        <v>11.9891521846115</v>
      </c>
      <c r="M22" s="126">
        <f t="shared" si="1"/>
        <v>637476.97674418602</v>
      </c>
      <c r="N22" s="126">
        <f t="shared" si="3"/>
        <v>0</v>
      </c>
      <c r="O22" s="126">
        <f t="shared" si="4"/>
        <v>129</v>
      </c>
      <c r="P22">
        <f>SUMIFS('Fuel and Energy_rail only'!M:M,'Fuel and Energy_rail only'!C:C,C22)</f>
        <v>0</v>
      </c>
      <c r="Q22">
        <f>SUMIFS('Fuel and Energy_rail only'!U:U,'Fuel and Energy_rail only'!C:C,C22)</f>
        <v>0</v>
      </c>
      <c r="R22">
        <f>SUMIFS('Fuel and Energy_rail only'!Y:Y,'Fuel and Energy_rail only'!C:C,C22)</f>
        <v>576455528</v>
      </c>
      <c r="S22">
        <f t="shared" si="5"/>
        <v>0</v>
      </c>
      <c r="T22">
        <f t="shared" si="6"/>
        <v>1966946965309.9199</v>
      </c>
      <c r="U22" s="127">
        <f t="shared" si="7"/>
        <v>0</v>
      </c>
      <c r="V22" s="127">
        <f t="shared" si="7"/>
        <v>5.0124498137887213E-4</v>
      </c>
    </row>
    <row r="23" spans="2:22">
      <c r="B23" s="124" t="s">
        <v>944</v>
      </c>
      <c r="C23" s="124" t="s">
        <v>765</v>
      </c>
      <c r="D23" t="s">
        <v>945</v>
      </c>
      <c r="E23">
        <f>SUMIFS('Annual Service Data_rail only'!N:N,'Annual Service Data_rail only'!C:C,C23)</f>
        <v>35</v>
      </c>
      <c r="F23" s="121">
        <f>SUMIFS('Annual Service Data_rail only'!X:X,'Annual Service Data_rail only'!C:C,C23)</f>
        <v>11964512</v>
      </c>
      <c r="G23" s="121">
        <f>SUMIFS('Annual Service Data_rail only'!AT:AT,'Annual Service Data_rail only'!C:C,C23)</f>
        <v>203966246</v>
      </c>
      <c r="H23">
        <f>SUMIFS('Fuel and Energy_rail only'!AD:AD,'Fuel and Energy_rail only'!C:C,C23)</f>
        <v>1504489</v>
      </c>
      <c r="I23">
        <f>SUMIFS('Fuel and Energy_rail only'!AN:AN,'Fuel and Energy_rail only'!C:C,C23)</f>
        <v>559892</v>
      </c>
      <c r="J23" s="21">
        <f t="shared" si="2"/>
        <v>0.72878456060194319</v>
      </c>
      <c r="K23" s="21">
        <f t="shared" si="2"/>
        <v>0.27121543939805687</v>
      </c>
      <c r="L23" s="125">
        <f t="shared" si="0"/>
        <v>17.047602610118993</v>
      </c>
      <c r="M23" s="126">
        <f t="shared" si="1"/>
        <v>341843.20000000001</v>
      </c>
      <c r="N23" s="126">
        <f t="shared" si="3"/>
        <v>25.507459621068012</v>
      </c>
      <c r="O23" s="126">
        <f t="shared" si="4"/>
        <v>9.4925403789319898</v>
      </c>
      <c r="P23">
        <f>SUMIFS('Fuel and Energy_rail only'!M:M,'Fuel and Energy_rail only'!C:C,C23)</f>
        <v>3648266</v>
      </c>
      <c r="Q23">
        <f>SUMIFS('Fuel and Energy_rail only'!U:U,'Fuel and Energy_rail only'!C:C,C23)</f>
        <v>0</v>
      </c>
      <c r="R23">
        <f>SUMIFS('Fuel and Energy_rail only'!Y:Y,'Fuel and Energy_rail only'!C:C,C23)</f>
        <v>66954261</v>
      </c>
      <c r="S23">
        <f t="shared" si="5"/>
        <v>506014494200</v>
      </c>
      <c r="T23">
        <f t="shared" si="6"/>
        <v>228457312128.53998</v>
      </c>
      <c r="U23" s="127">
        <f t="shared" si="7"/>
        <v>2.9376125125377459E-4</v>
      </c>
      <c r="V23" s="127">
        <f t="shared" si="7"/>
        <v>2.421406192511685E-4</v>
      </c>
    </row>
    <row r="24" spans="2:22">
      <c r="B24" s="124" t="s">
        <v>946</v>
      </c>
      <c r="C24" s="124" t="s">
        <v>786</v>
      </c>
      <c r="D24" t="s">
        <v>947</v>
      </c>
      <c r="E24">
        <f>SUMIFS('Annual Service Data_rail only'!N:N,'Annual Service Data_rail only'!C:C,C24)</f>
        <v>39</v>
      </c>
      <c r="F24" s="121">
        <f>SUMIFS('Annual Service Data_rail only'!X:X,'Annual Service Data_rail only'!C:C,C24)</f>
        <v>21145309</v>
      </c>
      <c r="G24" s="121">
        <f>SUMIFS('Annual Service Data_rail only'!AT:AT,'Annual Service Data_rail only'!C:C,C24)</f>
        <v>329631085</v>
      </c>
      <c r="H24">
        <f>SUMIFS('Fuel and Energy_rail only'!AD:AD,'Fuel and Energy_rail only'!C:C,C24)</f>
        <v>0</v>
      </c>
      <c r="I24">
        <f>SUMIFS('Fuel and Energy_rail only'!AN:AN,'Fuel and Energy_rail only'!C:C,C24)</f>
        <v>19692749</v>
      </c>
      <c r="J24" s="21">
        <f t="shared" si="2"/>
        <v>0</v>
      </c>
      <c r="K24" s="21">
        <f t="shared" si="2"/>
        <v>1</v>
      </c>
      <c r="L24" s="125">
        <f t="shared" si="0"/>
        <v>15.588851645535186</v>
      </c>
      <c r="M24" s="126">
        <f t="shared" si="1"/>
        <v>542187.41025641025</v>
      </c>
      <c r="N24" s="126">
        <f t="shared" si="3"/>
        <v>0</v>
      </c>
      <c r="O24" s="126">
        <f t="shared" si="4"/>
        <v>39</v>
      </c>
      <c r="P24">
        <f>SUMIFS('Fuel and Energy_rail only'!M:M,'Fuel and Energy_rail only'!C:C,C24)</f>
        <v>0</v>
      </c>
      <c r="Q24">
        <f>SUMIFS('Fuel and Energy_rail only'!U:U,'Fuel and Energy_rail only'!C:C,C24)</f>
        <v>0</v>
      </c>
      <c r="R24">
        <f>SUMIFS('Fuel and Energy_rail only'!Y:Y,'Fuel and Energy_rail only'!C:C,C24)</f>
        <v>83566447</v>
      </c>
      <c r="S24">
        <f t="shared" si="5"/>
        <v>0</v>
      </c>
      <c r="T24">
        <f t="shared" si="6"/>
        <v>285140416466.58002</v>
      </c>
      <c r="U24" s="127">
        <f t="shared" si="7"/>
        <v>0</v>
      </c>
      <c r="V24" s="127">
        <f t="shared" si="7"/>
        <v>1.1560307342071744E-3</v>
      </c>
    </row>
    <row r="25" spans="2:22">
      <c r="B25" s="124" t="s">
        <v>948</v>
      </c>
      <c r="C25" s="124" t="s">
        <v>949</v>
      </c>
      <c r="D25" t="s">
        <v>950</v>
      </c>
      <c r="E25">
        <f>SUMIFS('Annual Service Data_rail only'!N:N,'Annual Service Data_rail only'!C:C,C25)</f>
        <v>0</v>
      </c>
      <c r="F25" s="121">
        <f>SUMIFS('Annual Service Data_rail only'!X:X,'Annual Service Data_rail only'!C:C,C25)</f>
        <v>0</v>
      </c>
      <c r="G25" s="121">
        <f>SUMIFS('Annual Service Data_rail only'!AT:AT,'Annual Service Data_rail only'!C:C,C25)</f>
        <v>0</v>
      </c>
      <c r="H25">
        <f>SUMIFS('Fuel and Energy_rail only'!AD:AD,'Fuel and Energy_rail only'!C:C,C25)</f>
        <v>0</v>
      </c>
      <c r="I25">
        <f>SUMIFS('Fuel and Energy_rail only'!AN:AN,'Fuel and Energy_rail only'!C:C,C25)</f>
        <v>0</v>
      </c>
      <c r="J25" s="21">
        <f t="shared" si="2"/>
        <v>0</v>
      </c>
      <c r="K25" s="21">
        <f t="shared" si="2"/>
        <v>0</v>
      </c>
      <c r="L25" s="125">
        <f t="shared" si="0"/>
        <v>0</v>
      </c>
      <c r="M25" s="126">
        <f t="shared" si="1"/>
        <v>0</v>
      </c>
      <c r="N25" s="126">
        <f t="shared" si="3"/>
        <v>0</v>
      </c>
      <c r="O25" s="126">
        <f t="shared" si="4"/>
        <v>0</v>
      </c>
      <c r="P25">
        <f>SUMIFS('Fuel and Energy_rail only'!M:M,'Fuel and Energy_rail only'!C:C,C25)</f>
        <v>0</v>
      </c>
      <c r="Q25">
        <f>SUMIFS('Fuel and Energy_rail only'!U:U,'Fuel and Energy_rail only'!C:C,C25)</f>
        <v>0</v>
      </c>
      <c r="R25">
        <f>SUMIFS('Fuel and Energy_rail only'!Y:Y,'Fuel and Energy_rail only'!C:C,C25)</f>
        <v>0</v>
      </c>
      <c r="S25">
        <f t="shared" si="5"/>
        <v>0</v>
      </c>
      <c r="T25">
        <f t="shared" si="6"/>
        <v>0</v>
      </c>
      <c r="U25" s="127">
        <f t="shared" si="7"/>
        <v>0</v>
      </c>
      <c r="V25" s="127">
        <f t="shared" si="7"/>
        <v>0</v>
      </c>
    </row>
    <row r="26" spans="2:22">
      <c r="B26" s="124" t="s">
        <v>951</v>
      </c>
      <c r="C26" s="124" t="s">
        <v>952</v>
      </c>
      <c r="D26" t="s">
        <v>953</v>
      </c>
      <c r="E26">
        <f>SUMIFS('Annual Service Data_rail only'!N:N,'Annual Service Data_rail only'!C:C,C26)</f>
        <v>0</v>
      </c>
      <c r="F26" s="121">
        <f>SUMIFS('Annual Service Data_rail only'!X:X,'Annual Service Data_rail only'!C:C,C26)</f>
        <v>0</v>
      </c>
      <c r="G26" s="121">
        <f>SUMIFS('Annual Service Data_rail only'!AT:AT,'Annual Service Data_rail only'!C:C,C26)</f>
        <v>0</v>
      </c>
      <c r="H26">
        <f>SUMIFS('Fuel and Energy_rail only'!AD:AD,'Fuel and Energy_rail only'!C:C,C26)</f>
        <v>0</v>
      </c>
      <c r="I26">
        <f>SUMIFS('Fuel and Energy_rail only'!AN:AN,'Fuel and Energy_rail only'!C:C,C26)</f>
        <v>0</v>
      </c>
      <c r="J26" s="21">
        <f t="shared" si="2"/>
        <v>0</v>
      </c>
      <c r="K26" s="21">
        <f t="shared" si="2"/>
        <v>0</v>
      </c>
      <c r="L26" s="125">
        <f t="shared" si="0"/>
        <v>0</v>
      </c>
      <c r="M26" s="126">
        <f t="shared" si="1"/>
        <v>0</v>
      </c>
      <c r="N26" s="126">
        <f t="shared" si="3"/>
        <v>0</v>
      </c>
      <c r="O26" s="126">
        <f t="shared" si="4"/>
        <v>0</v>
      </c>
      <c r="P26">
        <f>SUMIFS('Fuel and Energy_rail only'!M:M,'Fuel and Energy_rail only'!C:C,C26)</f>
        <v>0</v>
      </c>
      <c r="Q26">
        <f>SUMIFS('Fuel and Energy_rail only'!U:U,'Fuel and Energy_rail only'!C:C,C26)</f>
        <v>0</v>
      </c>
      <c r="R26">
        <f>SUMIFS('Fuel and Energy_rail only'!Y:Y,'Fuel and Energy_rail only'!C:C,C26)</f>
        <v>0</v>
      </c>
      <c r="S26">
        <f t="shared" si="5"/>
        <v>0</v>
      </c>
      <c r="T26">
        <f t="shared" si="6"/>
        <v>0</v>
      </c>
      <c r="U26" s="127">
        <f t="shared" si="7"/>
        <v>0</v>
      </c>
      <c r="V26" s="127">
        <f t="shared" si="7"/>
        <v>0</v>
      </c>
    </row>
    <row r="27" spans="2:22">
      <c r="B27" s="124" t="s">
        <v>954</v>
      </c>
      <c r="C27" s="124" t="s">
        <v>746</v>
      </c>
      <c r="D27" t="s">
        <v>955</v>
      </c>
      <c r="E27">
        <f>SUMIFS('Annual Service Data_rail only'!N:N,'Annual Service Data_rail only'!C:C,C27)</f>
        <v>251</v>
      </c>
      <c r="F27" s="121">
        <f>SUMIFS('Annual Service Data_rail only'!X:X,'Annual Service Data_rail only'!C:C,C27)</f>
        <v>102408279</v>
      </c>
      <c r="G27" s="121">
        <f>SUMIFS('Annual Service Data_rail only'!AT:AT,'Annual Service Data_rail only'!C:C,C27)</f>
        <v>839546950</v>
      </c>
      <c r="H27">
        <f>SUMIFS('Fuel and Energy_rail only'!AD:AD,'Fuel and Energy_rail only'!C:C,C27)</f>
        <v>5202961</v>
      </c>
      <c r="I27">
        <f>SUMIFS('Fuel and Energy_rail only'!AN:AN,'Fuel and Energy_rail only'!C:C,C27)</f>
        <v>66917044</v>
      </c>
      <c r="J27" s="21">
        <f t="shared" si="2"/>
        <v>7.2143103706107617E-2</v>
      </c>
      <c r="K27" s="21">
        <f t="shared" si="2"/>
        <v>0.92785689629389234</v>
      </c>
      <c r="L27" s="125">
        <f t="shared" si="0"/>
        <v>8.1980378754338794</v>
      </c>
      <c r="M27" s="126">
        <f t="shared" si="1"/>
        <v>408001.11155378487</v>
      </c>
      <c r="N27" s="126">
        <f t="shared" si="3"/>
        <v>18.107919030233013</v>
      </c>
      <c r="O27" s="126">
        <f t="shared" si="4"/>
        <v>232.89208096976697</v>
      </c>
      <c r="P27">
        <f>SUMIFS('Fuel and Energy_rail only'!M:M,'Fuel and Energy_rail only'!C:C,C27)</f>
        <v>36200086</v>
      </c>
      <c r="Q27">
        <f>SUMIFS('Fuel and Energy_rail only'!U:U,'Fuel and Energy_rail only'!C:C,C27)</f>
        <v>0</v>
      </c>
      <c r="R27">
        <f>SUMIFS('Fuel and Energy_rail only'!Y:Y,'Fuel and Energy_rail only'!C:C,C27)</f>
        <v>422807803</v>
      </c>
      <c r="S27">
        <f t="shared" si="5"/>
        <v>5020951928200</v>
      </c>
      <c r="T27">
        <f t="shared" si="6"/>
        <v>1442679416928.4199</v>
      </c>
      <c r="U27" s="127">
        <f t="shared" si="7"/>
        <v>1.2062956097990302E-5</v>
      </c>
      <c r="V27" s="127">
        <f t="shared" si="7"/>
        <v>5.399532412949464E-4</v>
      </c>
    </row>
    <row r="28" spans="2:22">
      <c r="B28" s="124" t="s">
        <v>956</v>
      </c>
      <c r="C28" s="124" t="s">
        <v>831</v>
      </c>
      <c r="D28" t="s">
        <v>957</v>
      </c>
      <c r="E28">
        <f>SUMIFS('Annual Service Data_rail only'!N:N,'Annual Service Data_rail only'!C:C,C28)</f>
        <v>17</v>
      </c>
      <c r="F28" s="121">
        <f>SUMIFS('Annual Service Data_rail only'!X:X,'Annual Service Data_rail only'!C:C,C28)</f>
        <v>3988838</v>
      </c>
      <c r="G28" s="121">
        <f>SUMIFS('Annual Service Data_rail only'!AT:AT,'Annual Service Data_rail only'!C:C,C28)</f>
        <v>32836617</v>
      </c>
      <c r="H28">
        <f>SUMIFS('Fuel and Energy_rail only'!AD:AD,'Fuel and Energy_rail only'!C:C,C28)</f>
        <v>0</v>
      </c>
      <c r="I28">
        <f>SUMIFS('Fuel and Energy_rail only'!AN:AN,'Fuel and Energy_rail only'!C:C,C28)</f>
        <v>3510093</v>
      </c>
      <c r="J28" s="21">
        <f t="shared" si="2"/>
        <v>0</v>
      </c>
      <c r="K28" s="21">
        <f t="shared" si="2"/>
        <v>1</v>
      </c>
      <c r="L28" s="125">
        <f t="shared" si="0"/>
        <v>8.2321259975962917</v>
      </c>
      <c r="M28" s="126">
        <f t="shared" si="1"/>
        <v>234637.5294117647</v>
      </c>
      <c r="N28" s="126">
        <f t="shared" si="3"/>
        <v>0</v>
      </c>
      <c r="O28" s="126">
        <f t="shared" si="4"/>
        <v>17</v>
      </c>
      <c r="P28">
        <f>SUMIFS('Fuel and Energy_rail only'!M:M,'Fuel and Energy_rail only'!C:C,C28)</f>
        <v>0</v>
      </c>
      <c r="Q28">
        <f>SUMIFS('Fuel and Energy_rail only'!U:U,'Fuel and Energy_rail only'!C:C,C28)</f>
        <v>0</v>
      </c>
      <c r="R28">
        <f>SUMIFS('Fuel and Energy_rail only'!Y:Y,'Fuel and Energy_rail only'!C:C,C28)</f>
        <v>18158000</v>
      </c>
      <c r="S28">
        <f t="shared" si="5"/>
        <v>0</v>
      </c>
      <c r="T28">
        <f t="shared" si="6"/>
        <v>61957638120</v>
      </c>
      <c r="U28" s="127">
        <f t="shared" si="7"/>
        <v>0</v>
      </c>
      <c r="V28" s="127">
        <f t="shared" si="7"/>
        <v>5.2998497031797435E-4</v>
      </c>
    </row>
    <row r="29" spans="2:22">
      <c r="B29" s="124" t="s">
        <v>958</v>
      </c>
      <c r="C29" s="124" t="s">
        <v>959</v>
      </c>
      <c r="D29" t="s">
        <v>960</v>
      </c>
      <c r="E29">
        <f>SUMIFS('Annual Service Data_rail only'!N:N,'Annual Service Data_rail only'!C:C,C29)</f>
        <v>0</v>
      </c>
      <c r="F29" s="121">
        <f>SUMIFS('Annual Service Data_rail only'!X:X,'Annual Service Data_rail only'!C:C,C29)</f>
        <v>0</v>
      </c>
      <c r="G29" s="121">
        <f>SUMIFS('Annual Service Data_rail only'!AT:AT,'Annual Service Data_rail only'!C:C,C29)</f>
        <v>0</v>
      </c>
      <c r="H29">
        <f>SUMIFS('Fuel and Energy_rail only'!AD:AD,'Fuel and Energy_rail only'!C:C,C29)</f>
        <v>0</v>
      </c>
      <c r="I29">
        <f>SUMIFS('Fuel and Energy_rail only'!AN:AN,'Fuel and Energy_rail only'!C:C,C29)</f>
        <v>0</v>
      </c>
      <c r="J29" s="21">
        <f t="shared" si="2"/>
        <v>0</v>
      </c>
      <c r="K29" s="21">
        <f t="shared" si="2"/>
        <v>0</v>
      </c>
      <c r="L29" s="125">
        <f t="shared" si="0"/>
        <v>0</v>
      </c>
      <c r="M29" s="126">
        <f t="shared" si="1"/>
        <v>0</v>
      </c>
      <c r="N29" s="126">
        <f t="shared" si="3"/>
        <v>0</v>
      </c>
      <c r="O29" s="126">
        <f t="shared" si="4"/>
        <v>0</v>
      </c>
      <c r="P29">
        <f>SUMIFS('Fuel and Energy_rail only'!M:M,'Fuel and Energy_rail only'!C:C,C29)</f>
        <v>0</v>
      </c>
      <c r="Q29">
        <f>SUMIFS('Fuel and Energy_rail only'!U:U,'Fuel and Energy_rail only'!C:C,C29)</f>
        <v>0</v>
      </c>
      <c r="R29">
        <f>SUMIFS('Fuel and Energy_rail only'!Y:Y,'Fuel and Energy_rail only'!C:C,C29)</f>
        <v>0</v>
      </c>
      <c r="S29">
        <f t="shared" si="5"/>
        <v>0</v>
      </c>
      <c r="T29">
        <f t="shared" si="6"/>
        <v>0</v>
      </c>
      <c r="U29" s="127">
        <f t="shared" si="7"/>
        <v>0</v>
      </c>
      <c r="V29" s="127">
        <f t="shared" si="7"/>
        <v>0</v>
      </c>
    </row>
    <row r="30" spans="2:22">
      <c r="B30" s="124" t="s">
        <v>961</v>
      </c>
      <c r="C30" s="124" t="s">
        <v>962</v>
      </c>
      <c r="D30" t="s">
        <v>963</v>
      </c>
      <c r="E30">
        <f>SUMIFS('Annual Service Data_rail only'!N:N,'Annual Service Data_rail only'!C:C,C30)</f>
        <v>0</v>
      </c>
      <c r="F30" s="121">
        <f>SUMIFS('Annual Service Data_rail only'!X:X,'Annual Service Data_rail only'!C:C,C30)</f>
        <v>0</v>
      </c>
      <c r="G30" s="121">
        <f>SUMIFS('Annual Service Data_rail only'!AT:AT,'Annual Service Data_rail only'!C:C,C30)</f>
        <v>0</v>
      </c>
      <c r="H30">
        <f>SUMIFS('Fuel and Energy_rail only'!AD:AD,'Fuel and Energy_rail only'!C:C,C30)</f>
        <v>0</v>
      </c>
      <c r="I30">
        <f>SUMIFS('Fuel and Energy_rail only'!AN:AN,'Fuel and Energy_rail only'!C:C,C30)</f>
        <v>0</v>
      </c>
      <c r="J30" s="21">
        <f t="shared" si="2"/>
        <v>0</v>
      </c>
      <c r="K30" s="21">
        <f t="shared" si="2"/>
        <v>0</v>
      </c>
      <c r="L30" s="125">
        <f t="shared" si="0"/>
        <v>0</v>
      </c>
      <c r="M30" s="126">
        <f t="shared" si="1"/>
        <v>0</v>
      </c>
      <c r="N30" s="126">
        <f t="shared" si="3"/>
        <v>0</v>
      </c>
      <c r="O30" s="126">
        <f t="shared" si="4"/>
        <v>0</v>
      </c>
      <c r="P30">
        <f>SUMIFS('Fuel and Energy_rail only'!M:M,'Fuel and Energy_rail only'!C:C,C30)</f>
        <v>0</v>
      </c>
      <c r="Q30">
        <f>SUMIFS('Fuel and Energy_rail only'!U:U,'Fuel and Energy_rail only'!C:C,C30)</f>
        <v>0</v>
      </c>
      <c r="R30">
        <f>SUMIFS('Fuel and Energy_rail only'!Y:Y,'Fuel and Energy_rail only'!C:C,C30)</f>
        <v>0</v>
      </c>
      <c r="S30">
        <f t="shared" si="5"/>
        <v>0</v>
      </c>
      <c r="T30">
        <f t="shared" si="6"/>
        <v>0</v>
      </c>
      <c r="U30" s="127">
        <f t="shared" si="7"/>
        <v>0</v>
      </c>
      <c r="V30" s="127">
        <f t="shared" si="7"/>
        <v>0</v>
      </c>
    </row>
    <row r="31" spans="2:22">
      <c r="B31" s="124" t="s">
        <v>964</v>
      </c>
      <c r="C31" s="124" t="s">
        <v>965</v>
      </c>
      <c r="D31" t="s">
        <v>966</v>
      </c>
      <c r="E31">
        <f>SUMIFS('Annual Service Data_rail only'!N:N,'Annual Service Data_rail only'!C:C,C31)</f>
        <v>0</v>
      </c>
      <c r="F31" s="121">
        <f>SUMIFS('Annual Service Data_rail only'!X:X,'Annual Service Data_rail only'!C:C,C31)</f>
        <v>0</v>
      </c>
      <c r="G31" s="121">
        <f>SUMIFS('Annual Service Data_rail only'!AT:AT,'Annual Service Data_rail only'!C:C,C31)</f>
        <v>0</v>
      </c>
      <c r="H31">
        <f>SUMIFS('Fuel and Energy_rail only'!AD:AD,'Fuel and Energy_rail only'!C:C,C31)</f>
        <v>0</v>
      </c>
      <c r="I31">
        <f>SUMIFS('Fuel and Energy_rail only'!AN:AN,'Fuel and Energy_rail only'!C:C,C31)</f>
        <v>0</v>
      </c>
      <c r="J31" s="21">
        <f t="shared" si="2"/>
        <v>0</v>
      </c>
      <c r="K31" s="21">
        <f t="shared" si="2"/>
        <v>0</v>
      </c>
      <c r="L31" s="125">
        <f t="shared" si="0"/>
        <v>0</v>
      </c>
      <c r="M31" s="126">
        <f t="shared" si="1"/>
        <v>0</v>
      </c>
      <c r="N31" s="126">
        <f t="shared" si="3"/>
        <v>0</v>
      </c>
      <c r="O31" s="126">
        <f t="shared" si="4"/>
        <v>0</v>
      </c>
      <c r="P31">
        <f>SUMIFS('Fuel and Energy_rail only'!M:M,'Fuel and Energy_rail only'!C:C,C31)</f>
        <v>0</v>
      </c>
      <c r="Q31">
        <f>SUMIFS('Fuel and Energy_rail only'!U:U,'Fuel and Energy_rail only'!C:C,C31)</f>
        <v>0</v>
      </c>
      <c r="R31">
        <f>SUMIFS('Fuel and Energy_rail only'!Y:Y,'Fuel and Energy_rail only'!C:C,C31)</f>
        <v>0</v>
      </c>
      <c r="S31">
        <f t="shared" si="5"/>
        <v>0</v>
      </c>
      <c r="T31">
        <f t="shared" si="6"/>
        <v>0</v>
      </c>
      <c r="U31" s="127">
        <f t="shared" si="7"/>
        <v>0</v>
      </c>
      <c r="V31" s="127">
        <f t="shared" si="7"/>
        <v>0</v>
      </c>
    </row>
    <row r="32" spans="2:22">
      <c r="B32" s="124" t="s">
        <v>967</v>
      </c>
      <c r="C32" s="124" t="s">
        <v>968</v>
      </c>
      <c r="D32" t="s">
        <v>969</v>
      </c>
      <c r="E32">
        <f>SUMIFS('Annual Service Data_rail only'!N:N,'Annual Service Data_rail only'!C:C,C32)</f>
        <v>0</v>
      </c>
      <c r="F32" s="121">
        <f>SUMIFS('Annual Service Data_rail only'!X:X,'Annual Service Data_rail only'!C:C,C32)</f>
        <v>0</v>
      </c>
      <c r="G32" s="121">
        <f>SUMIFS('Annual Service Data_rail only'!AT:AT,'Annual Service Data_rail only'!C:C,C32)</f>
        <v>0</v>
      </c>
      <c r="H32">
        <f>SUMIFS('Fuel and Energy_rail only'!AD:AD,'Fuel and Energy_rail only'!C:C,C32)</f>
        <v>0</v>
      </c>
      <c r="I32">
        <f>SUMIFS('Fuel and Energy_rail only'!AN:AN,'Fuel and Energy_rail only'!C:C,C32)</f>
        <v>0</v>
      </c>
      <c r="J32" s="21">
        <f t="shared" si="2"/>
        <v>0</v>
      </c>
      <c r="K32" s="21">
        <f t="shared" si="2"/>
        <v>0</v>
      </c>
      <c r="L32" s="125">
        <f t="shared" si="0"/>
        <v>0</v>
      </c>
      <c r="M32" s="126">
        <f t="shared" si="1"/>
        <v>0</v>
      </c>
      <c r="N32" s="126">
        <f t="shared" si="3"/>
        <v>0</v>
      </c>
      <c r="O32" s="126">
        <f t="shared" si="4"/>
        <v>0</v>
      </c>
      <c r="P32">
        <f>SUMIFS('Fuel and Energy_rail only'!M:M,'Fuel and Energy_rail only'!C:C,C32)</f>
        <v>0</v>
      </c>
      <c r="Q32">
        <f>SUMIFS('Fuel and Energy_rail only'!U:U,'Fuel and Energy_rail only'!C:C,C32)</f>
        <v>0</v>
      </c>
      <c r="R32">
        <f>SUMIFS('Fuel and Energy_rail only'!Y:Y,'Fuel and Energy_rail only'!C:C,C32)</f>
        <v>0</v>
      </c>
      <c r="S32">
        <f t="shared" si="5"/>
        <v>0</v>
      </c>
      <c r="T32">
        <f t="shared" si="6"/>
        <v>0</v>
      </c>
      <c r="U32" s="127">
        <f t="shared" si="7"/>
        <v>0</v>
      </c>
      <c r="V32" s="127">
        <f t="shared" si="7"/>
        <v>0</v>
      </c>
    </row>
    <row r="33" spans="2:22">
      <c r="B33" s="124" t="s">
        <v>970</v>
      </c>
      <c r="C33" s="124" t="s">
        <v>856</v>
      </c>
      <c r="D33" t="s">
        <v>971</v>
      </c>
      <c r="E33">
        <f>SUMIFS('Annual Service Data_rail only'!N:N,'Annual Service Data_rail only'!C:C,C33)</f>
        <v>3</v>
      </c>
      <c r="F33" s="121">
        <f>SUMIFS('Annual Service Data_rail only'!X:X,'Annual Service Data_rail only'!C:C,C33)</f>
        <v>1974842</v>
      </c>
      <c r="G33" s="121">
        <f>SUMIFS('Annual Service Data_rail only'!AT:AT,'Annual Service Data_rail only'!C:C,C33)</f>
        <v>33416609</v>
      </c>
      <c r="H33">
        <f>SUMIFS('Fuel and Energy_rail only'!AD:AD,'Fuel and Energy_rail only'!C:C,C33)</f>
        <v>0</v>
      </c>
      <c r="I33">
        <f>SUMIFS('Fuel and Energy_rail only'!AN:AN,'Fuel and Energy_rail only'!C:C,C33)</f>
        <v>0</v>
      </c>
      <c r="J33" s="21">
        <f t="shared" si="2"/>
        <v>0</v>
      </c>
      <c r="K33" s="21">
        <f t="shared" si="2"/>
        <v>0</v>
      </c>
      <c r="L33" s="125">
        <f t="shared" si="0"/>
        <v>16.921155717773878</v>
      </c>
      <c r="M33" s="126">
        <f t="shared" si="1"/>
        <v>658280.66666666663</v>
      </c>
      <c r="N33" s="126">
        <f t="shared" si="3"/>
        <v>0</v>
      </c>
      <c r="O33" s="126">
        <f t="shared" si="4"/>
        <v>0</v>
      </c>
      <c r="P33">
        <f>SUMIFS('Fuel and Energy_rail only'!M:M,'Fuel and Energy_rail only'!C:C,C33)</f>
        <v>628302</v>
      </c>
      <c r="Q33">
        <f>SUMIFS('Fuel and Energy_rail only'!U:U,'Fuel and Energy_rail only'!C:C,C33)</f>
        <v>0</v>
      </c>
      <c r="R33">
        <f>SUMIFS('Fuel and Energy_rail only'!Y:Y,'Fuel and Energy_rail only'!C:C,C33)</f>
        <v>0</v>
      </c>
      <c r="S33">
        <f t="shared" si="5"/>
        <v>87145487400</v>
      </c>
      <c r="T33">
        <f t="shared" si="6"/>
        <v>0</v>
      </c>
      <c r="U33" s="127">
        <f t="shared" si="7"/>
        <v>0</v>
      </c>
      <c r="V33" s="127">
        <f t="shared" si="7"/>
        <v>0</v>
      </c>
    </row>
    <row r="34" spans="2:22">
      <c r="B34" s="124" t="s">
        <v>972</v>
      </c>
      <c r="C34" s="124" t="s">
        <v>761</v>
      </c>
      <c r="D34" t="s">
        <v>973</v>
      </c>
      <c r="E34">
        <f>SUMIFS('Annual Service Data_rail only'!N:N,'Annual Service Data_rail only'!C:C,C34)</f>
        <v>55</v>
      </c>
      <c r="F34" s="121">
        <f>SUMIFS('Annual Service Data_rail only'!X:X,'Annual Service Data_rail only'!C:C,C34)</f>
        <v>13332723</v>
      </c>
      <c r="G34" s="121">
        <f>SUMIFS('Annual Service Data_rail only'!AT:AT,'Annual Service Data_rail only'!C:C,C34)</f>
        <v>252169120</v>
      </c>
      <c r="H34">
        <f>SUMIFS('Fuel and Energy_rail only'!AD:AD,'Fuel and Energy_rail only'!C:C,C34)</f>
        <v>764117</v>
      </c>
      <c r="I34">
        <f>SUMIFS('Fuel and Energy_rail only'!AN:AN,'Fuel and Energy_rail only'!C:C,C34)</f>
        <v>2843642</v>
      </c>
      <c r="J34" s="21">
        <f t="shared" si="2"/>
        <v>0.21179823818608726</v>
      </c>
      <c r="K34" s="21">
        <f t="shared" si="2"/>
        <v>0.78820176181391277</v>
      </c>
      <c r="L34" s="125">
        <f t="shared" si="0"/>
        <v>18.913549767740619</v>
      </c>
      <c r="M34" s="126">
        <f t="shared" si="1"/>
        <v>242413.14545454545</v>
      </c>
      <c r="N34" s="126">
        <f t="shared" si="3"/>
        <v>11.648903100234799</v>
      </c>
      <c r="O34" s="126">
        <f t="shared" si="4"/>
        <v>43.351096899765203</v>
      </c>
      <c r="P34">
        <f>SUMIFS('Fuel and Energy_rail only'!M:M,'Fuel and Energy_rail only'!C:C,C34)</f>
        <v>3709703</v>
      </c>
      <c r="Q34">
        <f>SUMIFS('Fuel and Energy_rail only'!U:U,'Fuel and Energy_rail only'!C:C,C34)</f>
        <v>0</v>
      </c>
      <c r="R34">
        <f>SUMIFS('Fuel and Energy_rail only'!Y:Y,'Fuel and Energy_rail only'!C:C,C34)</f>
        <v>91224966</v>
      </c>
      <c r="S34">
        <f t="shared" si="5"/>
        <v>514535806100</v>
      </c>
      <c r="T34">
        <f t="shared" si="6"/>
        <v>311272355487.23999</v>
      </c>
      <c r="U34" s="127">
        <f t="shared" si="7"/>
        <v>1.0380030837067924E-4</v>
      </c>
      <c r="V34" s="127">
        <f t="shared" si="7"/>
        <v>6.3854094703637049E-4</v>
      </c>
    </row>
    <row r="35" spans="2:22">
      <c r="B35" s="124" t="s">
        <v>974</v>
      </c>
      <c r="C35" s="124" t="s">
        <v>751</v>
      </c>
      <c r="D35" t="s">
        <v>975</v>
      </c>
      <c r="E35">
        <f>SUMIFS('Annual Service Data_rail only'!N:N,'Annual Service Data_rail only'!C:C,C35)</f>
        <v>209</v>
      </c>
      <c r="F35" s="121">
        <f>SUMIFS('Annual Service Data_rail only'!X:X,'Annual Service Data_rail only'!C:C,C35)</f>
        <v>50817429</v>
      </c>
      <c r="G35" s="121">
        <f>SUMIFS('Annual Service Data_rail only'!AT:AT,'Annual Service Data_rail only'!C:C,C35)</f>
        <v>1018614837</v>
      </c>
      <c r="H35">
        <f>SUMIFS('Fuel and Energy_rail only'!AD:AD,'Fuel and Energy_rail only'!C:C,C35)</f>
        <v>4339139</v>
      </c>
      <c r="I35">
        <f>SUMIFS('Fuel and Energy_rail only'!AN:AN,'Fuel and Energy_rail only'!C:C,C35)</f>
        <v>27601749</v>
      </c>
      <c r="J35" s="21">
        <f t="shared" si="2"/>
        <v>0.13584904089078551</v>
      </c>
      <c r="K35" s="21">
        <f t="shared" si="2"/>
        <v>0.86415095910921447</v>
      </c>
      <c r="L35" s="125">
        <f t="shared" si="0"/>
        <v>20.044596057781671</v>
      </c>
      <c r="M35" s="126">
        <f t="shared" si="1"/>
        <v>243145.59330143541</v>
      </c>
      <c r="N35" s="126">
        <f t="shared" si="3"/>
        <v>28.39244954617417</v>
      </c>
      <c r="O35" s="126">
        <f t="shared" si="4"/>
        <v>180.60755045382584</v>
      </c>
      <c r="P35">
        <f>SUMIFS('Fuel and Energy_rail only'!M:M,'Fuel and Energy_rail only'!C:C,C35)</f>
        <v>13360985</v>
      </c>
      <c r="Q35">
        <f>SUMIFS('Fuel and Energy_rail only'!U:U,'Fuel and Energy_rail only'!C:C,C35)</f>
        <v>0</v>
      </c>
      <c r="R35">
        <f>SUMIFS('Fuel and Energy_rail only'!Y:Y,'Fuel and Energy_rail only'!C:C,C35)</f>
        <v>225210199</v>
      </c>
      <c r="S35">
        <f t="shared" si="5"/>
        <v>1853168619500</v>
      </c>
      <c r="T35">
        <f t="shared" si="6"/>
        <v>768448728415.85999</v>
      </c>
      <c r="U35" s="127">
        <f t="shared" si="7"/>
        <v>7.4670943155140035E-5</v>
      </c>
      <c r="V35" s="127">
        <f t="shared" si="7"/>
        <v>1.1454726331202542E-3</v>
      </c>
    </row>
    <row r="36" spans="2:22">
      <c r="B36" s="124" t="s">
        <v>976</v>
      </c>
      <c r="C36" s="124" t="s">
        <v>977</v>
      </c>
      <c r="D36" t="s">
        <v>978</v>
      </c>
      <c r="E36">
        <f>SUMIFS('Annual Service Data_rail only'!N:N,'Annual Service Data_rail only'!C:C,C36)</f>
        <v>0</v>
      </c>
      <c r="F36" s="121">
        <f>SUMIFS('Annual Service Data_rail only'!X:X,'Annual Service Data_rail only'!C:C,C36)</f>
        <v>0</v>
      </c>
      <c r="G36" s="121">
        <f>SUMIFS('Annual Service Data_rail only'!AT:AT,'Annual Service Data_rail only'!C:C,C36)</f>
        <v>0</v>
      </c>
      <c r="H36">
        <f>SUMIFS('Fuel and Energy_rail only'!AD:AD,'Fuel and Energy_rail only'!C:C,C36)</f>
        <v>0</v>
      </c>
      <c r="I36">
        <f>SUMIFS('Fuel and Energy_rail only'!AN:AN,'Fuel and Energy_rail only'!C:C,C36)</f>
        <v>0</v>
      </c>
      <c r="J36" s="21">
        <f t="shared" si="2"/>
        <v>0</v>
      </c>
      <c r="K36" s="21">
        <f t="shared" si="2"/>
        <v>0</v>
      </c>
      <c r="L36" s="125">
        <f t="shared" si="0"/>
        <v>0</v>
      </c>
      <c r="M36" s="126">
        <f t="shared" si="1"/>
        <v>0</v>
      </c>
      <c r="N36" s="126">
        <f t="shared" si="3"/>
        <v>0</v>
      </c>
      <c r="O36" s="126">
        <f t="shared" si="4"/>
        <v>0</v>
      </c>
      <c r="P36">
        <f>SUMIFS('Fuel and Energy_rail only'!M:M,'Fuel and Energy_rail only'!C:C,C36)</f>
        <v>0</v>
      </c>
      <c r="Q36">
        <f>SUMIFS('Fuel and Energy_rail only'!U:U,'Fuel and Energy_rail only'!C:C,C36)</f>
        <v>0</v>
      </c>
      <c r="R36">
        <f>SUMIFS('Fuel and Energy_rail only'!Y:Y,'Fuel and Energy_rail only'!C:C,C36)</f>
        <v>0</v>
      </c>
      <c r="S36">
        <f t="shared" si="5"/>
        <v>0</v>
      </c>
      <c r="T36">
        <f t="shared" si="6"/>
        <v>0</v>
      </c>
      <c r="U36" s="127">
        <f t="shared" si="7"/>
        <v>0</v>
      </c>
      <c r="V36" s="127">
        <f t="shared" si="7"/>
        <v>0</v>
      </c>
    </row>
    <row r="37" spans="2:22">
      <c r="B37" s="124" t="s">
        <v>979</v>
      </c>
      <c r="C37" s="124" t="s">
        <v>793</v>
      </c>
      <c r="D37" t="s">
        <v>980</v>
      </c>
      <c r="E37">
        <f>SUMIFS('Annual Service Data_rail only'!N:N,'Annual Service Data_rail only'!C:C,C37)</f>
        <v>27</v>
      </c>
      <c r="F37" s="121">
        <f>SUMIFS('Annual Service Data_rail only'!X:X,'Annual Service Data_rail only'!C:C,C37)</f>
        <v>4386285</v>
      </c>
      <c r="G37" s="121">
        <f>SUMIFS('Annual Service Data_rail only'!AT:AT,'Annual Service Data_rail only'!C:C,C37)</f>
        <v>44505006</v>
      </c>
      <c r="H37">
        <f>SUMIFS('Fuel and Energy_rail only'!AD:AD,'Fuel and Energy_rail only'!C:C,C37)</f>
        <v>63438</v>
      </c>
      <c r="I37">
        <f>SUMIFS('Fuel and Energy_rail only'!AN:AN,'Fuel and Energy_rail only'!C:C,C37)</f>
        <v>4153269</v>
      </c>
      <c r="J37" s="21">
        <f t="shared" si="2"/>
        <v>1.5044441076887722E-2</v>
      </c>
      <c r="K37" s="21">
        <f t="shared" si="2"/>
        <v>0.98495555892311226</v>
      </c>
      <c r="L37" s="125">
        <f t="shared" si="0"/>
        <v>10.14640088366351</v>
      </c>
      <c r="M37" s="126">
        <f t="shared" si="1"/>
        <v>162455</v>
      </c>
      <c r="N37" s="126">
        <f t="shared" si="3"/>
        <v>0.40619990907596848</v>
      </c>
      <c r="O37" s="126">
        <f t="shared" si="4"/>
        <v>26.593800090924031</v>
      </c>
      <c r="P37">
        <f>SUMIFS('Fuel and Energy_rail only'!M:M,'Fuel and Energy_rail only'!C:C,C37)</f>
        <v>213780</v>
      </c>
      <c r="Q37">
        <f>SUMIFS('Fuel and Energy_rail only'!U:U,'Fuel and Energy_rail only'!C:C,C37)</f>
        <v>0</v>
      </c>
      <c r="R37">
        <f>SUMIFS('Fuel and Energy_rail only'!Y:Y,'Fuel and Energy_rail only'!C:C,C37)</f>
        <v>31871652</v>
      </c>
      <c r="S37">
        <f t="shared" si="5"/>
        <v>29651286000</v>
      </c>
      <c r="T37">
        <f t="shared" si="6"/>
        <v>108750538655.28</v>
      </c>
      <c r="U37" s="127">
        <f t="shared" si="7"/>
        <v>2.2580907296686373E-5</v>
      </c>
      <c r="V37" s="127">
        <f t="shared" si="7"/>
        <v>4.030826293059302E-4</v>
      </c>
    </row>
    <row r="38" spans="2:22">
      <c r="B38" s="124" t="s">
        <v>981</v>
      </c>
      <c r="C38" s="124" t="s">
        <v>982</v>
      </c>
      <c r="D38" t="s">
        <v>983</v>
      </c>
      <c r="E38">
        <f>SUMIFS('Annual Service Data_rail only'!N:N,'Annual Service Data_rail only'!C:C,C38)</f>
        <v>0</v>
      </c>
      <c r="F38" s="121">
        <f>SUMIFS('Annual Service Data_rail only'!X:X,'Annual Service Data_rail only'!C:C,C38)</f>
        <v>0</v>
      </c>
      <c r="G38" s="121">
        <f>SUMIFS('Annual Service Data_rail only'!AT:AT,'Annual Service Data_rail only'!C:C,C38)</f>
        <v>0</v>
      </c>
      <c r="H38">
        <f>SUMIFS('Fuel and Energy_rail only'!AD:AD,'Fuel and Energy_rail only'!C:C,C38)</f>
        <v>0</v>
      </c>
      <c r="I38">
        <f>SUMIFS('Fuel and Energy_rail only'!AN:AN,'Fuel and Energy_rail only'!C:C,C38)</f>
        <v>0</v>
      </c>
      <c r="J38" s="21">
        <f t="shared" si="2"/>
        <v>0</v>
      </c>
      <c r="K38" s="21">
        <f t="shared" si="2"/>
        <v>0</v>
      </c>
      <c r="L38" s="125">
        <f t="shared" si="0"/>
        <v>0</v>
      </c>
      <c r="M38" s="126">
        <f t="shared" si="1"/>
        <v>0</v>
      </c>
      <c r="N38" s="126">
        <f t="shared" si="3"/>
        <v>0</v>
      </c>
      <c r="O38" s="126">
        <f t="shared" si="4"/>
        <v>0</v>
      </c>
      <c r="P38">
        <f>SUMIFS('Fuel and Energy_rail only'!M:M,'Fuel and Energy_rail only'!C:C,C38)</f>
        <v>0</v>
      </c>
      <c r="Q38">
        <f>SUMIFS('Fuel and Energy_rail only'!U:U,'Fuel and Energy_rail only'!C:C,C38)</f>
        <v>0</v>
      </c>
      <c r="R38">
        <f>SUMIFS('Fuel and Energy_rail only'!Y:Y,'Fuel and Energy_rail only'!C:C,C38)</f>
        <v>0</v>
      </c>
      <c r="S38">
        <f t="shared" si="5"/>
        <v>0</v>
      </c>
      <c r="T38">
        <f t="shared" si="6"/>
        <v>0</v>
      </c>
      <c r="U38" s="127">
        <f t="shared" si="7"/>
        <v>0</v>
      </c>
      <c r="V38" s="127">
        <f t="shared" si="7"/>
        <v>0</v>
      </c>
    </row>
    <row r="39" spans="2:22">
      <c r="B39" s="124" t="s">
        <v>984</v>
      </c>
      <c r="C39" s="124" t="s">
        <v>800</v>
      </c>
      <c r="D39" t="s">
        <v>985</v>
      </c>
      <c r="E39">
        <f>SUMIFS('Annual Service Data_rail only'!N:N,'Annual Service Data_rail only'!C:C,C39)</f>
        <v>25</v>
      </c>
      <c r="F39" s="121">
        <f>SUMIFS('Annual Service Data_rail only'!X:X,'Annual Service Data_rail only'!C:C,C39)</f>
        <v>5905439</v>
      </c>
      <c r="G39" s="121">
        <f>SUMIFS('Annual Service Data_rail only'!AT:AT,'Annual Service Data_rail only'!C:C,C39)</f>
        <v>70933375</v>
      </c>
      <c r="H39">
        <f>SUMIFS('Fuel and Energy_rail only'!AD:AD,'Fuel and Energy_rail only'!C:C,C39)</f>
        <v>0</v>
      </c>
      <c r="I39">
        <f>SUMIFS('Fuel and Energy_rail only'!AN:AN,'Fuel and Energy_rail only'!C:C,C39)</f>
        <v>5934378</v>
      </c>
      <c r="J39" s="21">
        <f t="shared" si="2"/>
        <v>0</v>
      </c>
      <c r="K39" s="21">
        <f t="shared" si="2"/>
        <v>1</v>
      </c>
      <c r="L39" s="125">
        <f t="shared" si="0"/>
        <v>12.011532927526641</v>
      </c>
      <c r="M39" s="126">
        <f t="shared" si="1"/>
        <v>236217.56</v>
      </c>
      <c r="N39" s="126">
        <f t="shared" si="3"/>
        <v>0</v>
      </c>
      <c r="O39" s="126">
        <f t="shared" si="4"/>
        <v>25</v>
      </c>
      <c r="P39">
        <f>SUMIFS('Fuel and Energy_rail only'!M:M,'Fuel and Energy_rail only'!C:C,C39)</f>
        <v>0</v>
      </c>
      <c r="Q39">
        <f>SUMIFS('Fuel and Energy_rail only'!U:U,'Fuel and Energy_rail only'!C:C,C39)</f>
        <v>0</v>
      </c>
      <c r="R39">
        <f>SUMIFS('Fuel and Energy_rail only'!Y:Y,'Fuel and Energy_rail only'!C:C,C39)</f>
        <v>36496148</v>
      </c>
      <c r="S39">
        <f t="shared" si="5"/>
        <v>0</v>
      </c>
      <c r="T39">
        <f t="shared" si="6"/>
        <v>124529966436.72</v>
      </c>
      <c r="U39" s="127">
        <f t="shared" si="7"/>
        <v>0</v>
      </c>
      <c r="V39" s="127">
        <f t="shared" si="7"/>
        <v>5.6960888234114198E-4</v>
      </c>
    </row>
    <row r="40" spans="2:22">
      <c r="B40" s="124" t="s">
        <v>986</v>
      </c>
      <c r="C40" s="124" t="s">
        <v>987</v>
      </c>
      <c r="D40" t="s">
        <v>988</v>
      </c>
      <c r="E40">
        <f>SUMIFS('Annual Service Data_rail only'!N:N,'Annual Service Data_rail only'!C:C,C40)</f>
        <v>0</v>
      </c>
      <c r="F40" s="121">
        <f>SUMIFS('Annual Service Data_rail only'!X:X,'Annual Service Data_rail only'!C:C,C40)</f>
        <v>0</v>
      </c>
      <c r="G40" s="121">
        <f>SUMIFS('Annual Service Data_rail only'!AT:AT,'Annual Service Data_rail only'!C:C,C40)</f>
        <v>0</v>
      </c>
      <c r="H40">
        <f>SUMIFS('Fuel and Energy_rail only'!AD:AD,'Fuel and Energy_rail only'!C:C,C40)</f>
        <v>0</v>
      </c>
      <c r="I40">
        <f>SUMIFS('Fuel and Energy_rail only'!AN:AN,'Fuel and Energy_rail only'!C:C,C40)</f>
        <v>0</v>
      </c>
      <c r="J40" s="21">
        <f t="shared" si="2"/>
        <v>0</v>
      </c>
      <c r="K40" s="21">
        <f t="shared" si="2"/>
        <v>0</v>
      </c>
      <c r="L40" s="125">
        <f t="shared" si="0"/>
        <v>0</v>
      </c>
      <c r="M40" s="126">
        <f t="shared" si="1"/>
        <v>0</v>
      </c>
      <c r="N40" s="126">
        <f t="shared" si="3"/>
        <v>0</v>
      </c>
      <c r="O40" s="126">
        <f t="shared" si="4"/>
        <v>0</v>
      </c>
      <c r="P40">
        <f>SUMIFS('Fuel and Energy_rail only'!M:M,'Fuel and Energy_rail only'!C:C,C40)</f>
        <v>0</v>
      </c>
      <c r="Q40">
        <f>SUMIFS('Fuel and Energy_rail only'!U:U,'Fuel and Energy_rail only'!C:C,C40)</f>
        <v>0</v>
      </c>
      <c r="R40">
        <f>SUMIFS('Fuel and Energy_rail only'!Y:Y,'Fuel and Energy_rail only'!C:C,C40)</f>
        <v>0</v>
      </c>
      <c r="S40">
        <f t="shared" si="5"/>
        <v>0</v>
      </c>
      <c r="T40">
        <f t="shared" si="6"/>
        <v>0</v>
      </c>
      <c r="U40" s="127">
        <f t="shared" si="7"/>
        <v>0</v>
      </c>
      <c r="V40" s="127">
        <f t="shared" si="7"/>
        <v>0</v>
      </c>
    </row>
    <row r="41" spans="2:22">
      <c r="B41" s="124" t="s">
        <v>989</v>
      </c>
      <c r="C41" s="124" t="s">
        <v>990</v>
      </c>
      <c r="D41" t="s">
        <v>991</v>
      </c>
      <c r="E41">
        <f>SUMIFS('Annual Service Data_rail only'!N:N,'Annual Service Data_rail only'!C:C,C41)</f>
        <v>0</v>
      </c>
      <c r="F41" s="121">
        <f>SUMIFS('Annual Service Data_rail only'!X:X,'Annual Service Data_rail only'!C:C,C41)</f>
        <v>0</v>
      </c>
      <c r="G41" s="121">
        <f>SUMIFS('Annual Service Data_rail only'!AT:AT,'Annual Service Data_rail only'!C:C,C41)</f>
        <v>0</v>
      </c>
      <c r="H41">
        <f>SUMIFS('Fuel and Energy_rail only'!AD:AD,'Fuel and Energy_rail only'!C:C,C41)</f>
        <v>0</v>
      </c>
      <c r="I41">
        <f>SUMIFS('Fuel and Energy_rail only'!AN:AN,'Fuel and Energy_rail only'!C:C,C41)</f>
        <v>0</v>
      </c>
      <c r="J41" s="21">
        <f t="shared" si="2"/>
        <v>0</v>
      </c>
      <c r="K41" s="21">
        <f t="shared" si="2"/>
        <v>0</v>
      </c>
      <c r="L41" s="125">
        <f t="shared" si="0"/>
        <v>0</v>
      </c>
      <c r="M41" s="126">
        <f t="shared" si="1"/>
        <v>0</v>
      </c>
      <c r="N41" s="126">
        <f t="shared" si="3"/>
        <v>0</v>
      </c>
      <c r="O41" s="126">
        <f t="shared" si="4"/>
        <v>0</v>
      </c>
      <c r="P41">
        <f>SUMIFS('Fuel and Energy_rail only'!M:M,'Fuel and Energy_rail only'!C:C,C41)</f>
        <v>0</v>
      </c>
      <c r="Q41">
        <f>SUMIFS('Fuel and Energy_rail only'!U:U,'Fuel and Energy_rail only'!C:C,C41)</f>
        <v>0</v>
      </c>
      <c r="R41">
        <f>SUMIFS('Fuel and Energy_rail only'!Y:Y,'Fuel and Energy_rail only'!C:C,C41)</f>
        <v>0</v>
      </c>
      <c r="S41">
        <f t="shared" si="5"/>
        <v>0</v>
      </c>
      <c r="T41">
        <f t="shared" si="6"/>
        <v>0</v>
      </c>
      <c r="U41" s="127">
        <f t="shared" si="7"/>
        <v>0</v>
      </c>
      <c r="V41" s="127">
        <f t="shared" si="7"/>
        <v>0</v>
      </c>
    </row>
    <row r="42" spans="2:22">
      <c r="B42" s="124" t="s">
        <v>992</v>
      </c>
      <c r="C42" s="124" t="s">
        <v>993</v>
      </c>
      <c r="D42" t="s">
        <v>994</v>
      </c>
      <c r="E42">
        <f>SUMIFS('Annual Service Data_rail only'!N:N,'Annual Service Data_rail only'!C:C,C42)</f>
        <v>0</v>
      </c>
      <c r="F42" s="121">
        <f>SUMIFS('Annual Service Data_rail only'!X:X,'Annual Service Data_rail only'!C:C,C42)</f>
        <v>0</v>
      </c>
      <c r="G42" s="121">
        <f>SUMIFS('Annual Service Data_rail only'!AT:AT,'Annual Service Data_rail only'!C:C,C42)</f>
        <v>0</v>
      </c>
      <c r="H42">
        <f>SUMIFS('Fuel and Energy_rail only'!AD:AD,'Fuel and Energy_rail only'!C:C,C42)</f>
        <v>0</v>
      </c>
      <c r="I42">
        <f>SUMIFS('Fuel and Energy_rail only'!AN:AN,'Fuel and Energy_rail only'!C:C,C42)</f>
        <v>0</v>
      </c>
      <c r="J42" s="21">
        <f t="shared" si="2"/>
        <v>0</v>
      </c>
      <c r="K42" s="21">
        <f t="shared" si="2"/>
        <v>0</v>
      </c>
      <c r="L42" s="125">
        <f t="shared" si="0"/>
        <v>0</v>
      </c>
      <c r="M42" s="126">
        <f t="shared" si="1"/>
        <v>0</v>
      </c>
      <c r="N42" s="126">
        <f t="shared" si="3"/>
        <v>0</v>
      </c>
      <c r="O42" s="126">
        <f t="shared" si="4"/>
        <v>0</v>
      </c>
      <c r="P42">
        <f>SUMIFS('Fuel and Energy_rail only'!M:M,'Fuel and Energy_rail only'!C:C,C42)</f>
        <v>0</v>
      </c>
      <c r="Q42">
        <f>SUMIFS('Fuel and Energy_rail only'!U:U,'Fuel and Energy_rail only'!C:C,C42)</f>
        <v>0</v>
      </c>
      <c r="R42">
        <f>SUMIFS('Fuel and Energy_rail only'!Y:Y,'Fuel and Energy_rail only'!C:C,C42)</f>
        <v>0</v>
      </c>
      <c r="S42">
        <f t="shared" si="5"/>
        <v>0</v>
      </c>
      <c r="T42">
        <f t="shared" si="6"/>
        <v>0</v>
      </c>
      <c r="U42" s="127">
        <f t="shared" si="7"/>
        <v>0</v>
      </c>
      <c r="V42" s="127">
        <f t="shared" si="7"/>
        <v>0</v>
      </c>
    </row>
    <row r="43" spans="2:22">
      <c r="B43" s="124" t="s">
        <v>995</v>
      </c>
      <c r="C43" s="124" t="s">
        <v>996</v>
      </c>
      <c r="D43" t="s">
        <v>997</v>
      </c>
      <c r="E43">
        <f>SUMIFS('Annual Service Data_rail only'!N:N,'Annual Service Data_rail only'!C:C,C43)</f>
        <v>0</v>
      </c>
      <c r="F43" s="121">
        <f>SUMIFS('Annual Service Data_rail only'!X:X,'Annual Service Data_rail only'!C:C,C43)</f>
        <v>0</v>
      </c>
      <c r="G43" s="121">
        <f>SUMIFS('Annual Service Data_rail only'!AT:AT,'Annual Service Data_rail only'!C:C,C43)</f>
        <v>0</v>
      </c>
      <c r="H43">
        <f>SUMIFS('Fuel and Energy_rail only'!AD:AD,'Fuel and Energy_rail only'!C:C,C43)</f>
        <v>0</v>
      </c>
      <c r="I43">
        <f>SUMIFS('Fuel and Energy_rail only'!AN:AN,'Fuel and Energy_rail only'!C:C,C43)</f>
        <v>0</v>
      </c>
      <c r="J43" s="21">
        <f t="shared" si="2"/>
        <v>0</v>
      </c>
      <c r="K43" s="21">
        <f t="shared" si="2"/>
        <v>0</v>
      </c>
      <c r="L43" s="125">
        <f t="shared" si="0"/>
        <v>0</v>
      </c>
      <c r="M43" s="126">
        <f t="shared" si="1"/>
        <v>0</v>
      </c>
      <c r="N43" s="126">
        <f t="shared" si="3"/>
        <v>0</v>
      </c>
      <c r="O43" s="126">
        <f t="shared" si="4"/>
        <v>0</v>
      </c>
      <c r="P43">
        <f>SUMIFS('Fuel and Energy_rail only'!M:M,'Fuel and Energy_rail only'!C:C,C43)</f>
        <v>0</v>
      </c>
      <c r="Q43">
        <f>SUMIFS('Fuel and Energy_rail only'!U:U,'Fuel and Energy_rail only'!C:C,C43)</f>
        <v>0</v>
      </c>
      <c r="R43">
        <f>SUMIFS('Fuel and Energy_rail only'!Y:Y,'Fuel and Energy_rail only'!C:C,C43)</f>
        <v>0</v>
      </c>
      <c r="S43">
        <f t="shared" si="5"/>
        <v>0</v>
      </c>
      <c r="T43">
        <f t="shared" si="6"/>
        <v>0</v>
      </c>
      <c r="U43" s="127">
        <f t="shared" si="7"/>
        <v>0</v>
      </c>
      <c r="V43" s="127">
        <f t="shared" si="7"/>
        <v>0</v>
      </c>
    </row>
    <row r="44" spans="2:22">
      <c r="B44" s="124" t="s">
        <v>998</v>
      </c>
      <c r="C44" s="124" t="s">
        <v>732</v>
      </c>
      <c r="D44" t="s">
        <v>999</v>
      </c>
      <c r="E44">
        <f>SUMIFS('Annual Service Data_rail only'!N:N,'Annual Service Data_rail only'!C:C,C44)</f>
        <v>184</v>
      </c>
      <c r="F44" s="121">
        <f>SUMIFS('Annual Service Data_rail only'!X:X,'Annual Service Data_rail only'!C:C,C44)</f>
        <v>77331686</v>
      </c>
      <c r="G44" s="121">
        <f>SUMIFS('Annual Service Data_rail only'!AT:AT,'Annual Service Data_rail only'!C:C,C44)</f>
        <v>1699013683</v>
      </c>
      <c r="H44">
        <f>SUMIFS('Fuel and Energy_rail only'!AD:AD,'Fuel and Energy_rail only'!C:C,C44)</f>
        <v>2485889</v>
      </c>
      <c r="I44">
        <f>SUMIFS('Fuel and Energy_rail only'!AN:AN,'Fuel and Energy_rail only'!C:C,C44)</f>
        <v>28864827</v>
      </c>
      <c r="J44" s="21">
        <f t="shared" si="2"/>
        <v>7.9292893980475593E-2</v>
      </c>
      <c r="K44" s="21">
        <f t="shared" si="2"/>
        <v>0.92070710601952443</v>
      </c>
      <c r="L44" s="125">
        <f t="shared" si="0"/>
        <v>21.97047253049675</v>
      </c>
      <c r="M44" s="126">
        <f t="shared" si="1"/>
        <v>420280.90217391303</v>
      </c>
      <c r="N44" s="126">
        <f t="shared" si="3"/>
        <v>14.589892492407509</v>
      </c>
      <c r="O44" s="126">
        <f t="shared" si="4"/>
        <v>169.4101075075925</v>
      </c>
      <c r="P44">
        <f>SUMIFS('Fuel and Energy_rail only'!M:M,'Fuel and Energy_rail only'!C:C,C44)</f>
        <v>13166567</v>
      </c>
      <c r="Q44">
        <f>SUMIFS('Fuel and Energy_rail only'!U:U,'Fuel and Energy_rail only'!C:C,C44)</f>
        <v>0</v>
      </c>
      <c r="R44">
        <f>SUMIFS('Fuel and Energy_rail only'!Y:Y,'Fuel and Energy_rail only'!C:C,C44)</f>
        <v>519279337</v>
      </c>
      <c r="S44">
        <f t="shared" si="5"/>
        <v>1826202842900</v>
      </c>
      <c r="T44">
        <f t="shared" si="6"/>
        <v>1771853796951.1799</v>
      </c>
      <c r="U44" s="127">
        <f t="shared" si="7"/>
        <v>7.3770398705306041E-5</v>
      </c>
      <c r="V44" s="127">
        <f t="shared" si="7"/>
        <v>8.8285725032966977E-4</v>
      </c>
    </row>
    <row r="45" spans="2:22">
      <c r="B45" s="124" t="s">
        <v>1000</v>
      </c>
      <c r="C45" s="124" t="s">
        <v>836</v>
      </c>
      <c r="D45" t="s">
        <v>1001</v>
      </c>
      <c r="E45">
        <f>SUMIFS('Annual Service Data_rail only'!N:N,'Annual Service Data_rail only'!C:C,C45)</f>
        <v>7</v>
      </c>
      <c r="F45" s="121">
        <f>SUMIFS('Annual Service Data_rail only'!X:X,'Annual Service Data_rail only'!C:C,C45)</f>
        <v>965030</v>
      </c>
      <c r="G45" s="121">
        <f>SUMIFS('Annual Service Data_rail only'!AT:AT,'Annual Service Data_rail only'!C:C,C45)</f>
        <v>24052625</v>
      </c>
      <c r="H45">
        <f>SUMIFS('Fuel and Energy_rail only'!AD:AD,'Fuel and Energy_rail only'!C:C,C45)</f>
        <v>350453</v>
      </c>
      <c r="I45">
        <f>SUMIFS('Fuel and Energy_rail only'!AN:AN,'Fuel and Energy_rail only'!C:C,C45)</f>
        <v>0</v>
      </c>
      <c r="J45" s="21">
        <f t="shared" si="2"/>
        <v>1</v>
      </c>
      <c r="K45" s="21">
        <f t="shared" si="2"/>
        <v>0</v>
      </c>
      <c r="L45" s="125">
        <f t="shared" si="0"/>
        <v>24.924225153622167</v>
      </c>
      <c r="M45" s="126">
        <f t="shared" si="1"/>
        <v>137861.42857142858</v>
      </c>
      <c r="N45" s="126">
        <f t="shared" si="3"/>
        <v>7</v>
      </c>
      <c r="O45" s="126">
        <f t="shared" si="4"/>
        <v>0</v>
      </c>
      <c r="P45">
        <f>SUMIFS('Fuel and Energy_rail only'!M:M,'Fuel and Energy_rail only'!C:C,C45)</f>
        <v>0</v>
      </c>
      <c r="Q45">
        <f>SUMIFS('Fuel and Energy_rail only'!U:U,'Fuel and Energy_rail only'!C:C,C45)</f>
        <v>792273</v>
      </c>
      <c r="R45">
        <f>SUMIFS('Fuel and Energy_rail only'!Y:Y,'Fuel and Energy_rail only'!C:C,C45)</f>
        <v>0</v>
      </c>
      <c r="S45">
        <f t="shared" si="5"/>
        <v>109888265100</v>
      </c>
      <c r="T45">
        <f t="shared" si="6"/>
        <v>0</v>
      </c>
      <c r="U45" s="127">
        <f t="shared" si="7"/>
        <v>2.1888256201070918E-4</v>
      </c>
      <c r="V45" s="127">
        <f t="shared" si="7"/>
        <v>0</v>
      </c>
    </row>
    <row r="46" spans="2:22">
      <c r="B46" s="124" t="s">
        <v>770</v>
      </c>
      <c r="C46" s="124" t="s">
        <v>724</v>
      </c>
      <c r="D46" t="s">
        <v>1002</v>
      </c>
      <c r="E46">
        <f>SUMIFS('Annual Service Data_rail only'!N:N,'Annual Service Data_rail only'!C:C,C46)</f>
        <v>787</v>
      </c>
      <c r="F46" s="121">
        <f>SUMIFS('Annual Service Data_rail only'!X:X,'Annual Service Data_rail only'!C:C,C46)</f>
        <v>459797967</v>
      </c>
      <c r="G46" s="121">
        <f>SUMIFS('Annual Service Data_rail only'!AT:AT,'Annual Service Data_rail only'!C:C,C46)</f>
        <v>6605805362</v>
      </c>
      <c r="H46">
        <f>SUMIFS('Fuel and Energy_rail only'!AD:AD,'Fuel and Energy_rail only'!C:C,C46)</f>
        <v>757533</v>
      </c>
      <c r="I46">
        <f>SUMIFS('Fuel and Energy_rail only'!AN:AN,'Fuel and Energy_rail only'!C:C,C46)</f>
        <v>433746106</v>
      </c>
      <c r="J46" s="21">
        <f t="shared" si="2"/>
        <v>1.7434445468476271E-3</v>
      </c>
      <c r="K46" s="21">
        <f t="shared" si="2"/>
        <v>0.99825655545315239</v>
      </c>
      <c r="L46" s="125">
        <f t="shared" ref="L46:L64" si="8">IFERROR(G46/F46,0)</f>
        <v>14.366756349751325</v>
      </c>
      <c r="M46" s="126">
        <f t="shared" ref="M46:M64" si="9">IFERROR(F46/E46,0)</f>
        <v>584241.3811944091</v>
      </c>
      <c r="N46" s="126">
        <f t="shared" si="3"/>
        <v>1.3720908583690825</v>
      </c>
      <c r="O46" s="126">
        <f t="shared" si="4"/>
        <v>785.62790914163088</v>
      </c>
      <c r="P46">
        <f>SUMIFS('Fuel and Energy_rail only'!M:M,'Fuel and Energy_rail only'!C:C,C46)</f>
        <v>12731425</v>
      </c>
      <c r="Q46">
        <f>SUMIFS('Fuel and Energy_rail only'!U:U,'Fuel and Energy_rail only'!C:C,C46)</f>
        <v>0</v>
      </c>
      <c r="R46">
        <f>SUMIFS('Fuel and Energy_rail only'!Y:Y,'Fuel and Energy_rail only'!C:C,C46)</f>
        <v>2470851025</v>
      </c>
      <c r="S46">
        <f t="shared" si="5"/>
        <v>1765848647500</v>
      </c>
      <c r="T46">
        <f t="shared" si="6"/>
        <v>8430889616443.5</v>
      </c>
      <c r="U46" s="127">
        <f t="shared" si="7"/>
        <v>6.5219945957546822E-6</v>
      </c>
      <c r="V46" s="127">
        <f t="shared" si="7"/>
        <v>7.8215808848957843E-4</v>
      </c>
    </row>
    <row r="47" spans="2:22">
      <c r="B47" s="124" t="s">
        <v>1003</v>
      </c>
      <c r="C47" s="124" t="s">
        <v>809</v>
      </c>
      <c r="D47" t="s">
        <v>1004</v>
      </c>
      <c r="E47">
        <f>SUMIFS('Annual Service Data_rail only'!N:N,'Annual Service Data_rail only'!C:C,C47)</f>
        <v>16</v>
      </c>
      <c r="F47" s="121">
        <f>SUMIFS('Annual Service Data_rail only'!X:X,'Annual Service Data_rail only'!C:C,C47)</f>
        <v>2267166</v>
      </c>
      <c r="G47" s="121">
        <f>SUMIFS('Annual Service Data_rail only'!AT:AT,'Annual Service Data_rail only'!C:C,C47)</f>
        <v>37638865</v>
      </c>
      <c r="H47">
        <f>SUMIFS('Fuel and Energy_rail only'!AD:AD,'Fuel and Energy_rail only'!C:C,C47)</f>
        <v>0</v>
      </c>
      <c r="I47">
        <f>SUMIFS('Fuel and Energy_rail only'!AN:AN,'Fuel and Energy_rail only'!C:C,C47)</f>
        <v>2267804</v>
      </c>
      <c r="J47" s="21">
        <f t="shared" si="2"/>
        <v>0</v>
      </c>
      <c r="K47" s="21">
        <f t="shared" si="2"/>
        <v>1</v>
      </c>
      <c r="L47" s="125">
        <f t="shared" si="8"/>
        <v>16.601724355428761</v>
      </c>
      <c r="M47" s="126">
        <f t="shared" si="9"/>
        <v>141697.875</v>
      </c>
      <c r="N47" s="126">
        <f t="shared" si="3"/>
        <v>0</v>
      </c>
      <c r="O47" s="126">
        <f t="shared" si="4"/>
        <v>16</v>
      </c>
      <c r="P47">
        <f>SUMIFS('Fuel and Energy_rail only'!M:M,'Fuel and Energy_rail only'!C:C,C47)</f>
        <v>0</v>
      </c>
      <c r="Q47">
        <f>SUMIFS('Fuel and Energy_rail only'!U:U,'Fuel and Energy_rail only'!C:C,C47)</f>
        <v>0</v>
      </c>
      <c r="R47">
        <f>SUMIFS('Fuel and Energy_rail only'!Y:Y,'Fuel and Energy_rail only'!C:C,C47)</f>
        <v>16786660</v>
      </c>
      <c r="S47">
        <f t="shared" si="5"/>
        <v>0</v>
      </c>
      <c r="T47">
        <f t="shared" si="6"/>
        <v>57278434052.400002</v>
      </c>
      <c r="U47" s="127">
        <f t="shared" si="7"/>
        <v>0</v>
      </c>
      <c r="V47" s="127">
        <f t="shared" si="7"/>
        <v>6.5712105476848151E-4</v>
      </c>
    </row>
    <row r="48" spans="2:22">
      <c r="B48" s="124" t="s">
        <v>1005</v>
      </c>
      <c r="C48" s="124" t="s">
        <v>1006</v>
      </c>
      <c r="D48" t="s">
        <v>1007</v>
      </c>
      <c r="E48">
        <f>SUMIFS('Annual Service Data_rail only'!N:N,'Annual Service Data_rail only'!C:C,C48)</f>
        <v>0</v>
      </c>
      <c r="F48" s="121">
        <f>SUMIFS('Annual Service Data_rail only'!X:X,'Annual Service Data_rail only'!C:C,C48)</f>
        <v>0</v>
      </c>
      <c r="G48" s="121">
        <f>SUMIFS('Annual Service Data_rail only'!AT:AT,'Annual Service Data_rail only'!C:C,C48)</f>
        <v>0</v>
      </c>
      <c r="H48">
        <f>SUMIFS('Fuel and Energy_rail only'!AD:AD,'Fuel and Energy_rail only'!C:C,C48)</f>
        <v>0</v>
      </c>
      <c r="I48">
        <f>SUMIFS('Fuel and Energy_rail only'!AN:AN,'Fuel and Energy_rail only'!C:C,C48)</f>
        <v>0</v>
      </c>
      <c r="J48" s="21">
        <f t="shared" si="2"/>
        <v>0</v>
      </c>
      <c r="K48" s="21">
        <f t="shared" si="2"/>
        <v>0</v>
      </c>
      <c r="L48" s="125">
        <f t="shared" si="8"/>
        <v>0</v>
      </c>
      <c r="M48" s="126">
        <f t="shared" si="9"/>
        <v>0</v>
      </c>
      <c r="N48" s="126">
        <f t="shared" si="3"/>
        <v>0</v>
      </c>
      <c r="O48" s="126">
        <f t="shared" si="4"/>
        <v>0</v>
      </c>
      <c r="P48">
        <f>SUMIFS('Fuel and Energy_rail only'!M:M,'Fuel and Energy_rail only'!C:C,C48)</f>
        <v>0</v>
      </c>
      <c r="Q48">
        <f>SUMIFS('Fuel and Energy_rail only'!U:U,'Fuel and Energy_rail only'!C:C,C48)</f>
        <v>0</v>
      </c>
      <c r="R48">
        <f>SUMIFS('Fuel and Energy_rail only'!Y:Y,'Fuel and Energy_rail only'!C:C,C48)</f>
        <v>0</v>
      </c>
      <c r="S48">
        <f t="shared" si="5"/>
        <v>0</v>
      </c>
      <c r="T48">
        <f t="shared" si="6"/>
        <v>0</v>
      </c>
      <c r="U48" s="127">
        <f t="shared" si="7"/>
        <v>0</v>
      </c>
      <c r="V48" s="127">
        <f t="shared" si="7"/>
        <v>0</v>
      </c>
    </row>
    <row r="49" spans="2:22">
      <c r="B49" s="124" t="s">
        <v>1008</v>
      </c>
      <c r="C49" s="124" t="s">
        <v>803</v>
      </c>
      <c r="D49" t="s">
        <v>1009</v>
      </c>
      <c r="E49">
        <f>SUMIFS('Annual Service Data_rail only'!N:N,'Annual Service Data_rail only'!C:C,C49)</f>
        <v>14</v>
      </c>
      <c r="F49" s="121">
        <f>SUMIFS('Annual Service Data_rail only'!X:X,'Annual Service Data_rail only'!C:C,C49)</f>
        <v>3017495</v>
      </c>
      <c r="G49" s="121">
        <f>SUMIFS('Annual Service Data_rail only'!AT:AT,'Annual Service Data_rail only'!C:C,C49)</f>
        <v>20427250</v>
      </c>
      <c r="H49">
        <f>SUMIFS('Fuel and Energy_rail only'!AD:AD,'Fuel and Energy_rail only'!C:C,C49)</f>
        <v>0</v>
      </c>
      <c r="I49">
        <f>SUMIFS('Fuel and Energy_rail only'!AN:AN,'Fuel and Energy_rail only'!C:C,C49)</f>
        <v>2921572</v>
      </c>
      <c r="J49" s="21">
        <f t="shared" si="2"/>
        <v>0</v>
      </c>
      <c r="K49" s="21">
        <f t="shared" si="2"/>
        <v>1</v>
      </c>
      <c r="L49" s="125">
        <f t="shared" si="8"/>
        <v>6.769605252038529</v>
      </c>
      <c r="M49" s="126">
        <f t="shared" si="9"/>
        <v>215535.35714285713</v>
      </c>
      <c r="N49" s="126">
        <f t="shared" si="3"/>
        <v>0</v>
      </c>
      <c r="O49" s="126">
        <f t="shared" si="4"/>
        <v>14</v>
      </c>
      <c r="P49">
        <f>SUMIFS('Fuel and Energy_rail only'!M:M,'Fuel and Energy_rail only'!C:C,C49)</f>
        <v>0</v>
      </c>
      <c r="Q49">
        <f>SUMIFS('Fuel and Energy_rail only'!U:U,'Fuel and Energy_rail only'!C:C,C49)</f>
        <v>0</v>
      </c>
      <c r="R49">
        <f>SUMIFS('Fuel and Energy_rail only'!Y:Y,'Fuel and Energy_rail only'!C:C,C49)</f>
        <v>32090136</v>
      </c>
      <c r="S49">
        <f t="shared" si="5"/>
        <v>0</v>
      </c>
      <c r="T49">
        <f t="shared" si="6"/>
        <v>109496036651.03999</v>
      </c>
      <c r="U49" s="127">
        <f t="shared" si="7"/>
        <v>0</v>
      </c>
      <c r="V49" s="127">
        <f t="shared" si="7"/>
        <v>1.8655698073438882E-4</v>
      </c>
    </row>
    <row r="50" spans="2:22">
      <c r="B50" s="124" t="s">
        <v>1010</v>
      </c>
      <c r="C50" s="124" t="s">
        <v>1011</v>
      </c>
      <c r="D50" t="s">
        <v>1012</v>
      </c>
      <c r="E50">
        <f>SUMIFS('Annual Service Data_rail only'!N:N,'Annual Service Data_rail only'!C:C,C50)</f>
        <v>0</v>
      </c>
      <c r="F50" s="121">
        <f>SUMIFS('Annual Service Data_rail only'!X:X,'Annual Service Data_rail only'!C:C,C50)</f>
        <v>0</v>
      </c>
      <c r="G50" s="121">
        <f>SUMIFS('Annual Service Data_rail only'!AT:AT,'Annual Service Data_rail only'!C:C,C50)</f>
        <v>0</v>
      </c>
      <c r="H50">
        <f>SUMIFS('Fuel and Energy_rail only'!AD:AD,'Fuel and Energy_rail only'!C:C,C50)</f>
        <v>0</v>
      </c>
      <c r="I50">
        <f>SUMIFS('Fuel and Energy_rail only'!AN:AN,'Fuel and Energy_rail only'!C:C,C50)</f>
        <v>0</v>
      </c>
      <c r="J50" s="21">
        <f t="shared" si="2"/>
        <v>0</v>
      </c>
      <c r="K50" s="21">
        <f t="shared" si="2"/>
        <v>0</v>
      </c>
      <c r="L50" s="125">
        <f t="shared" si="8"/>
        <v>0</v>
      </c>
      <c r="M50" s="126">
        <f t="shared" si="9"/>
        <v>0</v>
      </c>
      <c r="N50" s="126">
        <f t="shared" si="3"/>
        <v>0</v>
      </c>
      <c r="O50" s="126">
        <f t="shared" si="4"/>
        <v>0</v>
      </c>
      <c r="P50">
        <f>SUMIFS('Fuel and Energy_rail only'!M:M,'Fuel and Energy_rail only'!C:C,C50)</f>
        <v>0</v>
      </c>
      <c r="Q50">
        <f>SUMIFS('Fuel and Energy_rail only'!U:U,'Fuel and Energy_rail only'!C:C,C50)</f>
        <v>0</v>
      </c>
      <c r="R50">
        <f>SUMIFS('Fuel and Energy_rail only'!Y:Y,'Fuel and Energy_rail only'!C:C,C50)</f>
        <v>0</v>
      </c>
      <c r="S50">
        <f t="shared" si="5"/>
        <v>0</v>
      </c>
      <c r="T50">
        <f t="shared" si="6"/>
        <v>0</v>
      </c>
      <c r="U50" s="127">
        <f t="shared" si="7"/>
        <v>0</v>
      </c>
      <c r="V50" s="127">
        <f t="shared" si="7"/>
        <v>0</v>
      </c>
    </row>
    <row r="51" spans="2:22">
      <c r="B51" s="124" t="s">
        <v>1013</v>
      </c>
      <c r="C51" s="124" t="s">
        <v>783</v>
      </c>
      <c r="D51" t="s">
        <v>1014</v>
      </c>
      <c r="E51">
        <f>SUMIFS('Annual Service Data_rail only'!N:N,'Annual Service Data_rail only'!C:C,C51)</f>
        <v>55</v>
      </c>
      <c r="F51" s="121">
        <f>SUMIFS('Annual Service Data_rail only'!X:X,'Annual Service Data_rail only'!C:C,C51)</f>
        <v>8981104</v>
      </c>
      <c r="G51" s="121">
        <f>SUMIFS('Annual Service Data_rail only'!AT:AT,'Annual Service Data_rail only'!C:C,C51)</f>
        <v>159458488</v>
      </c>
      <c r="H51">
        <f>SUMIFS('Fuel and Energy_rail only'!AD:AD,'Fuel and Energy_rail only'!C:C,C51)</f>
        <v>0</v>
      </c>
      <c r="I51">
        <f>SUMIFS('Fuel and Energy_rail only'!AN:AN,'Fuel and Energy_rail only'!C:C,C51)</f>
        <v>9045741</v>
      </c>
      <c r="J51" s="21">
        <f t="shared" si="2"/>
        <v>0</v>
      </c>
      <c r="K51" s="21">
        <f t="shared" si="2"/>
        <v>1</v>
      </c>
      <c r="L51" s="125">
        <f t="shared" si="8"/>
        <v>17.754887149731257</v>
      </c>
      <c r="M51" s="126">
        <f t="shared" si="9"/>
        <v>163292.79999999999</v>
      </c>
      <c r="N51" s="126">
        <f t="shared" si="3"/>
        <v>0</v>
      </c>
      <c r="O51" s="126">
        <f t="shared" si="4"/>
        <v>55</v>
      </c>
      <c r="P51">
        <f>SUMIFS('Fuel and Energy_rail only'!M:M,'Fuel and Energy_rail only'!C:C,C51)</f>
        <v>0</v>
      </c>
      <c r="Q51">
        <f>SUMIFS('Fuel and Energy_rail only'!U:U,'Fuel and Energy_rail only'!C:C,C51)</f>
        <v>0</v>
      </c>
      <c r="R51">
        <f>SUMIFS('Fuel and Energy_rail only'!Y:Y,'Fuel and Energy_rail only'!C:C,C51)</f>
        <v>54389715</v>
      </c>
      <c r="S51">
        <f t="shared" si="5"/>
        <v>0</v>
      </c>
      <c r="T51">
        <f t="shared" si="6"/>
        <v>185585322140.10001</v>
      </c>
      <c r="U51" s="127">
        <f t="shared" si="7"/>
        <v>0</v>
      </c>
      <c r="V51" s="127">
        <f t="shared" si="7"/>
        <v>8.5921928610077983E-4</v>
      </c>
    </row>
    <row r="52" spans="2:22">
      <c r="B52" s="124" t="s">
        <v>1015</v>
      </c>
      <c r="C52" s="124" t="s">
        <v>755</v>
      </c>
      <c r="D52" t="s">
        <v>1016</v>
      </c>
      <c r="E52">
        <f>SUMIFS('Annual Service Data_rail only'!N:N,'Annual Service Data_rail only'!C:C,C52)</f>
        <v>176</v>
      </c>
      <c r="F52" s="121">
        <f>SUMIFS('Annual Service Data_rail only'!X:X,'Annual Service Data_rail only'!C:C,C52)</f>
        <v>37294660</v>
      </c>
      <c r="G52" s="121">
        <f>SUMIFS('Annual Service Data_rail only'!AT:AT,'Annual Service Data_rail only'!C:C,C52)</f>
        <v>725134241</v>
      </c>
      <c r="H52">
        <f>SUMIFS('Fuel and Energy_rail only'!AD:AD,'Fuel and Energy_rail only'!C:C,C52)</f>
        <v>0</v>
      </c>
      <c r="I52">
        <f>SUMIFS('Fuel and Energy_rail only'!AN:AN,'Fuel and Energy_rail only'!C:C,C52)</f>
        <v>31752653</v>
      </c>
      <c r="J52" s="21">
        <f t="shared" si="2"/>
        <v>0</v>
      </c>
      <c r="K52" s="21">
        <f t="shared" si="2"/>
        <v>1</v>
      </c>
      <c r="L52" s="125">
        <f t="shared" si="8"/>
        <v>19.443379856526377</v>
      </c>
      <c r="M52" s="126">
        <f t="shared" si="9"/>
        <v>211901.47727272726</v>
      </c>
      <c r="N52" s="126">
        <f t="shared" si="3"/>
        <v>0</v>
      </c>
      <c r="O52" s="126">
        <f t="shared" si="4"/>
        <v>176</v>
      </c>
      <c r="P52">
        <f>SUMIFS('Fuel and Energy_rail only'!M:M,'Fuel and Energy_rail only'!C:C,C52)</f>
        <v>0</v>
      </c>
      <c r="Q52">
        <f>SUMIFS('Fuel and Energy_rail only'!U:U,'Fuel and Energy_rail only'!C:C,C52)</f>
        <v>0</v>
      </c>
      <c r="R52">
        <f>SUMIFS('Fuel and Energy_rail only'!Y:Y,'Fuel and Energy_rail only'!C:C,C52)</f>
        <v>373898381</v>
      </c>
      <c r="S52">
        <f t="shared" si="5"/>
        <v>0</v>
      </c>
      <c r="T52">
        <f t="shared" si="6"/>
        <v>1275793621745.3398</v>
      </c>
      <c r="U52" s="127">
        <f t="shared" si="7"/>
        <v>0</v>
      </c>
      <c r="V52" s="127">
        <f t="shared" si="7"/>
        <v>5.6837895145453508E-4</v>
      </c>
    </row>
    <row r="53" spans="2:22">
      <c r="B53" s="124" t="s">
        <v>1017</v>
      </c>
      <c r="C53" s="124" t="s">
        <v>1018</v>
      </c>
      <c r="D53" t="s">
        <v>1019</v>
      </c>
      <c r="E53">
        <f>SUMIFS('Annual Service Data_rail only'!N:N,'Annual Service Data_rail only'!C:C,C53)</f>
        <v>0</v>
      </c>
      <c r="F53" s="121">
        <f>SUMIFS('Annual Service Data_rail only'!X:X,'Annual Service Data_rail only'!C:C,C53)</f>
        <v>0</v>
      </c>
      <c r="G53" s="121">
        <f>SUMIFS('Annual Service Data_rail only'!AT:AT,'Annual Service Data_rail only'!C:C,C53)</f>
        <v>0</v>
      </c>
      <c r="H53">
        <f>SUMIFS('Fuel and Energy_rail only'!AD:AD,'Fuel and Energy_rail only'!C:C,C53)</f>
        <v>0</v>
      </c>
      <c r="I53">
        <f>SUMIFS('Fuel and Energy_rail only'!AN:AN,'Fuel and Energy_rail only'!C:C,C53)</f>
        <v>0</v>
      </c>
      <c r="J53" s="21">
        <f t="shared" si="2"/>
        <v>0</v>
      </c>
      <c r="K53" s="21">
        <f t="shared" si="2"/>
        <v>0</v>
      </c>
      <c r="L53" s="125">
        <f t="shared" si="8"/>
        <v>0</v>
      </c>
      <c r="M53" s="126">
        <f t="shared" si="9"/>
        <v>0</v>
      </c>
      <c r="N53" s="126">
        <f t="shared" si="3"/>
        <v>0</v>
      </c>
      <c r="O53" s="126">
        <f t="shared" si="4"/>
        <v>0</v>
      </c>
      <c r="P53">
        <f>SUMIFS('Fuel and Energy_rail only'!M:M,'Fuel and Energy_rail only'!C:C,C53)</f>
        <v>0</v>
      </c>
      <c r="Q53">
        <f>SUMIFS('Fuel and Energy_rail only'!U:U,'Fuel and Energy_rail only'!C:C,C53)</f>
        <v>0</v>
      </c>
      <c r="R53">
        <f>SUMIFS('Fuel and Energy_rail only'!Y:Y,'Fuel and Energy_rail only'!C:C,C53)</f>
        <v>0</v>
      </c>
      <c r="S53">
        <f t="shared" si="5"/>
        <v>0</v>
      </c>
      <c r="T53">
        <f t="shared" si="6"/>
        <v>0</v>
      </c>
      <c r="U53" s="127">
        <f t="shared" si="7"/>
        <v>0</v>
      </c>
      <c r="V53" s="127">
        <f t="shared" si="7"/>
        <v>0</v>
      </c>
    </row>
    <row r="54" spans="2:22">
      <c r="B54" s="124" t="s">
        <v>1020</v>
      </c>
      <c r="C54" s="124" t="s">
        <v>1021</v>
      </c>
      <c r="D54" t="s">
        <v>1022</v>
      </c>
      <c r="E54">
        <f>SUMIFS('Annual Service Data_rail only'!N:N,'Annual Service Data_rail only'!C:C,C54)</f>
        <v>0</v>
      </c>
      <c r="F54" s="121">
        <f>SUMIFS('Annual Service Data_rail only'!X:X,'Annual Service Data_rail only'!C:C,C54)</f>
        <v>0</v>
      </c>
      <c r="G54" s="121">
        <f>SUMIFS('Annual Service Data_rail only'!AT:AT,'Annual Service Data_rail only'!C:C,C54)</f>
        <v>0</v>
      </c>
      <c r="H54">
        <f>SUMIFS('Fuel and Energy_rail only'!AD:AD,'Fuel and Energy_rail only'!C:C,C54)</f>
        <v>0</v>
      </c>
      <c r="I54">
        <f>SUMIFS('Fuel and Energy_rail only'!AN:AN,'Fuel and Energy_rail only'!C:C,C54)</f>
        <v>0</v>
      </c>
      <c r="J54" s="21">
        <f t="shared" si="2"/>
        <v>0</v>
      </c>
      <c r="K54" s="21">
        <f t="shared" si="2"/>
        <v>0</v>
      </c>
      <c r="L54" s="125">
        <f t="shared" si="8"/>
        <v>0</v>
      </c>
      <c r="M54" s="126">
        <f t="shared" si="9"/>
        <v>0</v>
      </c>
      <c r="N54" s="126">
        <f t="shared" si="3"/>
        <v>0</v>
      </c>
      <c r="O54" s="126">
        <f t="shared" si="4"/>
        <v>0</v>
      </c>
      <c r="P54">
        <f>SUMIFS('Fuel and Energy_rail only'!M:M,'Fuel and Energy_rail only'!C:C,C54)</f>
        <v>0</v>
      </c>
      <c r="Q54">
        <f>SUMIFS('Fuel and Energy_rail only'!U:U,'Fuel and Energy_rail only'!C:C,C54)</f>
        <v>0</v>
      </c>
      <c r="R54">
        <f>SUMIFS('Fuel and Energy_rail only'!Y:Y,'Fuel and Energy_rail only'!C:C,C54)</f>
        <v>0</v>
      </c>
      <c r="S54">
        <f t="shared" si="5"/>
        <v>0</v>
      </c>
      <c r="T54">
        <f t="shared" si="6"/>
        <v>0</v>
      </c>
      <c r="U54" s="127">
        <f t="shared" si="7"/>
        <v>0</v>
      </c>
      <c r="V54" s="127">
        <f t="shared" si="7"/>
        <v>0</v>
      </c>
    </row>
    <row r="55" spans="2:22">
      <c r="B55" s="124" t="s">
        <v>1023</v>
      </c>
      <c r="C55" s="124" t="s">
        <v>1024</v>
      </c>
      <c r="D55" t="s">
        <v>1025</v>
      </c>
      <c r="E55">
        <f>SUMIFS('Annual Service Data_rail only'!N:N,'Annual Service Data_rail only'!C:C,C55)</f>
        <v>0</v>
      </c>
      <c r="F55" s="121">
        <f>SUMIFS('Annual Service Data_rail only'!X:X,'Annual Service Data_rail only'!C:C,C55)</f>
        <v>0</v>
      </c>
      <c r="G55" s="121">
        <f>SUMIFS('Annual Service Data_rail only'!AT:AT,'Annual Service Data_rail only'!C:C,C55)</f>
        <v>0</v>
      </c>
      <c r="H55">
        <f>SUMIFS('Fuel and Energy_rail only'!AD:AD,'Fuel and Energy_rail only'!C:C,C55)</f>
        <v>0</v>
      </c>
      <c r="I55">
        <f>SUMIFS('Fuel and Energy_rail only'!AN:AN,'Fuel and Energy_rail only'!C:C,C55)</f>
        <v>0</v>
      </c>
      <c r="J55" s="21">
        <f t="shared" si="2"/>
        <v>0</v>
      </c>
      <c r="K55" s="21">
        <f t="shared" si="2"/>
        <v>0</v>
      </c>
      <c r="L55" s="125">
        <f t="shared" si="8"/>
        <v>0</v>
      </c>
      <c r="M55" s="126">
        <f t="shared" si="9"/>
        <v>0</v>
      </c>
      <c r="N55" s="126">
        <f t="shared" si="3"/>
        <v>0</v>
      </c>
      <c r="O55" s="126">
        <f t="shared" si="4"/>
        <v>0</v>
      </c>
      <c r="P55">
        <f>SUMIFS('Fuel and Energy_rail only'!M:M,'Fuel and Energy_rail only'!C:C,C55)</f>
        <v>0</v>
      </c>
      <c r="Q55">
        <f>SUMIFS('Fuel and Energy_rail only'!U:U,'Fuel and Energy_rail only'!C:C,C55)</f>
        <v>0</v>
      </c>
      <c r="R55">
        <f>SUMIFS('Fuel and Energy_rail only'!Y:Y,'Fuel and Energy_rail only'!C:C,C55)</f>
        <v>0</v>
      </c>
      <c r="S55">
        <f t="shared" si="5"/>
        <v>0</v>
      </c>
      <c r="T55">
        <f t="shared" si="6"/>
        <v>0</v>
      </c>
      <c r="U55" s="127">
        <f t="shared" si="7"/>
        <v>0</v>
      </c>
      <c r="V55" s="127">
        <f t="shared" si="7"/>
        <v>0</v>
      </c>
    </row>
    <row r="56" spans="2:22">
      <c r="B56" s="124" t="s">
        <v>1026</v>
      </c>
      <c r="C56" s="124" t="s">
        <v>842</v>
      </c>
      <c r="D56" t="s">
        <v>1027</v>
      </c>
      <c r="E56">
        <f>SUMIFS('Annual Service Data_rail only'!N:N,'Annual Service Data_rail only'!C:C,C56)</f>
        <v>2</v>
      </c>
      <c r="F56" s="121">
        <f>SUMIFS('Annual Service Data_rail only'!X:X,'Annual Service Data_rail only'!C:C,C56)</f>
        <v>208873</v>
      </c>
      <c r="G56" s="121">
        <f>SUMIFS('Annual Service Data_rail only'!AT:AT,'Annual Service Data_rail only'!C:C,C56)</f>
        <v>3403059</v>
      </c>
      <c r="H56">
        <f>SUMIFS('Fuel and Energy_rail only'!AD:AD,'Fuel and Energy_rail only'!C:C,C56)</f>
        <v>71832</v>
      </c>
      <c r="I56">
        <f>SUMIFS('Fuel and Energy_rail only'!AN:AN,'Fuel and Energy_rail only'!C:C,C56)</f>
        <v>0</v>
      </c>
      <c r="J56" s="21">
        <f t="shared" si="2"/>
        <v>1</v>
      </c>
      <c r="K56" s="21">
        <f t="shared" si="2"/>
        <v>0</v>
      </c>
      <c r="L56" s="125">
        <f t="shared" si="8"/>
        <v>16.292479161978811</v>
      </c>
      <c r="M56" s="126">
        <f t="shared" si="9"/>
        <v>104436.5</v>
      </c>
      <c r="N56" s="126">
        <f t="shared" si="3"/>
        <v>2</v>
      </c>
      <c r="O56" s="126">
        <f t="shared" si="4"/>
        <v>0</v>
      </c>
      <c r="P56">
        <f>SUMIFS('Fuel and Energy_rail only'!M:M,'Fuel and Energy_rail only'!C:C,C56)</f>
        <v>195054</v>
      </c>
      <c r="Q56">
        <f>SUMIFS('Fuel and Energy_rail only'!U:U,'Fuel and Energy_rail only'!C:C,C56)</f>
        <v>0</v>
      </c>
      <c r="R56">
        <f>SUMIFS('Fuel and Energy_rail only'!Y:Y,'Fuel and Energy_rail only'!C:C,C56)</f>
        <v>0</v>
      </c>
      <c r="S56">
        <f t="shared" si="5"/>
        <v>27053989800</v>
      </c>
      <c r="T56">
        <f t="shared" si="6"/>
        <v>0</v>
      </c>
      <c r="U56" s="127">
        <f t="shared" si="7"/>
        <v>1.2578769435331124E-4</v>
      </c>
      <c r="V56" s="127">
        <f t="shared" si="7"/>
        <v>0</v>
      </c>
    </row>
    <row r="57" spans="2:22">
      <c r="B57" s="124" t="s">
        <v>1028</v>
      </c>
      <c r="C57" s="124" t="s">
        <v>758</v>
      </c>
      <c r="D57" t="s">
        <v>1029</v>
      </c>
      <c r="E57">
        <f>SUMIFS('Annual Service Data_rail only'!N:N,'Annual Service Data_rail only'!C:C,C57)</f>
        <v>81</v>
      </c>
      <c r="F57" s="121">
        <f>SUMIFS('Annual Service Data_rail only'!X:X,'Annual Service Data_rail only'!C:C,C57)</f>
        <v>16971382</v>
      </c>
      <c r="G57" s="121">
        <f>SUMIFS('Annual Service Data_rail only'!AT:AT,'Annual Service Data_rail only'!C:C,C57)</f>
        <v>229087609</v>
      </c>
      <c r="H57">
        <f>SUMIFS('Fuel and Energy_rail only'!AD:AD,'Fuel and Energy_rail only'!C:C,C57)</f>
        <v>2810479</v>
      </c>
      <c r="I57">
        <f>SUMIFS('Fuel and Energy_rail only'!AN:AN,'Fuel and Energy_rail only'!C:C,C57)</f>
        <v>13314833</v>
      </c>
      <c r="J57" s="21">
        <f t="shared" si="2"/>
        <v>0.17428989901094627</v>
      </c>
      <c r="K57" s="21">
        <f t="shared" si="2"/>
        <v>0.82571010098905373</v>
      </c>
      <c r="L57" s="125">
        <f t="shared" si="8"/>
        <v>13.498465180973476</v>
      </c>
      <c r="M57" s="126">
        <f t="shared" si="9"/>
        <v>209523.23456790124</v>
      </c>
      <c r="N57" s="126">
        <f t="shared" si="3"/>
        <v>14.117481819886647</v>
      </c>
      <c r="O57" s="126">
        <f t="shared" si="4"/>
        <v>66.882518180113351</v>
      </c>
      <c r="P57">
        <f>SUMIFS('Fuel and Energy_rail only'!M:M,'Fuel and Energy_rail only'!C:C,C57)</f>
        <v>1818399</v>
      </c>
      <c r="Q57">
        <f>SUMIFS('Fuel and Energy_rail only'!U:U,'Fuel and Energy_rail only'!C:C,C57)</f>
        <v>0</v>
      </c>
      <c r="R57">
        <f>SUMIFS('Fuel and Energy_rail only'!Y:Y,'Fuel and Energy_rail only'!C:C,C57)</f>
        <v>136948004</v>
      </c>
      <c r="S57">
        <f t="shared" si="5"/>
        <v>252211941300</v>
      </c>
      <c r="T57">
        <f t="shared" si="6"/>
        <v>467285762368.56</v>
      </c>
      <c r="U57" s="127">
        <f t="shared" si="7"/>
        <v>1.5830993580821838E-4</v>
      </c>
      <c r="V57" s="127">
        <f t="shared" si="7"/>
        <v>4.0480572702220627E-4</v>
      </c>
    </row>
    <row r="58" spans="2:22">
      <c r="B58" s="124" t="s">
        <v>1030</v>
      </c>
      <c r="C58" s="124" t="s">
        <v>775</v>
      </c>
      <c r="D58" t="s">
        <v>1031</v>
      </c>
      <c r="E58">
        <f>SUMIFS('Annual Service Data_rail only'!N:N,'Annual Service Data_rail only'!C:C,C58)</f>
        <v>31</v>
      </c>
      <c r="F58" s="121">
        <f>SUMIFS('Annual Service Data_rail only'!X:X,'Annual Service Data_rail only'!C:C,C58)</f>
        <v>10256420</v>
      </c>
      <c r="G58" s="121">
        <f>SUMIFS('Annual Service Data_rail only'!AT:AT,'Annual Service Data_rail only'!C:C,C58)</f>
        <v>91039641</v>
      </c>
      <c r="H58">
        <f>SUMIFS('Fuel and Energy_rail only'!AD:AD,'Fuel and Energy_rail only'!C:C,C58)</f>
        <v>850933</v>
      </c>
      <c r="I58">
        <f>SUMIFS('Fuel and Energy_rail only'!AN:AN,'Fuel and Energy_rail only'!C:C,C58)</f>
        <v>6307169</v>
      </c>
      <c r="J58" s="21">
        <f t="shared" si="2"/>
        <v>0.11887690340260589</v>
      </c>
      <c r="K58" s="21">
        <f t="shared" si="2"/>
        <v>0.88112309659739407</v>
      </c>
      <c r="L58" s="125">
        <f t="shared" si="8"/>
        <v>8.876356564961263</v>
      </c>
      <c r="M58" s="126">
        <f t="shared" si="9"/>
        <v>330852.25806451612</v>
      </c>
      <c r="N58" s="126">
        <f t="shared" si="3"/>
        <v>3.6851840054807825</v>
      </c>
      <c r="O58" s="126">
        <f t="shared" si="4"/>
        <v>27.314815994519215</v>
      </c>
      <c r="P58">
        <f>SUMIFS('Fuel and Energy_rail only'!M:M,'Fuel and Energy_rail only'!C:C,C58)</f>
        <v>1921417</v>
      </c>
      <c r="Q58">
        <f>SUMIFS('Fuel and Energy_rail only'!U:U,'Fuel and Energy_rail only'!C:C,C58)</f>
        <v>0</v>
      </c>
      <c r="R58">
        <f>SUMIFS('Fuel and Energy_rail only'!Y:Y,'Fuel and Energy_rail only'!C:C,C58)</f>
        <v>39602347</v>
      </c>
      <c r="S58">
        <f t="shared" si="5"/>
        <v>266500537900</v>
      </c>
      <c r="T58">
        <f t="shared" si="6"/>
        <v>135128752292.58</v>
      </c>
      <c r="U58" s="127">
        <f t="shared" si="7"/>
        <v>4.0609713939961685E-5</v>
      </c>
      <c r="V58" s="127">
        <f t="shared" si="7"/>
        <v>5.9363480406708256E-4</v>
      </c>
    </row>
    <row r="59" spans="2:22">
      <c r="B59" s="124" t="s">
        <v>1032</v>
      </c>
      <c r="C59" s="124" t="s">
        <v>1033</v>
      </c>
      <c r="D59" t="s">
        <v>1034</v>
      </c>
      <c r="E59">
        <f>SUMIFS('Annual Service Data_rail only'!N:N,'Annual Service Data_rail only'!C:C,C59)</f>
        <v>0</v>
      </c>
      <c r="F59" s="121">
        <f>SUMIFS('Annual Service Data_rail only'!X:X,'Annual Service Data_rail only'!C:C,C59)</f>
        <v>0</v>
      </c>
      <c r="G59" s="121">
        <f>SUMIFS('Annual Service Data_rail only'!AT:AT,'Annual Service Data_rail only'!C:C,C59)</f>
        <v>0</v>
      </c>
      <c r="H59">
        <f>SUMIFS('Fuel and Energy_rail only'!AD:AD,'Fuel and Energy_rail only'!C:C,C59)</f>
        <v>0</v>
      </c>
      <c r="I59">
        <f>SUMIFS('Fuel and Energy_rail only'!AN:AN,'Fuel and Energy_rail only'!C:C,C59)</f>
        <v>0</v>
      </c>
      <c r="J59" s="21">
        <f t="shared" si="2"/>
        <v>0</v>
      </c>
      <c r="K59" s="21">
        <f t="shared" si="2"/>
        <v>0</v>
      </c>
      <c r="L59" s="125">
        <f t="shared" si="8"/>
        <v>0</v>
      </c>
      <c r="M59" s="126">
        <f t="shared" si="9"/>
        <v>0</v>
      </c>
      <c r="N59" s="126">
        <f t="shared" si="3"/>
        <v>0</v>
      </c>
      <c r="O59" s="126">
        <f t="shared" si="4"/>
        <v>0</v>
      </c>
      <c r="P59">
        <f>SUMIFS('Fuel and Energy_rail only'!M:M,'Fuel and Energy_rail only'!C:C,C59)</f>
        <v>0</v>
      </c>
      <c r="Q59">
        <f>SUMIFS('Fuel and Energy_rail only'!U:U,'Fuel and Energy_rail only'!C:C,C59)</f>
        <v>0</v>
      </c>
      <c r="R59">
        <f>SUMIFS('Fuel and Energy_rail only'!Y:Y,'Fuel and Energy_rail only'!C:C,C59)</f>
        <v>0</v>
      </c>
      <c r="S59">
        <f t="shared" si="5"/>
        <v>0</v>
      </c>
      <c r="T59">
        <f t="shared" si="6"/>
        <v>0</v>
      </c>
      <c r="U59" s="127">
        <f t="shared" si="7"/>
        <v>0</v>
      </c>
      <c r="V59" s="127">
        <f t="shared" si="7"/>
        <v>0</v>
      </c>
    </row>
    <row r="60" spans="2:22">
      <c r="B60" s="124" t="s">
        <v>1035</v>
      </c>
      <c r="C60" s="124" t="s">
        <v>806</v>
      </c>
      <c r="D60" t="s">
        <v>1036</v>
      </c>
      <c r="E60">
        <f>SUMIFS('Annual Service Data_rail only'!N:N,'Annual Service Data_rail only'!C:C,C60)</f>
        <v>38</v>
      </c>
      <c r="F60" s="121">
        <f>SUMIFS('Annual Service Data_rail only'!X:X,'Annual Service Data_rail only'!C:C,C60)</f>
        <v>2579467</v>
      </c>
      <c r="G60" s="121">
        <f>SUMIFS('Annual Service Data_rail only'!AT:AT,'Annual Service Data_rail only'!C:C,C60)</f>
        <v>101304307</v>
      </c>
      <c r="H60">
        <f>SUMIFS('Fuel and Energy_rail only'!AD:AD,'Fuel and Energy_rail only'!C:C,C60)</f>
        <v>333956</v>
      </c>
      <c r="I60">
        <f>SUMIFS('Fuel and Energy_rail only'!AN:AN,'Fuel and Energy_rail only'!C:C,C60)</f>
        <v>345837</v>
      </c>
      <c r="J60" s="21">
        <f t="shared" si="2"/>
        <v>0.49126131042832155</v>
      </c>
      <c r="K60" s="21">
        <f t="shared" si="2"/>
        <v>0.50873868957167845</v>
      </c>
      <c r="L60" s="125">
        <f t="shared" si="8"/>
        <v>39.273348718940774</v>
      </c>
      <c r="M60" s="126">
        <f t="shared" si="9"/>
        <v>67880.710526315786</v>
      </c>
      <c r="N60" s="126">
        <f t="shared" si="3"/>
        <v>18.667929796276219</v>
      </c>
      <c r="O60" s="126">
        <f t="shared" si="4"/>
        <v>19.332070203723781</v>
      </c>
      <c r="P60">
        <f>SUMIFS('Fuel and Energy_rail only'!M:M,'Fuel and Energy_rail only'!C:C,C60)</f>
        <v>1430638</v>
      </c>
      <c r="Q60">
        <f>SUMIFS('Fuel and Energy_rail only'!U:U,'Fuel and Energy_rail only'!C:C,C60)</f>
        <v>0</v>
      </c>
      <c r="R60">
        <f>SUMIFS('Fuel and Energy_rail only'!Y:Y,'Fuel and Energy_rail only'!C:C,C60)</f>
        <v>3318000</v>
      </c>
      <c r="S60">
        <f t="shared" si="5"/>
        <v>198429490600</v>
      </c>
      <c r="T60">
        <f t="shared" si="6"/>
        <v>11321480520</v>
      </c>
      <c r="U60" s="127">
        <f t="shared" si="7"/>
        <v>2.5080388231794913E-4</v>
      </c>
      <c r="V60" s="127">
        <f t="shared" si="7"/>
        <v>4.5521802824377436E-3</v>
      </c>
    </row>
    <row r="61" spans="2:22">
      <c r="B61" s="124" t="s">
        <v>742</v>
      </c>
      <c r="C61" s="124" t="s">
        <v>812</v>
      </c>
      <c r="D61" t="s">
        <v>1037</v>
      </c>
      <c r="E61">
        <f>SUMIFS('Annual Service Data_rail only'!N:N,'Annual Service Data_rail only'!C:C,C61)</f>
        <v>40</v>
      </c>
      <c r="F61" s="121">
        <f>SUMIFS('Annual Service Data_rail only'!X:X,'Annual Service Data_rail only'!C:C,C61)</f>
        <v>5730374</v>
      </c>
      <c r="G61" s="121">
        <f>SUMIFS('Annual Service Data_rail only'!AT:AT,'Annual Service Data_rail only'!C:C,C61)</f>
        <v>81685247</v>
      </c>
      <c r="H61">
        <f>SUMIFS('Fuel and Energy_rail only'!AD:AD,'Fuel and Energy_rail only'!C:C,C61)</f>
        <v>335545</v>
      </c>
      <c r="I61">
        <f>SUMIFS('Fuel and Energy_rail only'!AN:AN,'Fuel and Energy_rail only'!C:C,C61)</f>
        <v>4232555</v>
      </c>
      <c r="J61" s="21">
        <f t="shared" si="2"/>
        <v>7.345395240909787E-2</v>
      </c>
      <c r="K61" s="21">
        <f t="shared" si="2"/>
        <v>0.92654604759090209</v>
      </c>
      <c r="L61" s="125">
        <f t="shared" si="8"/>
        <v>14.254784591721238</v>
      </c>
      <c r="M61" s="126">
        <f t="shared" si="9"/>
        <v>143259.35</v>
      </c>
      <c r="N61" s="126">
        <f t="shared" si="3"/>
        <v>2.9381580963639147</v>
      </c>
      <c r="O61" s="126">
        <f t="shared" si="4"/>
        <v>37.061841903636086</v>
      </c>
      <c r="P61">
        <f>SUMIFS('Fuel and Energy_rail only'!M:M,'Fuel and Energy_rail only'!C:C,C61)</f>
        <v>625305</v>
      </c>
      <c r="Q61">
        <f>SUMIFS('Fuel and Energy_rail only'!U:U,'Fuel and Energy_rail only'!C:C,C61)</f>
        <v>0</v>
      </c>
      <c r="R61">
        <f>SUMIFS('Fuel and Energy_rail only'!Y:Y,'Fuel and Energy_rail only'!C:C,C61)</f>
        <v>20355203</v>
      </c>
      <c r="S61">
        <f t="shared" si="5"/>
        <v>86729803500</v>
      </c>
      <c r="T61">
        <f t="shared" si="6"/>
        <v>69454802364.419998</v>
      </c>
      <c r="U61" s="127">
        <f t="shared" si="7"/>
        <v>6.9181573156261154E-5</v>
      </c>
      <c r="V61" s="127">
        <f t="shared" si="7"/>
        <v>1.0897035219714086E-3</v>
      </c>
    </row>
    <row r="62" spans="2:22">
      <c r="B62" s="124" t="s">
        <v>1038</v>
      </c>
      <c r="C62" s="124" t="s">
        <v>1039</v>
      </c>
      <c r="D62" t="s">
        <v>1040</v>
      </c>
      <c r="E62">
        <f>SUMIFS('Annual Service Data_rail only'!N:N,'Annual Service Data_rail only'!C:C,C62)</f>
        <v>0</v>
      </c>
      <c r="F62" s="121">
        <f>SUMIFS('Annual Service Data_rail only'!X:X,'Annual Service Data_rail only'!C:C,C62)</f>
        <v>0</v>
      </c>
      <c r="G62" s="121">
        <f>SUMIFS('Annual Service Data_rail only'!AT:AT,'Annual Service Data_rail only'!C:C,C62)</f>
        <v>0</v>
      </c>
      <c r="H62">
        <f>SUMIFS('Fuel and Energy_rail only'!AD:AD,'Fuel and Energy_rail only'!C:C,C62)</f>
        <v>0</v>
      </c>
      <c r="I62">
        <f>SUMIFS('Fuel and Energy_rail only'!AN:AN,'Fuel and Energy_rail only'!C:C,C62)</f>
        <v>0</v>
      </c>
      <c r="J62" s="21">
        <f t="shared" si="2"/>
        <v>0</v>
      </c>
      <c r="K62" s="21">
        <f t="shared" si="2"/>
        <v>0</v>
      </c>
      <c r="L62" s="125">
        <f t="shared" si="8"/>
        <v>0</v>
      </c>
      <c r="M62" s="126">
        <f t="shared" si="9"/>
        <v>0</v>
      </c>
      <c r="N62" s="126">
        <f t="shared" si="3"/>
        <v>0</v>
      </c>
      <c r="O62" s="126">
        <f t="shared" si="4"/>
        <v>0</v>
      </c>
      <c r="P62">
        <f>SUMIFS('Fuel and Energy_rail only'!M:M,'Fuel and Energy_rail only'!C:C,C62)</f>
        <v>0</v>
      </c>
      <c r="Q62">
        <f>SUMIFS('Fuel and Energy_rail only'!U:U,'Fuel and Energy_rail only'!C:C,C62)</f>
        <v>0</v>
      </c>
      <c r="R62">
        <f>SUMIFS('Fuel and Energy_rail only'!Y:Y,'Fuel and Energy_rail only'!C:C,C62)</f>
        <v>0</v>
      </c>
      <c r="S62">
        <f t="shared" si="5"/>
        <v>0</v>
      </c>
      <c r="T62">
        <f t="shared" si="6"/>
        <v>0</v>
      </c>
      <c r="U62" s="127">
        <f t="shared" si="7"/>
        <v>0</v>
      </c>
      <c r="V62" s="127">
        <f t="shared" si="7"/>
        <v>0</v>
      </c>
    </row>
    <row r="63" spans="2:22">
      <c r="B63" s="124" t="s">
        <v>1041</v>
      </c>
      <c r="C63" s="124" t="s">
        <v>1042</v>
      </c>
      <c r="D63" t="s">
        <v>1043</v>
      </c>
      <c r="E63">
        <f>SUMIFS('Annual Service Data_rail only'!N:N,'Annual Service Data_rail only'!C:C,C63)</f>
        <v>0</v>
      </c>
      <c r="F63" s="121">
        <f>SUMIFS('Annual Service Data_rail only'!X:X,'Annual Service Data_rail only'!C:C,C63)</f>
        <v>0</v>
      </c>
      <c r="G63" s="121">
        <f>SUMIFS('Annual Service Data_rail only'!AT:AT,'Annual Service Data_rail only'!C:C,C63)</f>
        <v>0</v>
      </c>
      <c r="H63">
        <f>SUMIFS('Fuel and Energy_rail only'!AD:AD,'Fuel and Energy_rail only'!C:C,C63)</f>
        <v>0</v>
      </c>
      <c r="I63">
        <f>SUMIFS('Fuel and Energy_rail only'!AN:AN,'Fuel and Energy_rail only'!C:C,C63)</f>
        <v>0</v>
      </c>
      <c r="J63" s="21">
        <f t="shared" si="2"/>
        <v>0</v>
      </c>
      <c r="K63" s="21">
        <f t="shared" si="2"/>
        <v>0</v>
      </c>
      <c r="L63" s="125">
        <f t="shared" si="8"/>
        <v>0</v>
      </c>
      <c r="M63" s="126">
        <f t="shared" si="9"/>
        <v>0</v>
      </c>
      <c r="N63" s="126">
        <f t="shared" si="3"/>
        <v>0</v>
      </c>
      <c r="O63" s="126">
        <f t="shared" si="4"/>
        <v>0</v>
      </c>
      <c r="P63">
        <f>SUMIFS('Fuel and Energy_rail only'!M:M,'Fuel and Energy_rail only'!C:C,C63)</f>
        <v>0</v>
      </c>
      <c r="Q63">
        <f>SUMIFS('Fuel and Energy_rail only'!U:U,'Fuel and Energy_rail only'!C:C,C63)</f>
        <v>0</v>
      </c>
      <c r="R63">
        <f>SUMIFS('Fuel and Energy_rail only'!Y:Y,'Fuel and Energy_rail only'!C:C,C63)</f>
        <v>0</v>
      </c>
      <c r="S63">
        <f t="shared" si="5"/>
        <v>0</v>
      </c>
      <c r="T63">
        <f t="shared" si="6"/>
        <v>0</v>
      </c>
      <c r="U63" s="127">
        <f t="shared" si="7"/>
        <v>0</v>
      </c>
      <c r="V63" s="127">
        <f t="shared" si="7"/>
        <v>0</v>
      </c>
    </row>
    <row r="64" spans="2:22">
      <c r="B64" s="124" t="s">
        <v>1044</v>
      </c>
      <c r="C64" s="124" t="s">
        <v>1045</v>
      </c>
      <c r="D64" t="s">
        <v>1046</v>
      </c>
      <c r="E64">
        <f>SUMIFS('Annual Service Data_rail only'!N:N,'Annual Service Data_rail only'!C:C,C64)</f>
        <v>0</v>
      </c>
      <c r="F64" s="121">
        <f>SUMIFS('Annual Service Data_rail only'!X:X,'Annual Service Data_rail only'!C:C,C64)</f>
        <v>0</v>
      </c>
      <c r="G64" s="121">
        <f>SUMIFS('Annual Service Data_rail only'!AT:AT,'Annual Service Data_rail only'!C:C,C64)</f>
        <v>0</v>
      </c>
      <c r="H64">
        <f>SUMIFS('Fuel and Energy_rail only'!AD:AD,'Fuel and Energy_rail only'!C:C,C64)</f>
        <v>0</v>
      </c>
      <c r="I64">
        <f>SUMIFS('Fuel and Energy_rail only'!AN:AN,'Fuel and Energy_rail only'!C:C,C64)</f>
        <v>0</v>
      </c>
      <c r="J64" s="21">
        <f t="shared" si="2"/>
        <v>0</v>
      </c>
      <c r="K64" s="21">
        <f t="shared" si="2"/>
        <v>0</v>
      </c>
      <c r="L64" s="125">
        <f t="shared" si="8"/>
        <v>0</v>
      </c>
      <c r="M64" s="126">
        <f t="shared" si="9"/>
        <v>0</v>
      </c>
      <c r="N64" s="126">
        <f t="shared" si="3"/>
        <v>0</v>
      </c>
      <c r="O64" s="126">
        <f t="shared" si="4"/>
        <v>0</v>
      </c>
      <c r="P64">
        <f>SUMIFS('Fuel and Energy_rail only'!M:M,'Fuel and Energy_rail only'!C:C,C64)</f>
        <v>0</v>
      </c>
      <c r="Q64">
        <f>SUMIFS('Fuel and Energy_rail only'!U:U,'Fuel and Energy_rail only'!C:C,C64)</f>
        <v>0</v>
      </c>
      <c r="R64">
        <f>SUMIFS('Fuel and Energy_rail only'!Y:Y,'Fuel and Energy_rail only'!C:C,C64)</f>
        <v>0</v>
      </c>
      <c r="S64">
        <f t="shared" si="5"/>
        <v>0</v>
      </c>
      <c r="T64">
        <f t="shared" si="6"/>
        <v>0</v>
      </c>
      <c r="U64" s="127">
        <f t="shared" si="7"/>
        <v>0</v>
      </c>
      <c r="V64" s="127">
        <f t="shared" si="7"/>
        <v>0</v>
      </c>
    </row>
    <row r="66" spans="4:24" s="1" customFormat="1">
      <c r="E66" s="1" t="str">
        <f>E13</f>
        <v>Max Trains in Operation</v>
      </c>
      <c r="F66" s="1" t="str">
        <f t="shared" ref="F66:V66" si="10">F13</f>
        <v>Vehicle Miles</v>
      </c>
      <c r="G66" s="1" t="str">
        <f t="shared" si="10"/>
        <v>Passenger Miles</v>
      </c>
      <c r="L66" s="1" t="str">
        <f t="shared" si="10"/>
        <v>calc AVLO</v>
      </c>
      <c r="M66" s="1" t="str">
        <f t="shared" si="10"/>
        <v>calc BAADTVBT</v>
      </c>
      <c r="N66" s="1" t="str">
        <f t="shared" si="10"/>
        <v>SYVBT-diesel</v>
      </c>
      <c r="O66" s="1" t="str">
        <f t="shared" si="10"/>
        <v>SYVBT-electric</v>
      </c>
      <c r="S66" s="1" t="str">
        <f t="shared" si="10"/>
        <v>diesel (btus)</v>
      </c>
      <c r="T66" s="1" t="str">
        <f t="shared" si="10"/>
        <v>electric (btu)</v>
      </c>
      <c r="U66" s="1" t="str">
        <f t="shared" si="10"/>
        <v>calc SYFAFE-diesel</v>
      </c>
      <c r="V66" s="1" t="str">
        <f t="shared" si="10"/>
        <v>calc SYFAFE-electric</v>
      </c>
    </row>
    <row r="67" spans="4:24">
      <c r="D67" s="2" t="s">
        <v>1047</v>
      </c>
      <c r="E67" s="2">
        <f>SUM(E14:E64)</f>
        <v>2740</v>
      </c>
      <c r="F67" s="2">
        <f t="shared" ref="F67:G67" si="11">SUM(F14:F64)</f>
        <v>1083860350</v>
      </c>
      <c r="G67" s="2">
        <f t="shared" si="11"/>
        <v>16634915700</v>
      </c>
      <c r="H67" s="2"/>
      <c r="I67" s="2"/>
      <c r="J67" s="2"/>
      <c r="K67" s="2"/>
      <c r="L67" s="128">
        <f>IFERROR(G67/F67,0)</f>
        <v>15.34784042981183</v>
      </c>
      <c r="M67" s="129">
        <f>IFERROR(F67/E67,0)</f>
        <v>395569.47080291971</v>
      </c>
      <c r="N67" s="129">
        <f>SUM(N14:N64)</f>
        <v>173.39396393169866</v>
      </c>
      <c r="O67" s="129">
        <f>SUM(O14:O64)</f>
        <v>2563.6060360683009</v>
      </c>
      <c r="P67" s="130"/>
      <c r="Q67" s="130"/>
      <c r="R67" s="130"/>
      <c r="S67" s="131">
        <f>C8</f>
        <v>20809967000000</v>
      </c>
      <c r="T67" s="131">
        <f>C7</f>
        <v>23082237999999.996</v>
      </c>
      <c r="U67" s="131">
        <f>IFERROR(($L67*$M67*N67)/S67,0)</f>
        <v>5.0586266198922429E-5</v>
      </c>
      <c r="V67" s="131">
        <f>IFERROR(($L67*$M67*O67)/T67,0)</f>
        <v>6.7428486606874269E-4</v>
      </c>
      <c r="W67" s="3"/>
      <c r="X67" s="3"/>
    </row>
    <row r="69" spans="4:24">
      <c r="D69" t="s">
        <v>1048</v>
      </c>
      <c r="E69" s="21">
        <f>E67/SUM(N67:O67)</f>
        <v>1.0010960906101574</v>
      </c>
      <c r="G69" s="21">
        <f>L67*M67*SUM(N67:O67)/G67</f>
        <v>0.99890510948905087</v>
      </c>
      <c r="K69" s="68"/>
      <c r="S69" s="21">
        <f>($L67*$M67*N67/U67)/S67</f>
        <v>1</v>
      </c>
      <c r="T69" s="21">
        <f>($L67*$M67*O67/V67)/T67</f>
        <v>1</v>
      </c>
    </row>
  </sheetData>
  <conditionalFormatting sqref="C98:C1048576 C4:C68">
    <cfRule type="duplicateValues" dxfId="0" priority="1"/>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K52"/>
  <sheetViews>
    <sheetView topLeftCell="A31" workbookViewId="0"/>
  </sheetViews>
  <sheetFormatPr defaultRowHeight="15"/>
  <cols>
    <col min="1" max="1" width="26" customWidth="1"/>
    <col min="2" max="3" width="10.28515625" customWidth="1"/>
    <col min="4" max="4" width="56.140625" bestFit="1" customWidth="1"/>
    <col min="5" max="31" width="10.28515625" customWidth="1"/>
  </cols>
  <sheetData>
    <row r="1" spans="1:36">
      <c r="A1" s="2" t="s">
        <v>130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C2" s="202">
        <f>'AEO 2023 48'!F1</f>
        <v>2022</v>
      </c>
      <c r="D2" s="202">
        <f>'AEO 2023 48'!G1</f>
        <v>2023</v>
      </c>
      <c r="E2" s="202">
        <f>'AEO 2023 48'!H1</f>
        <v>2024</v>
      </c>
      <c r="F2" s="202">
        <f>'AEO 2023 48'!I1</f>
        <v>2025</v>
      </c>
      <c r="G2" s="202">
        <f>'AEO 2023 48'!J1</f>
        <v>2026</v>
      </c>
      <c r="H2" s="202">
        <f>'AEO 2023 48'!K1</f>
        <v>2027</v>
      </c>
      <c r="I2" s="202">
        <f>'AEO 2023 48'!L1</f>
        <v>2028</v>
      </c>
      <c r="J2" s="202">
        <f>'AEO 2023 48'!M1</f>
        <v>2029</v>
      </c>
      <c r="K2" s="202">
        <f>'AEO 2023 48'!N1</f>
        <v>2030</v>
      </c>
      <c r="L2" s="202">
        <f>'AEO 2023 48'!O1</f>
        <v>2031</v>
      </c>
      <c r="M2" s="202">
        <f>'AEO 2023 48'!P1</f>
        <v>2032</v>
      </c>
      <c r="N2" s="202">
        <f>'AEO 2023 48'!Q1</f>
        <v>2033</v>
      </c>
      <c r="O2" s="202">
        <f>'AEO 2023 48'!R1</f>
        <v>2034</v>
      </c>
      <c r="P2" s="202">
        <f>'AEO 2023 48'!S1</f>
        <v>2035</v>
      </c>
      <c r="Q2" s="202">
        <f>'AEO 2023 48'!T1</f>
        <v>2036</v>
      </c>
      <c r="R2" s="202">
        <f>'AEO 2023 48'!U1</f>
        <v>2037</v>
      </c>
      <c r="S2" s="202">
        <f>'AEO 2023 48'!V1</f>
        <v>2038</v>
      </c>
      <c r="T2" s="202">
        <f>'AEO 2023 48'!W1</f>
        <v>2039</v>
      </c>
      <c r="U2" s="202">
        <f>'AEO 2023 48'!X1</f>
        <v>2040</v>
      </c>
      <c r="V2" s="202">
        <f>'AEO 2023 48'!Y1</f>
        <v>2041</v>
      </c>
      <c r="W2" s="202">
        <f>'AEO 2023 48'!Z1</f>
        <v>2042</v>
      </c>
      <c r="X2" s="202">
        <f>'AEO 2023 48'!AA1</f>
        <v>2043</v>
      </c>
      <c r="Y2" s="202">
        <f>'AEO 2023 48'!AB1</f>
        <v>2044</v>
      </c>
      <c r="Z2" s="202">
        <f>'AEO 2023 48'!AC1</f>
        <v>2045</v>
      </c>
      <c r="AA2" s="202">
        <f>'AEO 2023 48'!AD1</f>
        <v>2046</v>
      </c>
      <c r="AB2" s="202">
        <f>'AEO 2023 48'!AE1</f>
        <v>2047</v>
      </c>
      <c r="AC2" s="202">
        <f>'AEO 2023 48'!AF1</f>
        <v>2048</v>
      </c>
      <c r="AD2" s="202">
        <f>'AEO 2023 48'!AG1</f>
        <v>2049</v>
      </c>
      <c r="AE2" s="202">
        <f>'AEO 2023 48'!AH1</f>
        <v>2050</v>
      </c>
    </row>
    <row r="3" spans="1:36">
      <c r="A3" t="s">
        <v>128</v>
      </c>
      <c r="C3" s="202">
        <f>('AEO 2023 48'!F70-'AEO 2023 48'!F178)/'AEO 2023 48'!F70</f>
        <v>0.77213254116841057</v>
      </c>
      <c r="D3" s="202">
        <f>('AEO 2023 48'!G70-'AEO 2023 48'!G178)/'AEO 2023 48'!G70</f>
        <v>0.88933514835103555</v>
      </c>
      <c r="E3" s="202">
        <f>('AEO 2023 48'!H70-'AEO 2023 48'!H178)/'AEO 2023 48'!H70</f>
        <v>0.92087600109298473</v>
      </c>
      <c r="F3" s="202">
        <f>('AEO 2023 48'!I70-'AEO 2023 48'!I178)/'AEO 2023 48'!I70</f>
        <v>0.92643694361547047</v>
      </c>
      <c r="G3" s="202">
        <f>('AEO 2023 48'!J70-'AEO 2023 48'!J178)/'AEO 2023 48'!J70</f>
        <v>0.93029714969284272</v>
      </c>
      <c r="H3" s="202">
        <f>('AEO 2023 48'!K70-'AEO 2023 48'!K178)/'AEO 2023 48'!K70</f>
        <v>0.93282335871244138</v>
      </c>
      <c r="I3" s="202">
        <f>('AEO 2023 48'!L70-'AEO 2023 48'!L178)/'AEO 2023 48'!L70</f>
        <v>0.93498868255087331</v>
      </c>
      <c r="J3" s="202">
        <f>('AEO 2023 48'!M70-'AEO 2023 48'!M178)/'AEO 2023 48'!M70</f>
        <v>0.93713946140143756</v>
      </c>
      <c r="K3" s="202">
        <f>('AEO 2023 48'!N70-'AEO 2023 48'!N178)/'AEO 2023 48'!N70</f>
        <v>0.9392600856057034</v>
      </c>
      <c r="L3" s="202">
        <f>('AEO 2023 48'!O70-'AEO 2023 48'!O178)/'AEO 2023 48'!O70</f>
        <v>0.9413395077522464</v>
      </c>
      <c r="M3" s="202">
        <f>('AEO 2023 48'!P70-'AEO 2023 48'!P178)/'AEO 2023 48'!P70</f>
        <v>0.94335871372742264</v>
      </c>
      <c r="N3" s="202">
        <f>('AEO 2023 48'!Q70-'AEO 2023 48'!Q178)/'AEO 2023 48'!Q70</f>
        <v>0.94531086681276733</v>
      </c>
      <c r="O3" s="202">
        <f>('AEO 2023 48'!R70-'AEO 2023 48'!R178)/'AEO 2023 48'!R70</f>
        <v>0.9471951672807547</v>
      </c>
      <c r="P3" s="202">
        <f>('AEO 2023 48'!S70-'AEO 2023 48'!S178)/'AEO 2023 48'!S70</f>
        <v>0.94901177442071949</v>
      </c>
      <c r="Q3" s="202">
        <f>('AEO 2023 48'!T70-'AEO 2023 48'!T178)/'AEO 2023 48'!T70</f>
        <v>0.95077987054419311</v>
      </c>
      <c r="R3" s="202">
        <f>('AEO 2023 48'!U70-'AEO 2023 48'!U178)/'AEO 2023 48'!U70</f>
        <v>0.9524842310779349</v>
      </c>
      <c r="S3" s="202">
        <f>('AEO 2023 48'!V70-'AEO 2023 48'!V178)/'AEO 2023 48'!V70</f>
        <v>0.95412346413599314</v>
      </c>
      <c r="T3" s="202">
        <f>('AEO 2023 48'!W70-'AEO 2023 48'!W178)/'AEO 2023 48'!W70</f>
        <v>0.95569870706585602</v>
      </c>
      <c r="U3" s="202">
        <f>('AEO 2023 48'!X70-'AEO 2023 48'!X178)/'AEO 2023 48'!X70</f>
        <v>0.95721227004289489</v>
      </c>
      <c r="V3" s="202">
        <f>('AEO 2023 48'!Y70-'AEO 2023 48'!Y178)/'AEO 2023 48'!Y70</f>
        <v>0.95867860233902413</v>
      </c>
      <c r="W3" s="202">
        <f>('AEO 2023 48'!Z70-'AEO 2023 48'!Z178)/'AEO 2023 48'!Z70</f>
        <v>0.96008729663561421</v>
      </c>
      <c r="X3" s="202">
        <f>('AEO 2023 48'!AA70-'AEO 2023 48'!AA178)/'AEO 2023 48'!AA70</f>
        <v>0.96143916614783365</v>
      </c>
      <c r="Y3" s="202">
        <f>('AEO 2023 48'!AB70-'AEO 2023 48'!AB178)/'AEO 2023 48'!AB70</f>
        <v>0.96273653509540569</v>
      </c>
      <c r="Z3" s="202">
        <f>('AEO 2023 48'!AC70-'AEO 2023 48'!AC178)/'AEO 2023 48'!AC70</f>
        <v>0.96398250062767687</v>
      </c>
      <c r="AA3" s="202">
        <f>('AEO 2023 48'!AD70-'AEO 2023 48'!AD178)/'AEO 2023 48'!AD70</f>
        <v>0.96518615411565822</v>
      </c>
      <c r="AB3" s="202">
        <f>('AEO 2023 48'!AE70-'AEO 2023 48'!AE178)/'AEO 2023 48'!AE70</f>
        <v>0.96634163717768629</v>
      </c>
      <c r="AC3" s="202">
        <f>('AEO 2023 48'!AF70-'AEO 2023 48'!AF178)/'AEO 2023 48'!AF70</f>
        <v>0.96745033110492351</v>
      </c>
      <c r="AD3" s="202">
        <f>('AEO 2023 48'!AG70-'AEO 2023 48'!AG178)/'AEO 2023 48'!AG70</f>
        <v>0.96851424870119418</v>
      </c>
      <c r="AE3" s="202">
        <f>('AEO 2023 48'!AH70-'AEO 2023 48'!AH178)/'AEO 2023 48'!AH70</f>
        <v>0.96953592176213643</v>
      </c>
    </row>
    <row r="4" spans="1:36">
      <c r="A4" t="s">
        <v>129</v>
      </c>
      <c r="C4" s="202">
        <f>'AEO 2023 48'!F178/'AEO 2023 48'!F70</f>
        <v>0.22786745883158938</v>
      </c>
      <c r="D4" s="202">
        <f>'AEO 2023 48'!G178/'AEO 2023 48'!G70</f>
        <v>0.11066485164896439</v>
      </c>
      <c r="E4" s="202">
        <f>'AEO 2023 48'!H178/'AEO 2023 48'!H70</f>
        <v>7.9123998907015214E-2</v>
      </c>
      <c r="F4" s="202">
        <f>'AEO 2023 48'!I178/'AEO 2023 48'!I70</f>
        <v>7.3563056384529465E-2</v>
      </c>
      <c r="G4" s="202">
        <f>'AEO 2023 48'!J178/'AEO 2023 48'!J70</f>
        <v>6.9702850307157213E-2</v>
      </c>
      <c r="H4" s="202">
        <f>'AEO 2023 48'!K178/'AEO 2023 48'!K70</f>
        <v>6.7176641287558597E-2</v>
      </c>
      <c r="I4" s="202">
        <f>'AEO 2023 48'!L178/'AEO 2023 48'!L70</f>
        <v>6.5011317449126638E-2</v>
      </c>
      <c r="J4" s="202">
        <f>'AEO 2023 48'!M178/'AEO 2023 48'!M70</f>
        <v>6.286053859856236E-2</v>
      </c>
      <c r="K4" s="202">
        <f>'AEO 2023 48'!N178/'AEO 2023 48'!N70</f>
        <v>6.073991439429656E-2</v>
      </c>
      <c r="L4" s="202">
        <f>'AEO 2023 48'!O178/'AEO 2023 48'!O70</f>
        <v>5.8660492247753604E-2</v>
      </c>
      <c r="M4" s="202">
        <f>'AEO 2023 48'!P178/'AEO 2023 48'!P70</f>
        <v>5.6641286272577356E-2</v>
      </c>
      <c r="N4" s="202">
        <f>'AEO 2023 48'!Q178/'AEO 2023 48'!Q70</f>
        <v>5.4689133187232591E-2</v>
      </c>
      <c r="O4" s="202">
        <f>'AEO 2023 48'!R178/'AEO 2023 48'!R70</f>
        <v>5.2804832719245305E-2</v>
      </c>
      <c r="P4" s="202">
        <f>'AEO 2023 48'!S178/'AEO 2023 48'!S70</f>
        <v>5.098822557928042E-2</v>
      </c>
      <c r="Q4" s="202">
        <f>'AEO 2023 48'!T178/'AEO 2023 48'!T70</f>
        <v>4.922012945580681E-2</v>
      </c>
      <c r="R4" s="202">
        <f>'AEO 2023 48'!U178/'AEO 2023 48'!U70</f>
        <v>4.7515768922065091E-2</v>
      </c>
      <c r="S4" s="202">
        <f>'AEO 2023 48'!V178/'AEO 2023 48'!V70</f>
        <v>4.5876535864006793E-2</v>
      </c>
      <c r="T4" s="202">
        <f>'AEO 2023 48'!W178/'AEO 2023 48'!W70</f>
        <v>4.4301292934143963E-2</v>
      </c>
      <c r="U4" s="202">
        <f>'AEO 2023 48'!X178/'AEO 2023 48'!X70</f>
        <v>4.2787729957105065E-2</v>
      </c>
      <c r="V4" s="202">
        <f>'AEO 2023 48'!Y178/'AEO 2023 48'!Y70</f>
        <v>4.1321397660975881E-2</v>
      </c>
      <c r="W4" s="202">
        <f>'AEO 2023 48'!Z178/'AEO 2023 48'!Z70</f>
        <v>3.9912703364385745E-2</v>
      </c>
      <c r="X4" s="202">
        <f>'AEO 2023 48'!AA178/'AEO 2023 48'!AA70</f>
        <v>3.8560833852166305E-2</v>
      </c>
      <c r="Y4" s="202">
        <f>'AEO 2023 48'!AB178/'AEO 2023 48'!AB70</f>
        <v>3.7263464904594312E-2</v>
      </c>
      <c r="Z4" s="202">
        <f>'AEO 2023 48'!AC178/'AEO 2023 48'!AC70</f>
        <v>3.6017499372323084E-2</v>
      </c>
      <c r="AA4" s="202">
        <f>'AEO 2023 48'!AD178/'AEO 2023 48'!AD70</f>
        <v>3.4813845884341769E-2</v>
      </c>
      <c r="AB4" s="202">
        <f>'AEO 2023 48'!AE178/'AEO 2023 48'!AE70</f>
        <v>3.3658362822313721E-2</v>
      </c>
      <c r="AC4" s="202">
        <f>'AEO 2023 48'!AF178/'AEO 2023 48'!AF70</f>
        <v>3.2549668895076475E-2</v>
      </c>
      <c r="AD4" s="202">
        <f>'AEO 2023 48'!AG178/'AEO 2023 48'!AG70</f>
        <v>3.1485751298805743E-2</v>
      </c>
      <c r="AE4" s="202">
        <f>'AEO 2023 48'!AH178/'AEO 2023 48'!AH70</f>
        <v>3.0464078237863519E-2</v>
      </c>
    </row>
    <row r="7" spans="1:36">
      <c r="A7" s="2" t="s">
        <v>200</v>
      </c>
      <c r="B7" s="3"/>
      <c r="D7" s="2" t="s">
        <v>209</v>
      </c>
    </row>
    <row r="8" spans="1:36">
      <c r="A8" t="s">
        <v>203</v>
      </c>
      <c r="B8" s="11">
        <v>0.68595041322314043</v>
      </c>
      <c r="D8" s="7" t="s">
        <v>246</v>
      </c>
    </row>
    <row r="9" spans="1:36">
      <c r="A9" t="s">
        <v>134</v>
      </c>
      <c r="B9" s="11">
        <v>0.68881036513545346</v>
      </c>
    </row>
    <row r="11" spans="1:36">
      <c r="A11" s="2" t="s">
        <v>201</v>
      </c>
      <c r="B11" s="3"/>
      <c r="D11" s="2" t="s">
        <v>209</v>
      </c>
    </row>
    <row r="12" spans="1:36">
      <c r="A12" t="s">
        <v>202</v>
      </c>
      <c r="B12">
        <v>0.55000000000000004</v>
      </c>
      <c r="D12" s="7" t="s">
        <v>247</v>
      </c>
    </row>
    <row r="14" spans="1:36">
      <c r="A14" s="2" t="s">
        <v>211</v>
      </c>
      <c r="B14" s="3"/>
      <c r="D14" s="2" t="s">
        <v>209</v>
      </c>
    </row>
    <row r="15" spans="1:36">
      <c r="A15" t="s">
        <v>196</v>
      </c>
      <c r="B15">
        <v>1.67</v>
      </c>
      <c r="D15" s="7" t="s">
        <v>204</v>
      </c>
    </row>
    <row r="16" spans="1:36">
      <c r="A16" t="s">
        <v>197</v>
      </c>
      <c r="B16">
        <v>1</v>
      </c>
    </row>
    <row r="17" spans="1:5">
      <c r="A17" t="s">
        <v>198</v>
      </c>
      <c r="B17">
        <v>21.2</v>
      </c>
    </row>
    <row r="18" spans="1:5">
      <c r="A18" t="s">
        <v>199</v>
      </c>
      <c r="B18">
        <v>16</v>
      </c>
    </row>
    <row r="19" spans="1:5">
      <c r="A19" t="s">
        <v>520</v>
      </c>
      <c r="B19" s="58">
        <v>111.39416306433705</v>
      </c>
    </row>
    <row r="20" spans="1:5">
      <c r="A20" t="s">
        <v>521</v>
      </c>
      <c r="B20" s="58">
        <v>41.989116133258747</v>
      </c>
    </row>
    <row r="21" spans="1:5">
      <c r="A21" t="s">
        <v>160</v>
      </c>
      <c r="B21" s="58">
        <v>48.656731685074099</v>
      </c>
    </row>
    <row r="22" spans="1:5">
      <c r="A22" t="s">
        <v>190</v>
      </c>
      <c r="B22" s="58">
        <v>1.2700756740871355</v>
      </c>
    </row>
    <row r="24" spans="1:5">
      <c r="A24" s="2" t="s">
        <v>205</v>
      </c>
      <c r="B24" s="3"/>
      <c r="D24" s="2" t="s">
        <v>209</v>
      </c>
    </row>
    <row r="25" spans="1:5">
      <c r="A25" t="s">
        <v>206</v>
      </c>
      <c r="B25" s="29">
        <v>120476</v>
      </c>
      <c r="D25" t="s">
        <v>132</v>
      </c>
      <c r="E25" t="s">
        <v>210</v>
      </c>
    </row>
    <row r="26" spans="1:5">
      <c r="A26" t="s">
        <v>207</v>
      </c>
      <c r="B26">
        <v>137452</v>
      </c>
      <c r="D26" s="4">
        <v>2017</v>
      </c>
      <c r="E26" t="s">
        <v>208</v>
      </c>
    </row>
    <row r="28" spans="1:5">
      <c r="A28" s="2" t="s">
        <v>256</v>
      </c>
      <c r="B28" s="2"/>
      <c r="D28" s="2" t="s">
        <v>209</v>
      </c>
    </row>
    <row r="29" spans="1:5">
      <c r="A29" t="s">
        <v>254</v>
      </c>
      <c r="B29">
        <v>336815.15580485889</v>
      </c>
      <c r="D29" s="7" t="s">
        <v>275</v>
      </c>
    </row>
    <row r="30" spans="1:5">
      <c r="A30" t="s">
        <v>255</v>
      </c>
      <c r="B30">
        <v>2518.3000000000002</v>
      </c>
    </row>
    <row r="32" spans="1:5">
      <c r="A32" s="2" t="s">
        <v>259</v>
      </c>
      <c r="B32" s="3"/>
      <c r="D32" s="2" t="s">
        <v>209</v>
      </c>
    </row>
    <row r="33" spans="1:37">
      <c r="A33" t="s">
        <v>260</v>
      </c>
      <c r="B33" s="16">
        <v>0.2</v>
      </c>
      <c r="D33" s="7" t="s">
        <v>272</v>
      </c>
    </row>
    <row r="34" spans="1:37">
      <c r="A34" t="s">
        <v>261</v>
      </c>
      <c r="B34" s="16">
        <v>0.6</v>
      </c>
      <c r="D34" s="7" t="s">
        <v>263</v>
      </c>
    </row>
    <row r="35" spans="1:37">
      <c r="A35" t="s">
        <v>262</v>
      </c>
      <c r="B35">
        <f>B34/B33</f>
        <v>2.9999999999999996</v>
      </c>
    </row>
    <row r="37" spans="1:37">
      <c r="A37" s="2" t="s">
        <v>264</v>
      </c>
      <c r="B37" s="2"/>
      <c r="D37" s="2" t="s">
        <v>209</v>
      </c>
    </row>
    <row r="38" spans="1:37">
      <c r="A38" t="s">
        <v>265</v>
      </c>
      <c r="B38" s="17">
        <v>0.22500000000000001</v>
      </c>
      <c r="D38" s="18" t="s">
        <v>267</v>
      </c>
    </row>
    <row r="39" spans="1:37">
      <c r="A39" t="s">
        <v>266</v>
      </c>
      <c r="B39">
        <f>1-B38</f>
        <v>0.77500000000000002</v>
      </c>
      <c r="D39" s="18" t="s">
        <v>268</v>
      </c>
    </row>
    <row r="41" spans="1:37">
      <c r="A41" s="2" t="s">
        <v>284</v>
      </c>
    </row>
    <row r="42" spans="1:37">
      <c r="D42" s="19" t="s">
        <v>285</v>
      </c>
      <c r="E42" s="1">
        <v>2023</v>
      </c>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7">
      <c r="C43" s="20" t="s">
        <v>250</v>
      </c>
      <c r="D43" t="s">
        <v>286</v>
      </c>
      <c r="E43" s="203">
        <f>INDEX('AEO 2023 7'!$C$18:$AH$28,MATCH($C$43,'AEO 2023 7'!$A$18:$A$28,0),MATCH(E$42,'AEO 2023 7'!$C$13:$AH$13,0))*10^9</f>
        <v>32030231000</v>
      </c>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1"/>
    </row>
    <row r="44" spans="1:37">
      <c r="A44" s="15"/>
      <c r="B44" s="15"/>
      <c r="C44" s="15"/>
      <c r="D44" t="s">
        <v>287</v>
      </c>
      <c r="E44" s="204">
        <f>SUM('AEO 2023 36'!H79,'AEO 2023 36'!H84,'AEO 2023 36'!H86)*10^12</f>
        <v>25544436000000</v>
      </c>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1"/>
    </row>
    <row r="45" spans="1:37">
      <c r="B45" s="15"/>
      <c r="C45" s="15"/>
      <c r="D45" t="s">
        <v>288</v>
      </c>
      <c r="E45" s="204">
        <f>SUM('AEO 2023 36'!H80,'AEO 2023 36'!H87)*10^12</f>
        <v>20019555000000</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1"/>
    </row>
    <row r="46" spans="1:37">
      <c r="D46" t="s">
        <v>289</v>
      </c>
      <c r="E46" s="22">
        <f>E44*$B$51</f>
        <v>24267214200000</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1"/>
    </row>
    <row r="47" spans="1:37">
      <c r="D47" t="s">
        <v>290</v>
      </c>
      <c r="E47" s="22">
        <f>E45*$B$52</f>
        <v>6506355375000</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1"/>
    </row>
    <row r="48" spans="1:37">
      <c r="D48" s="23" t="s">
        <v>291</v>
      </c>
      <c r="E48" s="24">
        <f>E43*(E46/SUM(E46:E47))/E44</f>
        <v>9.8879395111576033E-4</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1"/>
    </row>
    <row r="49" spans="1:36">
      <c r="D49" s="23" t="s">
        <v>292</v>
      </c>
      <c r="E49" s="24">
        <f>E43*(E47/SUM(E46:E47))/E45</f>
        <v>3.3827161485539171E-4</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row>
    <row r="50" spans="1:36">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row>
    <row r="51" spans="1:36">
      <c r="A51" t="s">
        <v>293</v>
      </c>
      <c r="B51" s="25">
        <v>0.95</v>
      </c>
      <c r="C51" s="25"/>
      <c r="D51" s="26" t="s">
        <v>295</v>
      </c>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row>
    <row r="52" spans="1:36">
      <c r="A52" t="s">
        <v>294</v>
      </c>
      <c r="B52" s="25">
        <v>0.32500000000000001</v>
      </c>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row>
  </sheetData>
  <hyperlinks>
    <hyperlink ref="D38" r:id="rId1" xr:uid="{00000000-0004-0000-1400-000000000000}"/>
    <hyperlink ref="D39" r:id="rId2" xr:uid="{00000000-0004-0000-1400-000001000000}"/>
  </hyperlinks>
  <pageMargins left="0.7" right="0.7" top="0.75" bottom="0.75" header="0.3" footer="0.3"/>
  <pageSetup orientation="portrait"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0870B-1D88-4F50-8CC7-42D49C4A96E2}">
  <dimension ref="A1:L110"/>
  <sheetViews>
    <sheetView topLeftCell="A70" workbookViewId="0">
      <selection activeCell="I79" sqref="I79"/>
    </sheetView>
  </sheetViews>
  <sheetFormatPr defaultRowHeight="15"/>
  <cols>
    <col min="1" max="1" width="24" customWidth="1"/>
    <col min="2" max="8" width="17.42578125" customWidth="1"/>
    <col min="9" max="9" width="11.140625" customWidth="1"/>
    <col min="10" max="10" width="19" bestFit="1" customWidth="1"/>
    <col min="11" max="11" width="12.5703125" bestFit="1" customWidth="1"/>
    <col min="12" max="12" width="12" bestFit="1" customWidth="1"/>
  </cols>
  <sheetData>
    <row r="1" spans="1:9" s="195" customFormat="1">
      <c r="A1" s="195" t="s">
        <v>3891</v>
      </c>
    </row>
    <row r="2" spans="1:9">
      <c r="C2">
        <v>2025</v>
      </c>
    </row>
    <row r="3" spans="1:9">
      <c r="A3" s="21"/>
      <c r="B3" s="1" t="s">
        <v>3060</v>
      </c>
      <c r="C3" s="16">
        <f>'EPA-Annex3-Table A94'!E100/SUM('EPA-Annex3-Table A94'!$E$100:$E$101)</f>
        <v>0.67140255009107463</v>
      </c>
    </row>
    <row r="4" spans="1:9">
      <c r="B4" s="183" t="s">
        <v>3029</v>
      </c>
      <c r="C4" s="184">
        <f>SUM('AEO 2026 Table 35'!E24:E25)*10^12</f>
        <v>2524456299000000</v>
      </c>
      <c r="D4" s="30"/>
    </row>
    <row r="5" spans="1:9">
      <c r="B5" s="183" t="s">
        <v>5182</v>
      </c>
      <c r="C5" s="184">
        <f>'AEO 2026 Table 35'!E26*10^12</f>
        <v>551824097000000.06</v>
      </c>
    </row>
    <row r="6" spans="1:9">
      <c r="B6" t="s">
        <v>3023</v>
      </c>
      <c r="C6" s="185">
        <f>'SYVbT-passenger'!E4</f>
        <v>6767</v>
      </c>
      <c r="D6" s="30"/>
    </row>
    <row r="7" spans="1:9">
      <c r="B7" t="s">
        <v>3024</v>
      </c>
      <c r="C7" s="185">
        <f>'SYVbT-freight'!E4</f>
        <v>925</v>
      </c>
    </row>
    <row r="8" spans="1:9">
      <c r="B8" t="s">
        <v>3025</v>
      </c>
      <c r="C8">
        <f>'AVLo-passengers'!B4</f>
        <v>111.39416306433705</v>
      </c>
    </row>
    <row r="9" spans="1:9">
      <c r="B9" t="s">
        <v>3026</v>
      </c>
      <c r="C9">
        <f>'AVLo-freight'!B4</f>
        <v>41.989116133258747</v>
      </c>
    </row>
    <row r="10" spans="1:9">
      <c r="B10" t="s">
        <v>3027</v>
      </c>
      <c r="C10" s="64">
        <f>'BAADTbVT-passenger'!D4</f>
        <v>685003</v>
      </c>
    </row>
    <row r="11" spans="1:9">
      <c r="B11" t="s">
        <v>3028</v>
      </c>
      <c r="C11">
        <f>'BAADTbVT-frgt'!D4</f>
        <v>889421</v>
      </c>
    </row>
    <row r="12" spans="1:9">
      <c r="B12" s="181" t="s">
        <v>3030</v>
      </c>
      <c r="C12" s="182">
        <f>C6*C8*C10/(C4*$C$3)</f>
        <v>3.0464933987873528E-4</v>
      </c>
    </row>
    <row r="13" spans="1:9">
      <c r="B13" s="181" t="s">
        <v>3031</v>
      </c>
      <c r="C13" s="182">
        <f>C7*C9*C11/(C5*$C$3)</f>
        <v>9.3239985476639982E-5</v>
      </c>
    </row>
    <row r="15" spans="1:9">
      <c r="A15" s="195" t="s">
        <v>3892</v>
      </c>
      <c r="B15" s="195"/>
      <c r="C15" s="195"/>
      <c r="D15" s="195"/>
      <c r="E15" s="195"/>
      <c r="F15" s="195"/>
      <c r="G15" s="195"/>
      <c r="H15" s="195"/>
      <c r="I15" s="195"/>
    </row>
    <row r="16" spans="1:9">
      <c r="A16" s="221"/>
      <c r="B16" s="221"/>
      <c r="C16" s="221"/>
      <c r="D16" s="221"/>
      <c r="E16" s="221"/>
      <c r="F16" s="221"/>
      <c r="G16" s="221"/>
      <c r="H16" s="221"/>
      <c r="I16" s="221"/>
    </row>
    <row r="17" spans="1:9" ht="30">
      <c r="B17" s="164" t="s">
        <v>111</v>
      </c>
      <c r="C17" s="164" t="s">
        <v>112</v>
      </c>
      <c r="D17" s="164" t="s">
        <v>113</v>
      </c>
      <c r="E17" s="164" t="s">
        <v>114</v>
      </c>
      <c r="F17" s="164" t="s">
        <v>115</v>
      </c>
      <c r="G17" s="164" t="s">
        <v>257</v>
      </c>
      <c r="H17" s="172" t="s">
        <v>258</v>
      </c>
      <c r="I17" s="172" t="s">
        <v>2804</v>
      </c>
    </row>
    <row r="18" spans="1:9">
      <c r="A18" t="s">
        <v>1049</v>
      </c>
      <c r="B18" s="173">
        <f>SUMIFS('AEO 2023 46'!$H$61:$H$70,'AEO 2023 46'!$A$61:$A$70,calcs!B$17)</f>
        <v>0</v>
      </c>
      <c r="C18" s="173">
        <f>SUMIFS('AEO 2023 46'!$H$61:$H$70,'AEO 2023 46'!$A$61:$A$70,calcs!C$17)</f>
        <v>7.7089000000000005E-2</v>
      </c>
      <c r="D18" s="173">
        <f>SUMIFS('AEO 2023 46'!$H$61:$H$70,'AEO 2023 46'!$A$61:$A$70,calcs!D$17)</f>
        <v>68.065060000000003</v>
      </c>
      <c r="E18" s="173">
        <f>SUMIFS('AEO 2023 46'!$H$61:$H$70,'AEO 2023 46'!$A$61:$A$70,calcs!E$17)</f>
        <v>35.168990999999998</v>
      </c>
      <c r="F18" s="173">
        <f>SUMIFS('AEO 2023 46'!$H$61:$H$70,'AEO 2023 46'!$A$61:$A$70,calcs!F$17)</f>
        <v>2.5620999999999998E-2</v>
      </c>
      <c r="G18" s="173">
        <f>SUMIFS('AEO 2023 46'!$H$61:$H$70,'AEO 2023 46'!$A$61:$A$70,calcs!G$17)</f>
        <v>6.7080000000000004E-3</v>
      </c>
      <c r="H18" s="173">
        <f>SUMIFS('AEO 2023 46'!$I$61:$I$70,'AEO 2023 46'!$A$61:$A$70,calcs!H$17)</f>
        <v>0</v>
      </c>
    </row>
    <row r="19" spans="1:9">
      <c r="A19" t="s">
        <v>1050</v>
      </c>
      <c r="B19" s="174">
        <f>SUMIFS('AEO 2023 49'!$H$19:$H$28,'AEO 2023 49'!$A$19:$A$28,calcs!B$17)</f>
        <v>7.2599999999999997E-4</v>
      </c>
      <c r="C19" s="174">
        <f>SUMIFS('AEO 2023 49'!$H$19:$H$28,'AEO 2023 49'!$A$19:$A$28,calcs!C$17)</f>
        <v>1.3986E-2</v>
      </c>
      <c r="D19" s="174">
        <f>SUMIFS('AEO 2023 49'!$H$19:$H$28,'AEO 2023 49'!$A$19:$A$28,calcs!D$17)</f>
        <v>21.495881000000001</v>
      </c>
      <c r="E19" s="174">
        <f>SUMIFS('AEO 2023 49'!$H$19:$H$28,'AEO 2023 49'!$A$19:$A$28,calcs!E$17)</f>
        <v>53.187412000000002</v>
      </c>
      <c r="F19" s="174">
        <f>SUMIFS('AEO 2023 49'!$H$19:$H$28,'AEO 2023 49'!$A$19:$A$28,calcs!F$17)</f>
        <v>1.1816E-2</v>
      </c>
      <c r="G19" s="174">
        <f>SUMIFS('AEO 2023 49'!$H$19:$H$28,'AEO 2023 49'!$A$19:$A$28,calcs!G$17)</f>
        <v>7.6309999999999998E-3</v>
      </c>
      <c r="H19" s="174">
        <f>SUMIFS('AEO 2023 49'!$I$19:$I$28,'AEO 2023 49'!$A$19:$A$28,calcs!H$17)</f>
        <v>1.9999999999999999E-6</v>
      </c>
    </row>
    <row r="20" spans="1:9">
      <c r="A20" t="s">
        <v>1051</v>
      </c>
      <c r="B20" s="3">
        <f>SUMIFS('AEO 2023 49'!$H$30:$H$39,'AEO 2023 49'!$A$30:$A$39,calcs!B$17)</f>
        <v>5.7080000000000004E-3</v>
      </c>
      <c r="C20" s="3">
        <f>SUMIFS('AEO 2023 49'!$H$30:$H$39,'AEO 2023 49'!$A$30:$A$39,calcs!C$17)</f>
        <v>3.8744000000000001E-2</v>
      </c>
      <c r="D20" s="3">
        <f>SUMIFS('AEO 2023 49'!$H$30:$H$39,'AEO 2023 49'!$A$30:$A$39,calcs!D$17)</f>
        <v>19.813300999999999</v>
      </c>
      <c r="E20" s="3">
        <f>SUMIFS('AEO 2023 49'!$H$30:$H$39,'AEO 2023 49'!$A$30:$A$39,calcs!E$17)</f>
        <v>39.337626999999998</v>
      </c>
      <c r="F20" s="3">
        <f>SUMIFS('AEO 2023 49'!$H$30:$H$39,'AEO 2023 49'!$A$30:$A$39,calcs!F$17)</f>
        <v>0</v>
      </c>
      <c r="G20" s="3">
        <f>SUMIFS('AEO 2023 49'!$H$30:$H$39,'AEO 2023 49'!$A$30:$A$39,calcs!G$17)</f>
        <v>3.6849E-2</v>
      </c>
      <c r="H20" s="3">
        <f>SUMIFS('AEO 2023 49'!$I$30:$I$39,'AEO 2023 49'!$A$30:$A$39,calcs!H$17)</f>
        <v>8.0780000000000001E-3</v>
      </c>
    </row>
    <row r="22" spans="1:9">
      <c r="A22" t="s">
        <v>1052</v>
      </c>
      <c r="B22">
        <f>SUMIFS('AEO 2023 43'!$H$61:$H$70,'AEO 2023 43'!$A$61:$A$70,calcs!B17)*10^15</f>
        <v>0</v>
      </c>
      <c r="C22">
        <f>SUMIFS('AEO 2023 43'!$H$61:$H$70,'AEO 2023 43'!$A$61:$A$70,calcs!C17)*10^15</f>
        <v>1028095999999999.9</v>
      </c>
      <c r="D22">
        <f>SUMIFS('AEO 2023 43'!$H$61:$H$70,'AEO 2023 43'!$A$61:$A$70,calcs!D17)*10^15</f>
        <v>6.5457269300000013E+17</v>
      </c>
      <c r="E22">
        <f>SUMIFS('AEO 2023 43'!$H$61:$H$70,'AEO 2023 43'!$A$61:$A$70,calcs!E17)*10^15</f>
        <v>2.8675845299999997E+17</v>
      </c>
      <c r="F22">
        <f>SUMIFS('AEO 2023 43'!$H$61:$H$70,'AEO 2023 43'!$A$61:$A$70,calcs!F17)*10^15</f>
        <v>139625000000000</v>
      </c>
      <c r="G22">
        <f>SUMIFS('AEO 2023 43'!$H$61:$H$70,'AEO 2023 43'!$A$61:$A$70,calcs!H17)*10^15</f>
        <v>0</v>
      </c>
      <c r="H22">
        <f>SUMIFS('AEO 2023 43'!$H$61:$H$70,'AEO 2023 43'!$A$61:$A$70,calcs!H17)*10^15</f>
        <v>0</v>
      </c>
    </row>
    <row r="24" spans="1:9" ht="30">
      <c r="B24" s="164" t="s">
        <v>111</v>
      </c>
      <c r="C24" s="164" t="s">
        <v>112</v>
      </c>
      <c r="D24" s="164" t="s">
        <v>113</v>
      </c>
      <c r="E24" s="164" t="s">
        <v>114</v>
      </c>
      <c r="F24" s="164" t="s">
        <v>115</v>
      </c>
      <c r="G24" s="164" t="s">
        <v>257</v>
      </c>
      <c r="H24" s="164" t="s">
        <v>258</v>
      </c>
    </row>
    <row r="25" spans="1:9">
      <c r="A25" t="s">
        <v>1053</v>
      </c>
      <c r="B25">
        <f>IFERROR(B18*10^12/B22,0)</f>
        <v>0</v>
      </c>
      <c r="C25">
        <f>C18*10^12/C22</f>
        <v>7.4982297373007981E-5</v>
      </c>
      <c r="D25">
        <f>D18*10^12/D22</f>
        <v>1.0398395889087292E-4</v>
      </c>
      <c r="E25">
        <f>E18*10^12/E22</f>
        <v>1.2264325822681154E-4</v>
      </c>
      <c r="F25">
        <f>F18*10^12/F22</f>
        <v>1.8349865711727841E-4</v>
      </c>
      <c r="G25">
        <f>IFERROR(G18*10^12/G22,0)</f>
        <v>0</v>
      </c>
      <c r="H25">
        <v>0</v>
      </c>
    </row>
    <row r="26" spans="1:9">
      <c r="A26" t="s">
        <v>1054</v>
      </c>
      <c r="B26">
        <f>'AEO 2023 49'!H104/'Calculations Etc'!B26</f>
        <v>1.7548417629426998E-4</v>
      </c>
      <c r="C26">
        <f>'AEO 2023 49'!H102/'Calculations Etc'!B25</f>
        <v>8.3321574421461539E-5</v>
      </c>
      <c r="D26">
        <f>'AEO 2023 49'!H100/'Calculations Etc'!B25</f>
        <v>9.1546158571001687E-5</v>
      </c>
      <c r="E26">
        <f>'AEO 2023 49'!H99/'Calculations Etc'!B26</f>
        <v>1.1070407123941448E-4</v>
      </c>
      <c r="F26">
        <f>'AEO 2023 49'!H106/'Calculations Etc'!B25</f>
        <v>1.5737443972243433E-4</v>
      </c>
      <c r="G26">
        <f>'AEO 2023 49'!H101/'Calculations Etc'!B25</f>
        <v>1.0018607025465652E-4</v>
      </c>
      <c r="H26">
        <f>'AEO 2023 49'!I107/'Calculations Etc'!B26</f>
        <v>1.3524129150539827E-4</v>
      </c>
    </row>
    <row r="27" spans="1:9">
      <c r="A27" t="s">
        <v>1055</v>
      </c>
      <c r="B27">
        <f>'AEO 2023 49'!H115/'Calculations Etc'!B26</f>
        <v>1.2676730058493147E-4</v>
      </c>
      <c r="C27">
        <f>'AEO 2023 49'!H113/'Calculations Etc'!B25</f>
        <v>5.5964216939473426E-5</v>
      </c>
      <c r="D27">
        <f>'AEO 2023 49'!H111/'Calculations Etc'!B25</f>
        <v>5.6598675254822533E-5</v>
      </c>
      <c r="E27">
        <f>'AEO 2023 49'!H110/'Calculations Etc'!B26</f>
        <v>6.8137298838867391E-5</v>
      </c>
      <c r="F27">
        <f>'AEO 2023 49'!H116/'Calculations Etc'!B26</f>
        <v>0</v>
      </c>
      <c r="G27">
        <f>'AEO 2023 49'!H112/'Calculations Etc'!B25</f>
        <v>5.6030578704472259E-5</v>
      </c>
      <c r="H27">
        <f>'AEO 2023 49'!I118/'Calculations Etc'!B26</f>
        <v>8.3786165352268431E-5</v>
      </c>
    </row>
    <row r="29" spans="1:9">
      <c r="A29" t="s">
        <v>1056</v>
      </c>
      <c r="B29">
        <f>SUMPRODUCT(B18:B20,B25:B27)/SUM(B18:B20)</f>
        <v>1.3226441773833212E-4</v>
      </c>
      <c r="C29">
        <f t="shared" ref="C29:H29" si="0">SUMPRODUCT(C18:C20,C25:C27)/SUM(C18:C20)</f>
        <v>7.0204850469879831E-5</v>
      </c>
      <c r="D29">
        <f t="shared" si="0"/>
        <v>9.2955581997260681E-5</v>
      </c>
      <c r="E29">
        <f t="shared" si="0"/>
        <v>1.0087912753938768E-4</v>
      </c>
      <c r="F29">
        <f>SUMPRODUCT(F18:F20,F25:F27)/SUM(F18:F20)</f>
        <v>1.7525323807361898E-4</v>
      </c>
      <c r="G29">
        <f>SUMPRODUCT(G18:G20,G25:G27)/SUM(G18:G20)</f>
        <v>5.5270584840087177E-5</v>
      </c>
      <c r="H29">
        <f t="shared" si="0"/>
        <v>8.379890176963306E-5</v>
      </c>
    </row>
    <row r="31" spans="1:9">
      <c r="A31" s="221">
        <v>2025</v>
      </c>
      <c r="B31" s="222"/>
      <c r="C31" s="222"/>
      <c r="D31" s="222"/>
      <c r="E31" s="222"/>
      <c r="F31" s="222"/>
      <c r="G31" s="222"/>
      <c r="H31" s="222"/>
      <c r="I31" s="222"/>
    </row>
    <row r="32" spans="1:9" s="1" customFormat="1" ht="30">
      <c r="B32" s="208" t="s">
        <v>111</v>
      </c>
      <c r="C32" s="208" t="s">
        <v>112</v>
      </c>
      <c r="D32" s="208" t="s">
        <v>113</v>
      </c>
      <c r="E32" s="208" t="s">
        <v>114</v>
      </c>
      <c r="F32" s="208" t="s">
        <v>115</v>
      </c>
      <c r="G32" s="208" t="s">
        <v>257</v>
      </c>
      <c r="H32" s="208" t="s">
        <v>258</v>
      </c>
      <c r="I32" s="208"/>
    </row>
    <row r="33" spans="1:12" s="1" customFormat="1">
      <c r="A33" s="1" t="s">
        <v>1049</v>
      </c>
      <c r="B33" s="173">
        <f>'AEO 2026 Table 46'!E44*10^9</f>
        <v>1347439000</v>
      </c>
      <c r="C33" s="173">
        <f>'AEO 2026 Table 46'!E42*10^9</f>
        <v>96806000</v>
      </c>
      <c r="D33" s="173">
        <f>SUM('AEO 2026 Table 46'!E39,'AEO 2026 Table 46'!E43,'AEO 2026 Table 46'!E49)*10^9</f>
        <v>57541443000</v>
      </c>
      <c r="E33" s="173">
        <f>'AEO 2026 Table 46'!E40*10^9</f>
        <v>32412315000</v>
      </c>
      <c r="F33" s="173">
        <f>SUM('AEO 2026 Table 46'!E45:E46)*10^9</f>
        <v>0</v>
      </c>
      <c r="G33" s="173">
        <f>'AEO 2026 Table 46'!E41*10^9</f>
        <v>129999.99999999999</v>
      </c>
      <c r="H33" s="173">
        <f>SUM('AEO 2026 Table 46'!E47:E48,'AEO 2026 Table 46'!E50)*10^9</f>
        <v>0</v>
      </c>
      <c r="J33" s="215"/>
    </row>
    <row r="34" spans="1:12" s="1" customFormat="1">
      <c r="A34" s="1" t="s">
        <v>1050</v>
      </c>
      <c r="B34" s="174">
        <f>'AEO 2026 Table 49'!E14*10^9</f>
        <v>201876000</v>
      </c>
      <c r="C34" s="174">
        <f>SUM('AEO 2026 Table 49'!E12)*10^9</f>
        <v>101800000</v>
      </c>
      <c r="D34" s="174">
        <f>SUM('AEO 2026 Table 49'!E10,'AEO 2026 Table 49'!E13,'AEO 2026 Table 49'!E19)*10^9</f>
        <v>30160084000</v>
      </c>
      <c r="E34" s="174">
        <f>SUM('AEO 2026 Table 49'!E9)*10^9</f>
        <v>58413017000</v>
      </c>
      <c r="F34" s="174">
        <f>SUM('AEO 2026 Table 49'!E15:E16,'AEO 2026 Table 49'!E29:E30)*10^9</f>
        <v>7038000</v>
      </c>
      <c r="G34" s="174">
        <f>SUM('AEO 2026 Table 49'!E11,'AEO 2026 Table 49'!E25)*10^9</f>
        <v>22500000</v>
      </c>
      <c r="H34" s="174">
        <f>SUM('AEO 2026 Table 49'!E17:E18,'AEO 2026 Table 49'!E20)*10^9</f>
        <v>0</v>
      </c>
      <c r="J34" s="215"/>
    </row>
    <row r="35" spans="1:12" s="1" customFormat="1">
      <c r="A35" s="1" t="s">
        <v>1051</v>
      </c>
      <c r="B35" s="3">
        <f>'AEO 2026 Table 49'!E28*10^9</f>
        <v>32860000</v>
      </c>
      <c r="C35" s="3">
        <f>'AEO 2026 Table 49'!E26*10^9</f>
        <v>198516000</v>
      </c>
      <c r="D35" s="3">
        <f>SUM('AEO 2026 Table 49'!E24,'AEO 2026 Table 49'!E27,'AEO 2026 Table 49'!E33)*10^9</f>
        <v>22989850000</v>
      </c>
      <c r="E35" s="3">
        <f>'AEO 2026 Table 49'!E23*10^9</f>
        <v>35473877000</v>
      </c>
      <c r="F35" s="3">
        <f>SUM('AEO 2026 Table 49'!E29:E30)*10^9</f>
        <v>7038000</v>
      </c>
      <c r="G35" s="3">
        <f>'AEO 2026 Table 49'!E25*10^9</f>
        <v>21876000</v>
      </c>
      <c r="H35" s="3">
        <f>SUM('AEO 2026 Table 49'!E31:E32,'AEO 2026 Table 49'!E34)</f>
        <v>0</v>
      </c>
      <c r="J35" s="223"/>
    </row>
    <row r="36" spans="1:12" s="1" customFormat="1"/>
    <row r="37" spans="1:12" s="1" customFormat="1">
      <c r="A37" s="1" t="s">
        <v>5178</v>
      </c>
      <c r="B37" s="173">
        <f>'AEO 2026 Table 43'!E52*10^12</f>
        <v>4247504000000</v>
      </c>
      <c r="C37" s="173">
        <f>'AEO 2026 Table 43'!E50*10^12</f>
        <v>1178113000000</v>
      </c>
      <c r="D37" s="173">
        <f>SUM('AEO 2026 Table 43'!E47,'AEO 2026 Table 43'!E51,'AEO 2026 Table 43'!E57)*10^12</f>
        <v>554541206000000</v>
      </c>
      <c r="E37" s="173">
        <f>'AEO 2026 Table 43'!E48*10^12</f>
        <v>311769806000000</v>
      </c>
      <c r="F37" s="173">
        <v>0</v>
      </c>
      <c r="G37" s="173">
        <f>'AEO 2026 Table 43'!E49*10^12</f>
        <v>1386000000</v>
      </c>
      <c r="H37" s="173">
        <v>0</v>
      </c>
    </row>
    <row r="38" spans="1:12" s="1" customFormat="1">
      <c r="A38" s="1" t="s">
        <v>5179</v>
      </c>
      <c r="B38" s="174">
        <f>'AEO 2026 Table 49'!E58*10^12</f>
        <v>777796000000</v>
      </c>
      <c r="C38" s="174">
        <f>'AEO 2026 Table 49'!E56*10^12</f>
        <v>1133067000000</v>
      </c>
      <c r="D38" s="174">
        <f>SUM('AEO 2026 Table 49'!E54,'AEO 2026 Table 49'!E57,'AEO 2026 Table 49'!E63)*10^12</f>
        <v>315354297000000</v>
      </c>
      <c r="E38" s="174">
        <f>'AEO 2026 Table 49'!E53*10^12</f>
        <v>559328064000000.06</v>
      </c>
      <c r="F38" s="174">
        <v>0</v>
      </c>
      <c r="G38" s="174">
        <f>'AEO 2026 Table 49'!E55*10^12</f>
        <v>8241999999.999999</v>
      </c>
      <c r="H38" s="174">
        <v>0</v>
      </c>
    </row>
    <row r="39" spans="1:12" s="1" customFormat="1">
      <c r="A39" s="1" t="s">
        <v>5180</v>
      </c>
      <c r="B39" s="3">
        <f>'AEO 2026 Table 49'!E72*10^12</f>
        <v>221221000000</v>
      </c>
      <c r="C39" s="3">
        <f>'AEO 2026 Table 49'!E70*10^12</f>
        <v>3344743000000</v>
      </c>
      <c r="D39" s="3">
        <f>SUM('AEO 2026 Table 49'!E68,'AEO 2026 Table 49'!E71,'AEO 2026 Table 49'!E77)*10^12</f>
        <v>316224208000000</v>
      </c>
      <c r="E39" s="3">
        <f>'AEO 2026 Table 49'!E67*10^12</f>
        <v>538645020000000.06</v>
      </c>
      <c r="F39" s="3">
        <f>'AEO 2026 Table 49'!E74*10^12</f>
        <v>91743000000</v>
      </c>
      <c r="G39" s="3">
        <f>'AEO 2026 Table 49'!E69*10^12</f>
        <v>375728000000</v>
      </c>
      <c r="H39" s="3">
        <v>0</v>
      </c>
    </row>
    <row r="40" spans="1:12" s="1" customFormat="1">
      <c r="B40"/>
      <c r="C40"/>
      <c r="D40"/>
      <c r="E40"/>
      <c r="F40"/>
      <c r="G40"/>
      <c r="H40"/>
    </row>
    <row r="41" spans="1:12" s="1" customFormat="1">
      <c r="A41" s="224"/>
      <c r="B41" s="181">
        <f>SUM(B37:B39)</f>
        <v>5246521000000</v>
      </c>
      <c r="C41" s="181">
        <f t="shared" ref="C41:H41" si="1">SUM(C37:C39)</f>
        <v>5655923000000</v>
      </c>
      <c r="D41" s="181">
        <f t="shared" si="1"/>
        <v>1186119711000000</v>
      </c>
      <c r="E41" s="181">
        <f t="shared" si="1"/>
        <v>1409742890000000</v>
      </c>
      <c r="F41" s="181">
        <f t="shared" si="1"/>
        <v>91743000000</v>
      </c>
      <c r="G41" s="181">
        <f t="shared" si="1"/>
        <v>385356000000</v>
      </c>
      <c r="H41" s="181">
        <f t="shared" si="1"/>
        <v>0</v>
      </c>
    </row>
    <row r="42" spans="1:12" s="1" customFormat="1"/>
    <row r="43" spans="1:12" s="1" customFormat="1" ht="30">
      <c r="B43" s="208" t="s">
        <v>111</v>
      </c>
      <c r="C43" s="208" t="s">
        <v>112</v>
      </c>
      <c r="D43" s="208" t="s">
        <v>113</v>
      </c>
      <c r="E43" s="208" t="s">
        <v>114</v>
      </c>
      <c r="F43" s="208" t="s">
        <v>115</v>
      </c>
      <c r="G43" s="208" t="s">
        <v>257</v>
      </c>
      <c r="H43" s="208" t="s">
        <v>258</v>
      </c>
    </row>
    <row r="44" spans="1:12" s="1" customFormat="1">
      <c r="A44" s="1" t="s">
        <v>1053</v>
      </c>
      <c r="B44" s="173">
        <f>IFERROR(B33/B37,0)</f>
        <v>3.1723077835830175E-4</v>
      </c>
      <c r="C44" s="173">
        <f t="shared" ref="C44:H44" si="2">IFERROR(C33/C37,0)</f>
        <v>8.2170386032579215E-5</v>
      </c>
      <c r="D44" s="173">
        <f t="shared" si="2"/>
        <v>1.037640528375812E-4</v>
      </c>
      <c r="E44" s="173">
        <f t="shared" si="2"/>
        <v>1.0396232853928132E-4</v>
      </c>
      <c r="F44" s="173">
        <f t="shared" si="2"/>
        <v>0</v>
      </c>
      <c r="G44" s="173">
        <f t="shared" si="2"/>
        <v>9.3795093795093781E-5</v>
      </c>
      <c r="H44" s="173">
        <f t="shared" si="2"/>
        <v>0</v>
      </c>
    </row>
    <row r="45" spans="1:12" s="1" customFormat="1">
      <c r="A45" s="1" t="s">
        <v>1054</v>
      </c>
      <c r="B45" s="174">
        <f t="shared" ref="B45:H45" si="3">IFERROR(B34/B38,0)</f>
        <v>2.5954877628581272E-4</v>
      </c>
      <c r="C45" s="174">
        <f t="shared" si="3"/>
        <v>8.9844642902846874E-5</v>
      </c>
      <c r="D45" s="174">
        <f t="shared" si="3"/>
        <v>9.563872852507857E-5</v>
      </c>
      <c r="E45" s="174">
        <f t="shared" si="3"/>
        <v>1.0443426811496444E-4</v>
      </c>
      <c r="F45" s="174">
        <f t="shared" si="3"/>
        <v>0</v>
      </c>
      <c r="G45" s="174">
        <f t="shared" si="3"/>
        <v>2.7299199223489445E-3</v>
      </c>
      <c r="H45" s="174">
        <f t="shared" si="3"/>
        <v>0</v>
      </c>
    </row>
    <row r="46" spans="1:12" s="1" customFormat="1">
      <c r="A46" s="1" t="s">
        <v>1055</v>
      </c>
      <c r="B46" s="3">
        <f t="shared" ref="B46:H46" si="4">IFERROR(B35/B39,0)</f>
        <v>1.4853924356186799E-4</v>
      </c>
      <c r="C46" s="3">
        <f t="shared" si="4"/>
        <v>5.9351645253461923E-5</v>
      </c>
      <c r="D46" s="3">
        <f t="shared" si="4"/>
        <v>7.2701107057559616E-5</v>
      </c>
      <c r="E46" s="3">
        <f t="shared" si="4"/>
        <v>6.5857616208908786E-5</v>
      </c>
      <c r="F46" s="3">
        <f t="shared" si="4"/>
        <v>7.6714299728589642E-5</v>
      </c>
      <c r="G46" s="3">
        <f t="shared" si="4"/>
        <v>5.8222969807946175E-5</v>
      </c>
      <c r="H46" s="3">
        <f t="shared" si="4"/>
        <v>0</v>
      </c>
      <c r="K46" s="214"/>
      <c r="L46" s="214"/>
    </row>
    <row r="47" spans="1:12" s="1" customFormat="1">
      <c r="K47" s="214"/>
      <c r="L47" s="214"/>
    </row>
    <row r="48" spans="1:12" s="1" customFormat="1">
      <c r="B48" s="1" t="str">
        <f>B32</f>
        <v>battery electric vehicle</v>
      </c>
      <c r="C48" s="1" t="str">
        <f t="shared" ref="C48:H48" si="5">C32</f>
        <v>natural gas vehicle</v>
      </c>
      <c r="D48" s="1" t="str">
        <f t="shared" si="5"/>
        <v>gasoline vehicle</v>
      </c>
      <c r="E48" s="1" t="str">
        <f t="shared" si="5"/>
        <v>diesel vehicle</v>
      </c>
      <c r="F48" s="1" t="str">
        <f t="shared" si="5"/>
        <v>plugin hybrid vehicle</v>
      </c>
      <c r="G48" s="1" t="str">
        <f t="shared" si="5"/>
        <v>LPG vehicle</v>
      </c>
      <c r="H48" s="1" t="str">
        <f t="shared" si="5"/>
        <v>hydrogen vehicle</v>
      </c>
    </row>
    <row r="49" spans="1:9" s="1" customFormat="1">
      <c r="A49" s="192" t="s">
        <v>1056</v>
      </c>
      <c r="B49" s="192">
        <f>SUM(B33:B35)/SUM(B37:B39)</f>
        <v>3.0156650473713915E-4</v>
      </c>
      <c r="C49" s="192">
        <f t="shared" ref="C49:G49" si="6">SUM(C33:C35)/SUM(C37:C39)</f>
        <v>7.0213473556835903E-5</v>
      </c>
      <c r="D49" s="192">
        <f t="shared" si="6"/>
        <v>9.3322264163941547E-5</v>
      </c>
      <c r="E49" s="192">
        <f t="shared" si="6"/>
        <v>8.9590243650741159E-5</v>
      </c>
      <c r="F49" s="192">
        <f t="shared" si="6"/>
        <v>1.5342859945717928E-4</v>
      </c>
      <c r="G49" s="192">
        <f t="shared" si="6"/>
        <v>1.1549320628198341E-4</v>
      </c>
      <c r="H49" s="192">
        <f>H29</f>
        <v>8.379890176963306E-5</v>
      </c>
    </row>
    <row r="50" spans="1:9">
      <c r="D50" s="68"/>
      <c r="E50" s="25">
        <f>SUM(E33:E35)</f>
        <v>126299209000</v>
      </c>
    </row>
    <row r="51" spans="1:9">
      <c r="A51" s="195" t="s">
        <v>5181</v>
      </c>
      <c r="B51" s="195"/>
      <c r="C51" s="195"/>
      <c r="D51" s="195"/>
      <c r="E51" s="195"/>
      <c r="F51" s="195"/>
      <c r="G51" s="195"/>
      <c r="H51" s="195"/>
      <c r="I51" s="195"/>
    </row>
    <row r="52" spans="1:9">
      <c r="B52" t="s">
        <v>660</v>
      </c>
    </row>
    <row r="53" spans="1:9" ht="60">
      <c r="A53" t="s">
        <v>635</v>
      </c>
      <c r="B53">
        <v>2020</v>
      </c>
      <c r="C53">
        <v>2021</v>
      </c>
      <c r="E53" s="5" t="s">
        <v>637</v>
      </c>
      <c r="F53" s="5" t="s">
        <v>661</v>
      </c>
      <c r="G53" s="5" t="s">
        <v>664</v>
      </c>
      <c r="H53" s="69" t="s">
        <v>665</v>
      </c>
    </row>
    <row r="54" spans="1:9">
      <c r="A54" s="66" t="s">
        <v>634</v>
      </c>
      <c r="H54" s="70"/>
    </row>
    <row r="55" spans="1:9">
      <c r="A55" t="s">
        <v>337</v>
      </c>
      <c r="B55" s="30">
        <f>'EPA_Table 3-13'!B8*10^12</f>
        <v>3000000000000</v>
      </c>
      <c r="C55" s="30">
        <f>'EPA_Table 3-13'!C8*10^12</f>
        <v>3000000000000</v>
      </c>
      <c r="E55">
        <f>'PEI-TFPEI-HDVs'!D2</f>
        <v>7.2920703974688528E-2</v>
      </c>
      <c r="F55" s="30">
        <f>B55/E55</f>
        <v>41140579238529.141</v>
      </c>
      <c r="G55">
        <f>'AVLo-passengers'!B3*'BAADTbVT-passenger'!B3*'SYVbT-passenger'!D3</f>
        <v>35043476460.534225</v>
      </c>
      <c r="H55" s="71">
        <f>G55/F55</f>
        <v>8.5179832440752728E-4</v>
      </c>
    </row>
    <row r="56" spans="1:9">
      <c r="A56" s="66" t="s">
        <v>633</v>
      </c>
      <c r="B56" s="67"/>
      <c r="C56" s="67"/>
      <c r="H56" s="70"/>
    </row>
    <row r="57" spans="1:9">
      <c r="A57" t="s">
        <v>337</v>
      </c>
      <c r="B57" s="30">
        <f>'EPA_Table 3-13'!B15*10^12</f>
        <v>20000000000000</v>
      </c>
      <c r="C57" s="30">
        <f>'EPA_Table 3-13'!C15*10^12</f>
        <v>21000000000000</v>
      </c>
      <c r="E57">
        <f>'PEI-TFPEI-HDVs'!E2</f>
        <v>7.4215991692627201E-2</v>
      </c>
      <c r="F57" s="30">
        <f>B57/E57</f>
        <v>269483699454316.53</v>
      </c>
      <c r="G57">
        <f>'AVLo-passengers'!B3*'BAADTbVT-passenger'!B3*'SYVbT-passenger'!E3</f>
        <v>278414110634.86371</v>
      </c>
      <c r="H57" s="71">
        <f>G57/F57</f>
        <v>1.0331389660993618E-3</v>
      </c>
    </row>
    <row r="58" spans="1:9">
      <c r="A58" s="66" t="s">
        <v>624</v>
      </c>
      <c r="B58" s="67"/>
      <c r="C58" s="67"/>
      <c r="H58" s="70"/>
    </row>
    <row r="59" spans="1:9">
      <c r="A59" t="s">
        <v>337</v>
      </c>
      <c r="B59" s="30">
        <f>'EPA_Table 3-13'!B35*10^12</f>
        <v>1000000000000</v>
      </c>
      <c r="C59" s="30">
        <f>'EPA_Table 3-13'!C35*10^12</f>
        <v>1000000000000</v>
      </c>
      <c r="E59">
        <f>'PEI-TFPEI-HDVs'!C2</f>
        <v>5.2751937984496129E-2</v>
      </c>
      <c r="F59" s="30">
        <f>B59/E59</f>
        <v>18956649522409.992</v>
      </c>
      <c r="G59">
        <f>'AVLo-passengers'!B3*'BAADTbVT-passenger'!B3*'SYVbT-passenger'!C3</f>
        <v>44528529796.691925</v>
      </c>
      <c r="H59" s="71">
        <f>G59/F59</f>
        <v>2.3489662423758803E-3</v>
      </c>
    </row>
    <row r="60" spans="1:9">
      <c r="A60" s="66" t="s">
        <v>621</v>
      </c>
      <c r="B60" s="67"/>
      <c r="C60" s="67"/>
    </row>
    <row r="61" spans="1:9">
      <c r="A61" t="s">
        <v>337</v>
      </c>
      <c r="B61" s="68">
        <f>'EPA_Table 3-13'!B41</f>
        <v>0</v>
      </c>
      <c r="C61" s="68">
        <f>'EPA_Table 3-13'!C41</f>
        <v>0</v>
      </c>
      <c r="E61">
        <f>'PEI-TFPEI-HDVs'!J2</f>
        <v>6.7030064624894622E-2</v>
      </c>
    </row>
    <row r="63" spans="1:9">
      <c r="A63" s="195" t="s">
        <v>3894</v>
      </c>
      <c r="B63" s="195"/>
      <c r="C63" s="195"/>
      <c r="D63" s="195"/>
      <c r="E63" s="195"/>
      <c r="F63" s="195"/>
      <c r="G63" s="195"/>
      <c r="H63" s="195"/>
      <c r="I63" s="195"/>
    </row>
    <row r="64" spans="1:9">
      <c r="C64">
        <v>2023</v>
      </c>
      <c r="D64">
        <v>2024</v>
      </c>
    </row>
    <row r="65" spans="1:9">
      <c r="B65" t="s">
        <v>3895</v>
      </c>
      <c r="C65">
        <f>'AEO 2023 49'!H76</f>
        <v>4082.8315429999998</v>
      </c>
      <c r="D65">
        <f>'AEO 2025 Table 49'!F81</f>
        <v>4150.3491210000002</v>
      </c>
      <c r="E65" s="21">
        <f>D65/C65</f>
        <v>1.0165369492443936</v>
      </c>
    </row>
    <row r="66" spans="1:9">
      <c r="B66" t="s">
        <v>3897</v>
      </c>
      <c r="C66">
        <f>'AEO 2023 49'!H41</f>
        <v>184.36309800000001</v>
      </c>
      <c r="D66">
        <f>'AEO 2025 Table 49'!F37</f>
        <v>192.94982899999999</v>
      </c>
      <c r="E66" s="21">
        <f>D66/C66</f>
        <v>1.0465751069121219</v>
      </c>
    </row>
    <row r="67" spans="1:9">
      <c r="B67" t="s">
        <v>3896</v>
      </c>
    </row>
    <row r="71" spans="1:9" s="196" customFormat="1" ht="21">
      <c r="A71" s="196" t="s">
        <v>3893</v>
      </c>
    </row>
    <row r="72" spans="1:9">
      <c r="A72" s="1" t="s">
        <v>1057</v>
      </c>
    </row>
    <row r="73" spans="1:9" ht="45">
      <c r="B73" s="5" t="s">
        <v>270</v>
      </c>
      <c r="C73" s="164" t="s">
        <v>111</v>
      </c>
      <c r="D73" s="164" t="s">
        <v>112</v>
      </c>
      <c r="E73" s="164" t="s">
        <v>113</v>
      </c>
      <c r="F73" s="164" t="s">
        <v>114</v>
      </c>
      <c r="G73" s="164" t="s">
        <v>115</v>
      </c>
      <c r="H73" s="164" t="s">
        <v>257</v>
      </c>
      <c r="I73" s="164" t="s">
        <v>258</v>
      </c>
    </row>
    <row r="74" spans="1:9">
      <c r="B74" t="s">
        <v>219</v>
      </c>
      <c r="C74" s="201">
        <f>SUMIFS('AEO 2026 Table 41'!$F:$F,'AEO 2026 Table 41'!$A:$A,C73)/SUMIFS('AEO 2026 Table 37'!$F:$F,'AEO 2026 Table 37'!$A:$A,C$73)/1000*'Calculations Etc'!$B$15*'Calibration Adjustments'!$B$19</f>
        <v>1.4644871483406822E-3</v>
      </c>
      <c r="D74" s="201">
        <f>SUMIFS('AEO 2026 Table 41'!$F:$F,'AEO 2026 Table 41'!$A:$A,D73)/SUMIFS('AEO 2026 Table 37'!$F:$F,'AEO 2026 Table 37'!$A:$A,D$73)/1000*'Calculations Etc'!$B$15*'Calibration Adjustments'!$B$19</f>
        <v>2.8599578430961074E-4</v>
      </c>
      <c r="E74" s="201">
        <f>SUMIFS('AEO 2026 Table 41'!$F:$F,'AEO 2026 Table 41'!$A:$A,E73)/SUMIFS('AEO 2026 Table 37'!$F:$F,'AEO 2026 Table 37'!$A:$A,E$73)/1000*'Calculations Etc'!$B$15*'Calibration Adjustments'!$B$19</f>
        <v>3.0811518665027502E-4</v>
      </c>
      <c r="F74" s="201">
        <f>SUMIFS('AEO 2026 Table 41'!$F:$F,'AEO 2026 Table 41'!$A:$A,F73)/SUMIFS('AEO 2026 Table 37'!$F:$F,'AEO 2026 Table 37'!$A:$A,F$73)/1000*'Calculations Etc'!$B$15*'Calibration Adjustments'!$B$19</f>
        <v>3.4955084322389854E-4</v>
      </c>
      <c r="G74" s="201">
        <f>SUMIFS('AEO 2026 Table 41'!$F:$F,'AEO 2026 Table 41'!$A:$A,G73)/SUMIFS('AEO 2026 Table 37'!$F:$F,'AEO 2026 Table 37'!$A:$A,G$73)/1000*'Calculations Etc'!$B$15*'Calibration Adjustments'!$B$19</f>
        <v>5.4440152139639993E-4</v>
      </c>
      <c r="H74" s="201">
        <f>SUMIFS('AEO 2026 Table 41'!$F:$F,'AEO 2026 Table 41'!$A:$A,H73)/SUMIFS('AEO 2026 Table 37'!$F:$F,'AEO 2026 Table 37'!$A:$A,H$73)/1000*'Calculations Etc'!$B$15*'Calibration Adjustments'!$B$19</f>
        <v>2.4597247808457096E-4</v>
      </c>
      <c r="I74" s="201">
        <f>SUMIFS('AEO 2026 Table 41'!$F:$F,'AEO 2026 Table 41'!$A:$A,I73)/SUMIFS('AEO 2026 Table 37'!$F:$F,'AEO 2026 Table 37'!$A:$A,I$73)/1000*'Calculations Etc'!$B$15*'Calibration Adjustments'!$B$19</f>
        <v>9.5477617242703441E-4</v>
      </c>
    </row>
    <row r="75" spans="1:9">
      <c r="B75" t="s">
        <v>134</v>
      </c>
      <c r="C75" s="162">
        <f>$F75/(1-'Calculations Etc'!$B$9)*'Calibration Adjustments'!B20</f>
        <v>3.3199658675940884E-3</v>
      </c>
      <c r="D75" s="162">
        <f>calcs!H59</f>
        <v>2.3489662423758803E-3</v>
      </c>
      <c r="E75" s="28">
        <f>calcs!H55</f>
        <v>8.5179832440752728E-4</v>
      </c>
      <c r="F75" s="28">
        <f>calcs!H57</f>
        <v>1.0331389660993618E-3</v>
      </c>
      <c r="G75" s="162">
        <f>$F75/(1-'Calculations Etc'!$B$9)*'Calculations Etc'!$B$12+$F75*(1-'Calculations Etc'!$B$12)*'Calibration Adjustments'!F20</f>
        <v>2.2908937619214613E-3</v>
      </c>
      <c r="H75" s="162">
        <f>('SYVbT-passenger'!G3*'BAADTbVT-passenger'!$B$3*'Calculations Etc'!$B$17)/(SUMIFS('AEO 2025 Table 36 Alt T'!$G$54:$G$76,'AEO 2025 Table 36 Alt T'!$A$54:$A$76,calcs!H73)*1000000000000)*'Calibration Adjustments'!G20</f>
        <v>1.8294441155202029E-3</v>
      </c>
      <c r="I75" s="162">
        <f>$F75*'Calculations Etc'!$B$35*'Calibration Adjustments'!H20</f>
        <v>3.099416898298085E-3</v>
      </c>
    </row>
    <row r="76" spans="1:9">
      <c r="B76" t="s">
        <v>131</v>
      </c>
      <c r="C76" s="162">
        <f>$F76/(1-'Calculations Etc'!$B$9)*'Calibration Adjustments'!B21</f>
        <v>9.7898292792220369E-4</v>
      </c>
      <c r="D76" s="162">
        <f>$F76*'Calibration Adjustments'!C21</f>
        <v>3.0464933987873528E-4</v>
      </c>
      <c r="E76" s="162">
        <f>$F76*'Calibration Adjustments'!D21</f>
        <v>3.0464933987873528E-4</v>
      </c>
      <c r="F76" s="28">
        <f>C12</f>
        <v>3.0464933987873528E-4</v>
      </c>
      <c r="G76" s="162">
        <v>0</v>
      </c>
      <c r="H76" s="162">
        <v>0</v>
      </c>
      <c r="I76" s="162">
        <f>$F76*'Calculations Etc'!$B$35*'Calibration Adjustments'!H21</f>
        <v>9.1394801963620568E-4</v>
      </c>
    </row>
    <row r="77" spans="1:9">
      <c r="B77" t="s">
        <v>220</v>
      </c>
      <c r="C77" s="162">
        <f>'psgr rail calcs'!V67</f>
        <v>6.7428486606874269E-4</v>
      </c>
      <c r="D77" s="162">
        <f>$F77*'Calibration Adjustments'!C22</f>
        <v>5.0586266198922429E-5</v>
      </c>
      <c r="E77" s="162">
        <f>$F77*'Calibration Adjustments'!D22</f>
        <v>5.0586266198922429E-5</v>
      </c>
      <c r="F77" s="162">
        <f>'psgr rail calcs'!U67</f>
        <v>5.0586266198922429E-5</v>
      </c>
      <c r="G77" s="162">
        <v>0</v>
      </c>
      <c r="H77" s="162">
        <v>0</v>
      </c>
      <c r="I77" s="162">
        <f>$F77*'Calculations Etc'!$B$35*'Calibration Adjustments'!H22</f>
        <v>1.5175879859676727E-4</v>
      </c>
    </row>
    <row r="78" spans="1:9">
      <c r="B78" t="s">
        <v>221</v>
      </c>
      <c r="C78" s="162">
        <f>$F78/(1-'Calculations Etc'!$B$9)*'Calibration Adjustments'!B23</f>
        <v>3.8151653664103207E-5</v>
      </c>
      <c r="D78" s="162">
        <v>0</v>
      </c>
      <c r="E78" s="162">
        <f>('SYVbT-passenger'!D6*'BAADTbVT-passenger'!$B$6*1)/(SUMIFS('AEO 2025 Table 36 Alt T'!$G$91:$G$92,'AEO 2025 Table 36 Alt T'!$A$91:$A$92,calcs!E73)*1000000000000)*'Calibration Adjustments'!D23</f>
        <v>1.1872400950049923E-5</v>
      </c>
      <c r="F78" s="162">
        <f>('SYVbT-passenger'!E6*'BAADTbVT-passenger'!$B$6*1)/(SUMIFS('AEO 2025 Table 36 Alt T'!$G$91:$G$92,'AEO 2025 Table 36 Alt T'!$A$91:$A$92,calcs!F73)*1000000000000)*'Calibration Adjustments'!E23</f>
        <v>1.1872399173210917E-5</v>
      </c>
      <c r="G78" s="162">
        <v>0</v>
      </c>
      <c r="H78" s="162">
        <v>0</v>
      </c>
      <c r="I78" s="162">
        <f>$F78*'Calculations Etc'!$B$35*'Calibration Adjustments'!H23</f>
        <v>3.5617197519632745E-5</v>
      </c>
    </row>
    <row r="79" spans="1:9">
      <c r="B79" t="s">
        <v>222</v>
      </c>
      <c r="C79" s="162">
        <f>$E79/(1-'Calculations Etc'!$B$8)*'Calibration Adjustments'!B24</f>
        <v>1.5838024437654571E-3</v>
      </c>
      <c r="D79" s="162">
        <f>$E79*'Calibration Adjustments'!C24</f>
        <v>4.9739250300072217E-4</v>
      </c>
      <c r="E79" s="162">
        <f>('SYVbT-passenger'!D7*'BAADTbVT-passenger'!B7*'Calculations Etc'!B22)/('AEO 2026 Table 35'!E11*10^12)*'Calibration Adjustments'!D24</f>
        <v>4.9739250300072217E-4</v>
      </c>
      <c r="F79" s="162">
        <f>$E79*'Calibration Adjustments'!E24</f>
        <v>4.9739250300072217E-4</v>
      </c>
      <c r="G79" s="162">
        <f>$E79/(1-'Calculations Etc'!$B$8)*'Calculations Etc'!$B$12+$E79*(1-'Calculations Etc'!$B$12)*'Calibration Adjustments'!F24</f>
        <v>1.0949179704213264E-3</v>
      </c>
      <c r="H79" s="162">
        <f>$E79*'Calculations Etc'!$B$39*'Calibration Adjustments'!G24</f>
        <v>3.8547918982555972E-4</v>
      </c>
      <c r="I79" s="162">
        <f>E79*'Calculations Etc'!$B$35</f>
        <v>1.4921775090021663E-3</v>
      </c>
    </row>
    <row r="81" spans="1:9">
      <c r="A81" s="1" t="s">
        <v>1058</v>
      </c>
    </row>
    <row r="82" spans="1:9" ht="45">
      <c r="B82" s="5" t="s">
        <v>271</v>
      </c>
      <c r="C82" s="205" t="s">
        <v>111</v>
      </c>
      <c r="D82" s="205" t="s">
        <v>112</v>
      </c>
      <c r="E82" s="205" t="s">
        <v>113</v>
      </c>
      <c r="F82" s="205" t="s">
        <v>114</v>
      </c>
      <c r="G82" s="205" t="s">
        <v>115</v>
      </c>
      <c r="H82" s="205" t="s">
        <v>257</v>
      </c>
      <c r="I82" s="205" t="s">
        <v>258</v>
      </c>
    </row>
    <row r="83" spans="1:9">
      <c r="B83" t="s">
        <v>219</v>
      </c>
      <c r="C83">
        <f>B49</f>
        <v>3.0156650473713915E-4</v>
      </c>
      <c r="D83">
        <f t="shared" ref="D83:I83" si="7">C49</f>
        <v>7.0213473556835903E-5</v>
      </c>
      <c r="E83">
        <f t="shared" si="7"/>
        <v>9.3322264163941547E-5</v>
      </c>
      <c r="F83">
        <f t="shared" si="7"/>
        <v>8.9590243650741159E-5</v>
      </c>
      <c r="G83">
        <f t="shared" si="7"/>
        <v>1.5342859945717928E-4</v>
      </c>
      <c r="H83">
        <f t="shared" si="7"/>
        <v>1.1549320628198341E-4</v>
      </c>
      <c r="I83">
        <f t="shared" si="7"/>
        <v>8.379890176963306E-5</v>
      </c>
    </row>
    <row r="84" spans="1:9">
      <c r="B84" t="s">
        <v>134</v>
      </c>
      <c r="C84">
        <f>'AEO 2025 Table 49'!F143/'Calculations Etc'!B26*'Calculations Etc'!B18</f>
        <v>1.6283396676658034E-3</v>
      </c>
      <c r="D84">
        <f>'AEO 2025 Table 49'!F141/'Calculations Etc'!B25*'Calculations Etc'!B18</f>
        <v>7.7263481523290941E-4</v>
      </c>
      <c r="E84">
        <f>'AEO 2025 Table 49'!F139/'Calculations Etc'!B25*'Calculations Etc'!B18</f>
        <v>6.720672001062452E-4</v>
      </c>
      <c r="F84">
        <f>'AEO 2025 Table 49'!F138/'Calculations Etc'!B26*'Calculations Etc'!B18</f>
        <v>7.5059325437243547E-4</v>
      </c>
      <c r="G84">
        <f>'AEO 2023 49'!H127/'Calculations Etc'!B26*'Calculations Etc'!B18</f>
        <v>0</v>
      </c>
      <c r="H84">
        <f>'AEO 2025 Table 49'!F140/'Calculations Etc'!B25*'Calculations Etc'!B18</f>
        <v>6.8755018426906603E-4</v>
      </c>
      <c r="I84">
        <v>0</v>
      </c>
    </row>
    <row r="85" spans="1:9">
      <c r="B85" t="s">
        <v>131</v>
      </c>
      <c r="C85">
        <f>$F85/(1-'Calculations Etc'!$B$9)*'Calibration Adjustments'!B30</f>
        <v>2.9962432880267732E-4</v>
      </c>
      <c r="D85">
        <f>$F85*'Calibration Adjustments'!C30</f>
        <v>9.3239985476639982E-5</v>
      </c>
      <c r="E85" s="30">
        <f>$F85*'Calibration Adjustments'!D30</f>
        <v>9.3239985476639982E-5</v>
      </c>
      <c r="F85" s="30">
        <f>C13</f>
        <v>9.3239985476639982E-5</v>
      </c>
      <c r="G85">
        <v>0</v>
      </c>
      <c r="H85">
        <v>0</v>
      </c>
      <c r="I85">
        <f>$F85*'Calculations Etc'!$B$35*'Calibration Adjustments'!H30</f>
        <v>2.7971995642991991E-4</v>
      </c>
    </row>
    <row r="86" spans="1:9">
      <c r="B86" t="s">
        <v>220</v>
      </c>
      <c r="C86">
        <f>$F86/(1-'Calculations Etc'!$B$9)*'Calibration Adjustments'!B31</f>
        <v>1.0840496025738076E-2</v>
      </c>
      <c r="D86">
        <f>$F86*'Calibration Adjustments'!C31</f>
        <v>3.3734500000000001E-3</v>
      </c>
      <c r="E86">
        <f>$F86*'Calibration Adjustments'!D31</f>
        <v>3.3734500000000001E-3</v>
      </c>
      <c r="F86">
        <f>'AEO 2025 Table 7'!F41/10^3*'Calibration Adjustments'!E31</f>
        <v>3.3734500000000001E-3</v>
      </c>
      <c r="G86">
        <v>0</v>
      </c>
      <c r="H86">
        <v>0</v>
      </c>
      <c r="I86">
        <f>$F86*'Calculations Etc'!$B$35*'Calibration Adjustments'!H31</f>
        <v>1.0120349999999998E-2</v>
      </c>
    </row>
    <row r="87" spans="1:9">
      <c r="B87" t="s">
        <v>221</v>
      </c>
      <c r="C87">
        <f>$F87/(1-'Calculations Etc'!$B$9)*'Calibration Adjustments'!B32</f>
        <v>1.5610349625283874E-2</v>
      </c>
      <c r="D87">
        <f>$F87*'Calibration Adjustments'!C32</f>
        <v>4.8577789999999996E-3</v>
      </c>
      <c r="E87">
        <f>$F87*'Calibration Adjustments'!D32</f>
        <v>4.8577789999999996E-3</v>
      </c>
      <c r="F87">
        <f>'AEO 2025 Table 7 Alt T'!F42/10^3*'Calibration Adjustments'!E32</f>
        <v>4.8577789999999996E-3</v>
      </c>
      <c r="G87">
        <v>0</v>
      </c>
      <c r="H87">
        <v>0</v>
      </c>
      <c r="I87">
        <f>$F87*'Calculations Etc'!$B$35*'Calibration Adjustments'!H32</f>
        <v>1.4573336999999997E-2</v>
      </c>
    </row>
    <row r="88" spans="1:9">
      <c r="B88" t="s">
        <v>222</v>
      </c>
      <c r="C88">
        <v>0</v>
      </c>
      <c r="D88">
        <v>0</v>
      </c>
      <c r="E88">
        <v>0</v>
      </c>
      <c r="F88">
        <v>0</v>
      </c>
      <c r="G88">
        <v>0</v>
      </c>
      <c r="H88">
        <v>0</v>
      </c>
      <c r="I88">
        <v>0</v>
      </c>
    </row>
    <row r="90" spans="1:9">
      <c r="E90" s="25"/>
    </row>
    <row r="91" spans="1:9">
      <c r="G91" s="121"/>
      <c r="H91" s="121"/>
    </row>
    <row r="92" spans="1:9">
      <c r="F92" s="21"/>
    </row>
    <row r="94" spans="1:9">
      <c r="F94" s="165"/>
    </row>
    <row r="96" spans="1:9">
      <c r="F96" s="1"/>
    </row>
    <row r="102" spans="2:9">
      <c r="C102" s="21"/>
      <c r="D102" s="21"/>
      <c r="E102" s="21"/>
      <c r="F102" s="21"/>
      <c r="G102" s="21"/>
      <c r="H102" s="21"/>
      <c r="I102" s="21"/>
    </row>
    <row r="103" spans="2:9">
      <c r="C103" s="21"/>
      <c r="D103" s="21"/>
      <c r="E103" s="21"/>
      <c r="F103" s="21"/>
      <c r="G103" s="21"/>
      <c r="H103" s="21"/>
      <c r="I103" s="21"/>
    </row>
    <row r="104" spans="2:9">
      <c r="C104" s="21"/>
      <c r="D104" s="21"/>
      <c r="E104" s="21"/>
      <c r="F104" s="21"/>
      <c r="G104" s="21"/>
      <c r="H104" s="21"/>
      <c r="I104" s="21"/>
    </row>
    <row r="105" spans="2:9">
      <c r="B105" s="21"/>
      <c r="C105" s="21"/>
      <c r="D105" s="21"/>
      <c r="E105" s="21"/>
      <c r="F105" s="21"/>
      <c r="G105" s="21"/>
      <c r="H105" s="21"/>
      <c r="I105" s="21"/>
    </row>
    <row r="106" spans="2:9">
      <c r="B106" s="21"/>
      <c r="C106" s="21"/>
      <c r="D106" s="21"/>
      <c r="E106" s="21"/>
      <c r="F106" s="21"/>
      <c r="G106" s="21"/>
      <c r="H106" s="21"/>
      <c r="I106" s="21"/>
    </row>
    <row r="107" spans="2:9">
      <c r="B107" s="21"/>
      <c r="C107" s="21"/>
      <c r="D107" s="21"/>
      <c r="E107" s="21"/>
      <c r="F107" s="21"/>
      <c r="G107" s="21"/>
      <c r="H107" s="21"/>
      <c r="I107" s="21"/>
    </row>
    <row r="108" spans="2:9">
      <c r="B108" s="21"/>
      <c r="C108" s="21"/>
      <c r="D108" s="21"/>
      <c r="E108" s="21"/>
      <c r="F108" s="21"/>
      <c r="G108" s="21"/>
      <c r="H108" s="21"/>
      <c r="I108" s="21"/>
    </row>
    <row r="109" spans="2:9">
      <c r="B109" s="21"/>
      <c r="C109" s="21"/>
      <c r="D109" s="21"/>
      <c r="E109" s="21"/>
      <c r="F109" s="21"/>
      <c r="G109" s="21"/>
      <c r="H109" s="21"/>
      <c r="I109" s="21"/>
    </row>
    <row r="110" spans="2:9">
      <c r="B110" s="21"/>
      <c r="C110" s="21"/>
      <c r="D110" s="21"/>
      <c r="E110" s="21"/>
      <c r="F110" s="21"/>
      <c r="G110" s="21"/>
      <c r="H110" s="21"/>
      <c r="I110" s="21"/>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H23"/>
  <sheetViews>
    <sheetView workbookViewId="0">
      <selection activeCell="H7" sqref="H7"/>
    </sheetView>
  </sheetViews>
  <sheetFormatPr defaultRowHeight="15"/>
  <cols>
    <col min="1" max="1" width="22.42578125" customWidth="1"/>
    <col min="2" max="8" width="12" customWidth="1"/>
  </cols>
  <sheetData>
    <row r="1" spans="1:8">
      <c r="A1" t="s">
        <v>270</v>
      </c>
      <c r="B1" t="s">
        <v>111</v>
      </c>
      <c r="C1" t="s">
        <v>112</v>
      </c>
      <c r="D1" t="s">
        <v>113</v>
      </c>
      <c r="E1" t="s">
        <v>114</v>
      </c>
      <c r="F1" t="s">
        <v>115</v>
      </c>
      <c r="G1" t="s">
        <v>257</v>
      </c>
      <c r="H1" t="s">
        <v>258</v>
      </c>
    </row>
    <row r="2" spans="1:8">
      <c r="A2" t="s">
        <v>219</v>
      </c>
      <c r="B2">
        <f>IFERROR(calcs!C74,0)</f>
        <v>1.4644871483406822E-3</v>
      </c>
      <c r="C2">
        <f>IFERROR(calcs!D74,0)</f>
        <v>2.8599578430961074E-4</v>
      </c>
      <c r="D2">
        <f>IFERROR(calcs!E74,0)</f>
        <v>3.0811518665027502E-4</v>
      </c>
      <c r="E2">
        <f>IFERROR(calcs!F74,0)</f>
        <v>3.4955084322389854E-4</v>
      </c>
      <c r="F2">
        <f>IFERROR(calcs!G74,0)</f>
        <v>5.4440152139639993E-4</v>
      </c>
      <c r="G2">
        <f>IFERROR(calcs!H74,0)</f>
        <v>2.4597247808457096E-4</v>
      </c>
      <c r="H2">
        <f>IFERROR(calcs!I74,0)</f>
        <v>9.5477617242703441E-4</v>
      </c>
    </row>
    <row r="3" spans="1:8">
      <c r="A3" t="s">
        <v>134</v>
      </c>
      <c r="B3">
        <f>IFERROR(calcs!C75,0)</f>
        <v>3.3199658675940884E-3</v>
      </c>
      <c r="C3">
        <f>IFERROR(calcs!D75,0)</f>
        <v>2.3489662423758803E-3</v>
      </c>
      <c r="D3">
        <f>IFERROR(calcs!E75,0)</f>
        <v>8.5179832440752728E-4</v>
      </c>
      <c r="E3">
        <f>IFERROR(calcs!F75,0)</f>
        <v>1.0331389660993618E-3</v>
      </c>
      <c r="F3">
        <f>IFERROR(calcs!G75,0)</f>
        <v>2.2908937619214613E-3</v>
      </c>
      <c r="G3">
        <f>IFERROR(calcs!H75,0)</f>
        <v>1.8294441155202029E-3</v>
      </c>
      <c r="H3">
        <f>IFERROR(calcs!I75,0)</f>
        <v>3.099416898298085E-3</v>
      </c>
    </row>
    <row r="4" spans="1:8">
      <c r="A4" t="s">
        <v>131</v>
      </c>
      <c r="B4">
        <f>IFERROR(calcs!C76,0)</f>
        <v>9.7898292792220369E-4</v>
      </c>
      <c r="C4">
        <f>IFERROR(calcs!D76,0)</f>
        <v>3.0464933987873528E-4</v>
      </c>
      <c r="D4">
        <f>IFERROR(calcs!E76,0)</f>
        <v>3.0464933987873528E-4</v>
      </c>
      <c r="E4">
        <f>IFERROR(calcs!F76,0)</f>
        <v>3.0464933987873528E-4</v>
      </c>
      <c r="F4">
        <f>IFERROR(calcs!G76,0)</f>
        <v>0</v>
      </c>
      <c r="G4">
        <f>IFERROR(calcs!H76,0)</f>
        <v>0</v>
      </c>
      <c r="H4">
        <f>IFERROR(calcs!I76,0)</f>
        <v>9.1394801963620568E-4</v>
      </c>
    </row>
    <row r="5" spans="1:8">
      <c r="A5" t="s">
        <v>220</v>
      </c>
      <c r="B5">
        <f>IFERROR(calcs!C77,0)</f>
        <v>6.7428486606874269E-4</v>
      </c>
      <c r="C5">
        <f>IFERROR(calcs!D77,0)</f>
        <v>5.0586266198922429E-5</v>
      </c>
      <c r="D5">
        <f>IFERROR(calcs!E77,0)</f>
        <v>5.0586266198922429E-5</v>
      </c>
      <c r="E5">
        <f>IFERROR(calcs!F77,0)</f>
        <v>5.0586266198922429E-5</v>
      </c>
      <c r="F5">
        <f>IFERROR(calcs!G77,0)</f>
        <v>0</v>
      </c>
      <c r="G5">
        <f>IFERROR(calcs!H77,0)</f>
        <v>0</v>
      </c>
      <c r="H5">
        <f>IFERROR(calcs!I77,0)</f>
        <v>1.5175879859676727E-4</v>
      </c>
    </row>
    <row r="6" spans="1:8">
      <c r="A6" t="s">
        <v>221</v>
      </c>
      <c r="B6">
        <f>IFERROR(calcs!C78,0)</f>
        <v>3.8151653664103207E-5</v>
      </c>
      <c r="C6">
        <f>IFERROR(calcs!D78,0)</f>
        <v>0</v>
      </c>
      <c r="D6">
        <f>IFERROR(calcs!E78,0)</f>
        <v>1.1872400950049923E-5</v>
      </c>
      <c r="E6">
        <f>IFERROR(calcs!F78,0)</f>
        <v>1.1872399173210917E-5</v>
      </c>
      <c r="F6">
        <f>IFERROR(calcs!G78,0)</f>
        <v>0</v>
      </c>
      <c r="G6">
        <f>IFERROR(calcs!H78,0)</f>
        <v>0</v>
      </c>
      <c r="H6">
        <f>IFERROR(calcs!I78,0)</f>
        <v>3.5617197519632745E-5</v>
      </c>
    </row>
    <row r="7" spans="1:8">
      <c r="A7" t="s">
        <v>222</v>
      </c>
      <c r="B7">
        <f>IFERROR(calcs!C79,0)</f>
        <v>1.5838024437654571E-3</v>
      </c>
      <c r="C7">
        <f>IFERROR(calcs!D79,0)</f>
        <v>4.9739250300072217E-4</v>
      </c>
      <c r="D7">
        <f>IFERROR(calcs!E79,0)</f>
        <v>4.9739250300072217E-4</v>
      </c>
      <c r="E7">
        <f>IFERROR(calcs!F79,0)</f>
        <v>4.9739250300072217E-4</v>
      </c>
      <c r="F7">
        <f>IFERROR(calcs!G79,0)</f>
        <v>1.0949179704213264E-3</v>
      </c>
      <c r="G7">
        <f>IFERROR(calcs!H79,0)</f>
        <v>3.8547918982555972E-4</v>
      </c>
      <c r="H7">
        <f>IFERROR(calcs!I79,0)</f>
        <v>1.4921775090021663E-3</v>
      </c>
    </row>
    <row r="13" spans="1:8">
      <c r="C13" s="30"/>
      <c r="D13" s="30"/>
      <c r="E13" s="30"/>
    </row>
    <row r="14" spans="1:8">
      <c r="B14" s="30"/>
      <c r="D14" s="30"/>
      <c r="E14" s="30"/>
      <c r="H14" s="30"/>
    </row>
    <row r="18" spans="2:8">
      <c r="B18" s="21"/>
      <c r="C18" s="21"/>
      <c r="D18" s="21"/>
      <c r="E18" s="21"/>
      <c r="F18" s="21"/>
      <c r="G18" s="21"/>
      <c r="H18" s="21"/>
    </row>
    <row r="19" spans="2:8">
      <c r="B19" s="21"/>
      <c r="C19" s="21"/>
      <c r="D19" s="21"/>
      <c r="E19" s="21"/>
      <c r="F19" s="21"/>
      <c r="G19" s="21"/>
      <c r="H19" s="21"/>
    </row>
    <row r="20" spans="2:8">
      <c r="B20" s="21"/>
      <c r="C20" s="21"/>
      <c r="D20" s="21"/>
      <c r="E20" s="21"/>
      <c r="F20" s="21"/>
      <c r="G20" s="21"/>
      <c r="H20" s="21"/>
    </row>
    <row r="21" spans="2:8">
      <c r="B21" s="21"/>
      <c r="C21" s="21"/>
      <c r="D21" s="21"/>
      <c r="E21" s="21"/>
      <c r="F21" s="21"/>
      <c r="G21" s="21"/>
      <c r="H21" s="21"/>
    </row>
    <row r="22" spans="2:8">
      <c r="B22" s="21"/>
      <c r="C22" s="21"/>
      <c r="D22" s="21"/>
      <c r="E22" s="21"/>
      <c r="F22" s="21"/>
      <c r="G22" s="21"/>
      <c r="H22" s="21"/>
    </row>
    <row r="23" spans="2:8">
      <c r="B23" s="21"/>
      <c r="C23" s="21"/>
      <c r="D23" s="21"/>
      <c r="E23" s="21"/>
      <c r="F23" s="21"/>
      <c r="G23" s="21"/>
      <c r="H23" s="21"/>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H24"/>
  <sheetViews>
    <sheetView workbookViewId="0">
      <selection activeCell="E11" sqref="E11"/>
    </sheetView>
  </sheetViews>
  <sheetFormatPr defaultRowHeight="15"/>
  <cols>
    <col min="1" max="1" width="21.42578125" customWidth="1"/>
    <col min="2" max="8" width="14.42578125" customWidth="1"/>
  </cols>
  <sheetData>
    <row r="1" spans="1:8">
      <c r="A1" t="s">
        <v>271</v>
      </c>
      <c r="B1" t="s">
        <v>111</v>
      </c>
      <c r="C1" t="s">
        <v>112</v>
      </c>
      <c r="D1" t="s">
        <v>113</v>
      </c>
      <c r="E1" t="s">
        <v>114</v>
      </c>
      <c r="F1" t="s">
        <v>115</v>
      </c>
      <c r="G1" t="s">
        <v>257</v>
      </c>
      <c r="H1" t="s">
        <v>258</v>
      </c>
    </row>
    <row r="2" spans="1:8">
      <c r="A2" t="s">
        <v>219</v>
      </c>
      <c r="B2">
        <f>IFERROR(calcs!C83,0)</f>
        <v>3.0156650473713915E-4</v>
      </c>
      <c r="C2">
        <f>IFERROR(calcs!D83,0)</f>
        <v>7.0213473556835903E-5</v>
      </c>
      <c r="D2">
        <f>IFERROR(calcs!E83,0)</f>
        <v>9.3322264163941547E-5</v>
      </c>
      <c r="E2">
        <f>IFERROR(calcs!F83,0)</f>
        <v>8.9590243650741159E-5</v>
      </c>
      <c r="F2">
        <f>IFERROR(calcs!G83,0)</f>
        <v>1.5342859945717928E-4</v>
      </c>
      <c r="G2">
        <f>IFERROR(calcs!H83,0)</f>
        <v>1.1549320628198341E-4</v>
      </c>
      <c r="H2">
        <f>IFERROR(calcs!I83,0)</f>
        <v>8.379890176963306E-5</v>
      </c>
    </row>
    <row r="3" spans="1:8">
      <c r="A3" t="s">
        <v>134</v>
      </c>
      <c r="B3">
        <f>IFERROR(calcs!C84,0)</f>
        <v>1.6283396676658034E-3</v>
      </c>
      <c r="C3">
        <f>IFERROR(calcs!D84,0)</f>
        <v>7.7263481523290941E-4</v>
      </c>
      <c r="D3">
        <f>IFERROR(calcs!E84,0)</f>
        <v>6.720672001062452E-4</v>
      </c>
      <c r="E3">
        <f>IFERROR(calcs!F84,0)</f>
        <v>7.5059325437243547E-4</v>
      </c>
      <c r="F3">
        <f>IFERROR(calcs!G84,0)</f>
        <v>0</v>
      </c>
      <c r="G3">
        <f>IFERROR(calcs!H84,0)</f>
        <v>6.8755018426906603E-4</v>
      </c>
      <c r="H3">
        <f>IFERROR(calcs!I84,0)</f>
        <v>0</v>
      </c>
    </row>
    <row r="4" spans="1:8">
      <c r="A4" t="s">
        <v>131</v>
      </c>
      <c r="B4">
        <f>IFERROR(calcs!C85,0)</f>
        <v>2.9962432880267732E-4</v>
      </c>
      <c r="C4">
        <f>IFERROR(calcs!D85,0)</f>
        <v>9.3239985476639982E-5</v>
      </c>
      <c r="D4">
        <f>IFERROR(calcs!E85,0)</f>
        <v>9.3239985476639982E-5</v>
      </c>
      <c r="E4">
        <f>IFERROR(calcs!F85,0)</f>
        <v>9.3239985476639982E-5</v>
      </c>
      <c r="F4">
        <f>IFERROR(calcs!G85,0)</f>
        <v>0</v>
      </c>
      <c r="G4">
        <f>IFERROR(calcs!H85,0)</f>
        <v>0</v>
      </c>
      <c r="H4">
        <f>IFERROR(calcs!I85,0)</f>
        <v>2.7971995642991991E-4</v>
      </c>
    </row>
    <row r="5" spans="1:8">
      <c r="A5" t="s">
        <v>220</v>
      </c>
      <c r="B5">
        <f>IFERROR(calcs!C86,0)</f>
        <v>1.0840496025738076E-2</v>
      </c>
      <c r="C5">
        <f>IFERROR(calcs!D86,0)</f>
        <v>3.3734500000000001E-3</v>
      </c>
      <c r="D5">
        <f>IFERROR(calcs!E86,0)</f>
        <v>3.3734500000000001E-3</v>
      </c>
      <c r="E5">
        <f>IFERROR(calcs!F86,0)</f>
        <v>3.3734500000000001E-3</v>
      </c>
      <c r="F5">
        <f>IFERROR(calcs!G86,0)</f>
        <v>0</v>
      </c>
      <c r="G5">
        <f>IFERROR(calcs!H86,0)</f>
        <v>0</v>
      </c>
      <c r="H5">
        <f>IFERROR(calcs!I86,0)</f>
        <v>1.0120349999999998E-2</v>
      </c>
    </row>
    <row r="6" spans="1:8">
      <c r="A6" t="s">
        <v>221</v>
      </c>
      <c r="B6">
        <f>IFERROR(calcs!C87,0)</f>
        <v>1.5610349625283874E-2</v>
      </c>
      <c r="C6">
        <f>IFERROR(calcs!D87,0)</f>
        <v>4.8577789999999996E-3</v>
      </c>
      <c r="D6">
        <f>IFERROR(calcs!E87,0)</f>
        <v>4.8577789999999996E-3</v>
      </c>
      <c r="E6">
        <f>IFERROR(calcs!F87,0)</f>
        <v>4.8577789999999996E-3</v>
      </c>
      <c r="F6">
        <f>IFERROR(calcs!G87,0)</f>
        <v>0</v>
      </c>
      <c r="G6">
        <f>IFERROR(calcs!H87,0)</f>
        <v>0</v>
      </c>
      <c r="H6">
        <f>IFERROR(calcs!I87,0)</f>
        <v>1.4573336999999997E-2</v>
      </c>
    </row>
    <row r="7" spans="1:8">
      <c r="A7" t="s">
        <v>222</v>
      </c>
      <c r="B7">
        <f>IFERROR(calcs!C88,0)</f>
        <v>0</v>
      </c>
      <c r="C7">
        <f>IFERROR(calcs!D88,0)</f>
        <v>0</v>
      </c>
      <c r="D7">
        <f>IFERROR(calcs!E88,0)</f>
        <v>0</v>
      </c>
      <c r="E7">
        <f>IFERROR(calcs!F88,0)</f>
        <v>0</v>
      </c>
      <c r="F7">
        <f>IFERROR(calcs!G88,0)</f>
        <v>0</v>
      </c>
      <c r="G7">
        <f>IFERROR(calcs!H88,0)</f>
        <v>0</v>
      </c>
      <c r="H7">
        <f>IFERROR(calcs!I88,0)</f>
        <v>0</v>
      </c>
    </row>
    <row r="8" spans="1:8">
      <c r="D8" s="30"/>
    </row>
    <row r="10" spans="1:8">
      <c r="C10" s="30"/>
      <c r="D10" s="30"/>
      <c r="E10" s="30"/>
      <c r="G10" s="30"/>
      <c r="H10" s="30"/>
    </row>
    <row r="11" spans="1:8">
      <c r="E11" s="30"/>
    </row>
    <row r="12" spans="1:8">
      <c r="C12" s="30"/>
      <c r="D12" s="30"/>
      <c r="E12" s="30"/>
    </row>
    <row r="13" spans="1:8">
      <c r="F13" s="21"/>
    </row>
    <row r="18" spans="2:8">
      <c r="B18" s="21"/>
      <c r="C18" s="21"/>
      <c r="D18" s="21"/>
      <c r="E18" s="21"/>
      <c r="F18" s="21"/>
      <c r="G18" s="21"/>
      <c r="H18" s="21"/>
    </row>
    <row r="19" spans="2:8">
      <c r="B19" s="21"/>
      <c r="C19" s="21"/>
      <c r="D19" s="21"/>
      <c r="E19" s="21"/>
      <c r="F19" s="21"/>
      <c r="G19" s="21"/>
      <c r="H19" s="21"/>
    </row>
    <row r="20" spans="2:8">
      <c r="B20" s="21"/>
      <c r="C20" s="21"/>
      <c r="D20" s="21"/>
      <c r="E20" s="21"/>
      <c r="F20" s="21"/>
      <c r="G20" s="21"/>
      <c r="H20" s="21"/>
    </row>
    <row r="21" spans="2:8">
      <c r="B21" s="21"/>
      <c r="C21" s="21"/>
      <c r="D21" s="21"/>
      <c r="E21" s="21"/>
      <c r="F21" s="21"/>
      <c r="G21" s="21"/>
      <c r="H21" s="21"/>
    </row>
    <row r="22" spans="2:8">
      <c r="B22" s="21"/>
      <c r="C22" s="21"/>
      <c r="D22" s="21"/>
      <c r="E22" s="21"/>
      <c r="F22" s="21"/>
      <c r="G22" s="21"/>
      <c r="H22" s="21"/>
    </row>
    <row r="23" spans="2:8">
      <c r="B23" s="21"/>
      <c r="C23" s="21"/>
      <c r="D23" s="21"/>
      <c r="E23" s="21"/>
      <c r="F23" s="21"/>
      <c r="G23" s="21"/>
      <c r="H23" s="21"/>
    </row>
    <row r="24" spans="2:8">
      <c r="B24" s="21"/>
      <c r="C24" s="21"/>
      <c r="D24" s="21"/>
      <c r="E24" s="21"/>
      <c r="F24" s="21"/>
      <c r="G24" s="21"/>
      <c r="H24" s="2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2</vt:i4>
      </vt:variant>
    </vt:vector>
  </HeadingPairs>
  <TitlesOfParts>
    <vt:vector size="49" baseType="lpstr">
      <vt:lpstr>About</vt:lpstr>
      <vt:lpstr>source data&gt;</vt:lpstr>
      <vt:lpstr>EPA_Table 3-13</vt:lpstr>
      <vt:lpstr>AVLo-passengers</vt:lpstr>
      <vt:lpstr>AVLo-freight</vt:lpstr>
      <vt:lpstr>PEI-TFPEI-HDVs</vt:lpstr>
      <vt:lpstr>AEO 2023 7</vt:lpstr>
      <vt:lpstr>AEO 2023 35</vt:lpstr>
      <vt:lpstr>AEO 2023 36</vt:lpstr>
      <vt:lpstr>AEO 2023 37</vt:lpstr>
      <vt:lpstr>AEO 2023 41</vt:lpstr>
      <vt:lpstr>AEO 2023 43</vt:lpstr>
      <vt:lpstr>AEO 2023 46</vt:lpstr>
      <vt:lpstr>AEO 2023 47</vt:lpstr>
      <vt:lpstr>AEO 2023 48</vt:lpstr>
      <vt:lpstr>AEO 2023 49</vt:lpstr>
      <vt:lpstr>AEO 2025 Table 7</vt:lpstr>
      <vt:lpstr>AEO 2025 Table 7 Alt T</vt:lpstr>
      <vt:lpstr>AEO 2025 Table 35</vt:lpstr>
      <vt:lpstr>AEO 2025 Table 36 Alt T</vt:lpstr>
      <vt:lpstr>AEO 2025 Table 37</vt:lpstr>
      <vt:lpstr>AEO 2025 Table 41</vt:lpstr>
      <vt:lpstr>AEO 2025 Table 49</vt:lpstr>
      <vt:lpstr>AEO 2025 Table 43</vt:lpstr>
      <vt:lpstr>AEO 2026 Table 7</vt:lpstr>
      <vt:lpstr>AEO 2026 Table 35</vt:lpstr>
      <vt:lpstr>AEO 2026 Table 37</vt:lpstr>
      <vt:lpstr>AEO 2026 Table 41</vt:lpstr>
      <vt:lpstr>AEO 2026 Table 43</vt:lpstr>
      <vt:lpstr>AEO 2026 Table 46</vt:lpstr>
      <vt:lpstr>AEO 2026 Table 49</vt:lpstr>
      <vt:lpstr>SYVbT-passenger</vt:lpstr>
      <vt:lpstr>SYVbT-freight</vt:lpstr>
      <vt:lpstr>BAADTbVT-passenger</vt:lpstr>
      <vt:lpstr>BAADTbVT-frgt</vt:lpstr>
      <vt:lpstr>NTS 1-40</vt:lpstr>
      <vt:lpstr>NRBS 40</vt:lpstr>
      <vt:lpstr>Annual Service Data_rail only</vt:lpstr>
      <vt:lpstr>EPA-Annex3-Table A94</vt:lpstr>
      <vt:lpstr>Fuel and Energy_rail only</vt:lpstr>
      <vt:lpstr>calcs&gt;</vt:lpstr>
      <vt:lpstr>Calibration Adjustments</vt:lpstr>
      <vt:lpstr>psgr rail calcs</vt:lpstr>
      <vt:lpstr>Calculations Etc</vt:lpstr>
      <vt:lpstr>calcs</vt:lpstr>
      <vt:lpstr>SYFAFE-psgr</vt:lpstr>
      <vt:lpstr>SYFAFE-frgt</vt:lpstr>
      <vt:lpstr>billion</vt:lpstr>
      <vt:lpstr>trillion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2017-06-26T22:04:22Z</dcterms:created>
  <dcterms:modified xsi:type="dcterms:W3CDTF">2026-09-04T16:04:41Z</dcterms:modified>
</cp:coreProperties>
</file>