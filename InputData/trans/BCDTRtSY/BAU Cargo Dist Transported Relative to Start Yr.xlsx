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58543191-6853-4523-896C-376693253EAB}" xr6:coauthVersionLast="47" xr6:coauthVersionMax="47" xr10:uidLastSave="{00000000-0000-0000-0000-000000000000}"/>
  <bookViews>
    <workbookView xWindow="-120" yWindow="-120" windowWidth="29040" windowHeight="17520" firstSheet="15" activeTab="21" xr2:uid="{09CD4F42-9754-4725-8CF6-49C65C64E6C5}"/>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16" i="67" l="1"/>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AH19" i="64" l="1"/>
  <c r="AH52" i="64"/>
  <c r="AH51" i="64"/>
  <c r="F6" i="67"/>
  <c r="G6" i="67"/>
  <c r="H6" i="67"/>
  <c r="I6" i="67"/>
  <c r="J6" i="67"/>
  <c r="K6" i="67"/>
  <c r="L6" i="67"/>
  <c r="M6" i="67"/>
  <c r="N6" i="67"/>
  <c r="O6" i="67"/>
  <c r="P6" i="67"/>
  <c r="Q6" i="67"/>
  <c r="R6" i="67"/>
  <c r="S6" i="67"/>
  <c r="T6" i="67"/>
  <c r="U6" i="67"/>
  <c r="V6" i="67"/>
  <c r="W6" i="67"/>
  <c r="X6" i="67"/>
  <c r="Y6" i="67"/>
  <c r="Z6" i="67"/>
  <c r="AA6" i="67"/>
  <c r="AB6" i="67"/>
  <c r="AC6" i="67"/>
  <c r="AD6" i="67"/>
  <c r="E6" i="67"/>
  <c r="E5" i="67"/>
  <c r="E14" i="67" s="1"/>
  <c r="F5" i="67"/>
  <c r="F14" i="67" s="1"/>
  <c r="G5" i="67"/>
  <c r="G14" i="67" s="1"/>
  <c r="H5" i="67"/>
  <c r="I5" i="67"/>
  <c r="J5" i="67"/>
  <c r="K5" i="67"/>
  <c r="L5" i="67"/>
  <c r="M5" i="67"/>
  <c r="M14" i="67" s="1"/>
  <c r="N5" i="67"/>
  <c r="N14" i="67" s="1"/>
  <c r="O5" i="67"/>
  <c r="O14" i="67" s="1"/>
  <c r="P5" i="67"/>
  <c r="P14" i="67" s="1"/>
  <c r="Q5" i="67"/>
  <c r="R5" i="67"/>
  <c r="S5" i="67"/>
  <c r="T5" i="67"/>
  <c r="U5" i="67"/>
  <c r="U14" i="67" s="1"/>
  <c r="V5" i="67"/>
  <c r="V14" i="67" s="1"/>
  <c r="W5" i="67"/>
  <c r="W14" i="67" s="1"/>
  <c r="X5" i="67"/>
  <c r="X14" i="67" s="1"/>
  <c r="Y5" i="67"/>
  <c r="Z5" i="67"/>
  <c r="AA5" i="67"/>
  <c r="AB5" i="67"/>
  <c r="AC5" i="67"/>
  <c r="AC14" i="67" s="1"/>
  <c r="AD5" i="67"/>
  <c r="AD14" i="67" s="1"/>
  <c r="D5" i="67"/>
  <c r="D14" i="67" s="1"/>
  <c r="H14" i="67"/>
  <c r="I14" i="67"/>
  <c r="J14" i="67"/>
  <c r="K14" i="67"/>
  <c r="L14" i="67"/>
  <c r="Q14" i="67"/>
  <c r="R14" i="67"/>
  <c r="S14" i="67"/>
  <c r="T14" i="67"/>
  <c r="Y14" i="67"/>
  <c r="Z14" i="67"/>
  <c r="AA14" i="67"/>
  <c r="AB14" i="67"/>
  <c r="C14" i="67"/>
  <c r="E3" i="67"/>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G4" i="57" l="1"/>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<sst xmlns="http://schemas.openxmlformats.org/spreadsheetml/2006/main" count="7264" uniqueCount="3776">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</sst>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17">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6" fillId="28" borderId="0" xfId="1" applyFont="1" applyFill="1"/>
    <xf numFmtId="0" fontId="4" fillId="28" borderId="4" xfId="208" applyFont="1" applyFill="1">
      <alignment wrapText="1"/>
    </xf>
    <xf numFmtId="4" fontId="4" fillId="28" borderId="4" xfId="208" applyNumberFormat="1" applyFont="1" applyFill="1" applyAlignment="1">
      <alignment horizontal="right" wrapText="1"/>
    </xf>
    <xf numFmtId="164" fontId="4" fillId="28" borderId="4" xfId="208" applyNumberFormat="1" applyFont="1" applyFill="1" applyAlignment="1">
      <alignment horizontal="right" wrapText="1"/>
    </xf>
    <xf numFmtId="0" fontId="4" fillId="28" borderId="0" xfId="1" applyFont="1" applyFill="1"/>
    <xf numFmtId="10" fontId="0" fillId="28" borderId="0" xfId="0" applyNumberFormat="1" applyFill="1"/>
    <xf numFmtId="0" fontId="0" fillId="62" borderId="0" xfId="0" applyFill="1"/>
    <xf numFmtId="10" fontId="0" fillId="62" borderId="0" xfId="0" applyNumberFormat="1" applyFill="1"/>
    <xf numFmtId="9" fontId="0" fillId="62" borderId="0" xfId="207" applyFont="1" applyFill="1"/>
    <xf numFmtId="0" fontId="0" fillId="0" borderId="0" xfId="0"/>
    <xf numFmtId="0" fontId="61" fillId="0" borderId="0" xfId="0" applyFont="1"/>
    <xf numFmtId="0" fontId="61" fillId="0" borderId="2" xfId="2" applyFont="1">
      <alignment wrapText="1"/>
    </xf>
    <xf numFmtId="0" fontId="0" fillId="0" borderId="2" xfId="0" applyBorder="1"/>
    <xf numFmtId="0" fontId="68" fillId="0" borderId="2" xfId="223" applyFont="1">
      <alignment wrapText="1"/>
    </xf>
    <xf numFmtId="0" fontId="3" fillId="0" borderId="2" xfId="1" applyBorder="1"/>
    <xf numFmtId="0" fontId="3" fillId="0" borderId="0" xfId="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heetViews>
  <sheetFormatPr defaultRowHeight="15"/>
  <cols>
    <col min="1" max="1" width="13.42578125" customWidth="1"/>
    <col min="2" max="2" width="107.42578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58" workbookViewId="0">
      <selection activeCell="D62" sqref="D62"/>
    </sheetView>
  </sheetViews>
  <sheetFormatPr defaultColWidth="8.7109375" defaultRowHeight="15"/>
  <cols>
    <col min="1" max="1" width="21.42578125" hidden="1" customWidth="1"/>
    <col min="2" max="2" width="46.7109375" customWidth="1"/>
    <col min="3" max="32" width="7.8554687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s="8" customFormat="1" ht="15" customHeight="1">
      <c r="A65" s="101" t="s">
        <v>33</v>
      </c>
      <c r="B65" s="102" t="s">
        <v>8</v>
      </c>
      <c r="C65" s="103">
        <v>2.8028080000000002</v>
      </c>
      <c r="D65" s="103">
        <v>3.008168</v>
      </c>
      <c r="E65" s="103">
        <v>3.0512030000000001</v>
      </c>
      <c r="F65" s="103">
        <v>3.0571109999999999</v>
      </c>
      <c r="G65" s="103">
        <v>3.095898</v>
      </c>
      <c r="H65" s="103">
        <v>3.1342270000000001</v>
      </c>
      <c r="I65" s="103">
        <v>3.164552</v>
      </c>
      <c r="J65" s="103">
        <v>3.1871079999999998</v>
      </c>
      <c r="K65" s="103">
        <v>3.2029380000000001</v>
      </c>
      <c r="L65" s="103">
        <v>3.2187830000000002</v>
      </c>
      <c r="M65" s="103">
        <v>3.2439369999999998</v>
      </c>
      <c r="N65" s="103">
        <v>3.270448</v>
      </c>
      <c r="O65" s="103">
        <v>3.294403</v>
      </c>
      <c r="P65" s="103">
        <v>3.322924</v>
      </c>
      <c r="Q65" s="103">
        <v>3.3598249999999998</v>
      </c>
      <c r="R65" s="103">
        <v>3.4038949999999999</v>
      </c>
      <c r="S65" s="103">
        <v>3.4501719999999998</v>
      </c>
      <c r="T65" s="103">
        <v>3.498488</v>
      </c>
      <c r="U65" s="103">
        <v>3.5546440000000001</v>
      </c>
      <c r="V65" s="103">
        <v>3.608403</v>
      </c>
      <c r="W65" s="103">
        <v>3.6630980000000002</v>
      </c>
      <c r="X65" s="103">
        <v>3.7186249999999998</v>
      </c>
      <c r="Y65" s="103">
        <v>3.7740100000000001</v>
      </c>
      <c r="Z65" s="103">
        <v>3.8279190000000001</v>
      </c>
      <c r="AA65" s="103">
        <v>3.8804340000000002</v>
      </c>
      <c r="AB65" s="103">
        <v>3.9367380000000001</v>
      </c>
      <c r="AC65" s="103">
        <v>3.9936039999999999</v>
      </c>
      <c r="AD65" s="103">
        <v>4.0496509999999999</v>
      </c>
      <c r="AE65" s="103">
        <v>4.112158</v>
      </c>
      <c r="AF65" s="104">
        <v>1.3783999999999999E-2</v>
      </c>
      <c r="AG65" s="105"/>
    </row>
    <row r="66" spans="1:33" ht="15" customHeight="1">
      <c r="A66" s="39"/>
      <c r="B66" s="48"/>
      <c r="C66" s="49"/>
      <c r="D66" s="81"/>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heetViews>
  <sheetFormatPr defaultRowHeight="15"/>
  <cols>
    <col min="1" max="1" width="55.285156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heetViews>
  <sheetFormatPr defaultColWidth="8.7109375" defaultRowHeight="15"/>
  <cols>
    <col min="1" max="1" width="21.42578125" hidden="1" customWidth="1"/>
    <col min="2" max="2" width="46.710937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12" t="s">
        <v>397</v>
      </c>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11"/>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c r="AD500" s="110"/>
      <c r="AE500" s="110"/>
      <c r="AF500" s="110"/>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c r="AD1071" s="110"/>
      <c r="AE1071" s="110"/>
      <c r="AF1071" s="110"/>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10"/>
      <c r="C1169" s="110"/>
      <c r="D1169" s="110"/>
      <c r="E1169" s="110"/>
      <c r="F1169" s="110"/>
      <c r="G1169" s="110"/>
      <c r="H1169" s="110"/>
      <c r="I1169" s="110"/>
      <c r="J1169" s="110"/>
      <c r="K1169" s="110"/>
      <c r="L1169" s="110"/>
      <c r="M1169" s="110"/>
      <c r="N1169" s="110"/>
      <c r="O1169" s="110"/>
      <c r="P1169" s="110"/>
      <c r="Q1169" s="110"/>
      <c r="R1169" s="110"/>
      <c r="S1169" s="110"/>
      <c r="T1169" s="110"/>
      <c r="U1169" s="110"/>
      <c r="V1169" s="110"/>
      <c r="W1169" s="110"/>
      <c r="X1169" s="110"/>
      <c r="Y1169" s="110"/>
      <c r="Z1169" s="110"/>
      <c r="AA1169" s="110"/>
      <c r="AB1169" s="110"/>
      <c r="AC1169" s="110"/>
      <c r="AD1169" s="110"/>
      <c r="AE1169" s="110"/>
      <c r="AF1169" s="110"/>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10"/>
      <c r="C1269" s="110"/>
      <c r="D1269" s="110"/>
      <c r="E1269" s="110"/>
      <c r="F1269" s="110"/>
      <c r="G1269" s="110"/>
      <c r="H1269" s="110"/>
      <c r="I1269" s="110"/>
      <c r="J1269" s="110"/>
      <c r="K1269" s="110"/>
      <c r="L1269" s="110"/>
      <c r="M1269" s="110"/>
      <c r="N1269" s="110"/>
      <c r="O1269" s="110"/>
      <c r="P1269" s="110"/>
      <c r="Q1269" s="110"/>
      <c r="R1269" s="110"/>
      <c r="S1269" s="110"/>
      <c r="T1269" s="110"/>
      <c r="U1269" s="110"/>
      <c r="V1269" s="110"/>
      <c r="W1269" s="110"/>
      <c r="X1269" s="110"/>
      <c r="Y1269" s="110"/>
      <c r="Z1269" s="110"/>
      <c r="AA1269" s="110"/>
      <c r="AB1269" s="110"/>
      <c r="AC1269" s="110"/>
      <c r="AD1269" s="110"/>
      <c r="AE1269" s="110"/>
      <c r="AF1269" s="110"/>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10"/>
      <c r="C1484" s="110"/>
      <c r="D1484" s="110"/>
      <c r="E1484" s="110"/>
      <c r="F1484" s="110"/>
      <c r="G1484" s="110"/>
      <c r="H1484" s="110"/>
      <c r="I1484" s="110"/>
      <c r="J1484" s="110"/>
      <c r="K1484" s="110"/>
      <c r="L1484" s="110"/>
      <c r="M1484" s="110"/>
      <c r="N1484" s="110"/>
      <c r="O1484" s="110"/>
      <c r="P1484" s="110"/>
      <c r="Q1484" s="110"/>
      <c r="R1484" s="110"/>
      <c r="S1484" s="110"/>
      <c r="T1484" s="110"/>
      <c r="U1484" s="110"/>
      <c r="V1484" s="110"/>
      <c r="W1484" s="110"/>
      <c r="X1484" s="110"/>
      <c r="Y1484" s="110"/>
      <c r="Z1484" s="110"/>
      <c r="AA1484" s="110"/>
      <c r="AB1484" s="110"/>
      <c r="AC1484" s="110"/>
      <c r="AD1484" s="110"/>
      <c r="AE1484" s="110"/>
      <c r="AF1484" s="110"/>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10"/>
      <c r="C1713" s="110"/>
      <c r="D1713" s="110"/>
      <c r="E1713" s="110"/>
      <c r="F1713" s="110"/>
      <c r="G1713" s="110"/>
      <c r="H1713" s="110"/>
      <c r="I1713" s="110"/>
      <c r="J1713" s="110"/>
      <c r="K1713" s="110"/>
      <c r="L1713" s="110"/>
      <c r="M1713" s="110"/>
      <c r="N1713" s="110"/>
      <c r="O1713" s="110"/>
      <c r="P1713" s="110"/>
      <c r="Q1713" s="110"/>
      <c r="R1713" s="110"/>
      <c r="S1713" s="110"/>
      <c r="T1713" s="110"/>
      <c r="U1713" s="110"/>
      <c r="V1713" s="110"/>
      <c r="W1713" s="110"/>
      <c r="X1713" s="110"/>
      <c r="Y1713" s="110"/>
      <c r="Z1713" s="110"/>
      <c r="AA1713" s="110"/>
      <c r="AB1713" s="110"/>
      <c r="AC1713" s="110"/>
      <c r="AD1713" s="110"/>
      <c r="AE1713" s="110"/>
      <c r="AF1713" s="110"/>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10"/>
      <c r="C1990" s="110"/>
      <c r="D1990" s="110"/>
      <c r="E1990" s="110"/>
      <c r="F1990" s="110"/>
      <c r="G1990" s="110"/>
      <c r="H1990" s="110"/>
      <c r="I1990" s="110"/>
      <c r="J1990" s="110"/>
      <c r="K1990" s="110"/>
      <c r="L1990" s="110"/>
      <c r="M1990" s="110"/>
      <c r="N1990" s="110"/>
      <c r="O1990" s="110"/>
      <c r="P1990" s="110"/>
      <c r="Q1990" s="110"/>
      <c r="R1990" s="110"/>
      <c r="S1990" s="110"/>
      <c r="T1990" s="110"/>
      <c r="U1990" s="110"/>
      <c r="V1990" s="110"/>
      <c r="W1990" s="110"/>
      <c r="X1990" s="110"/>
      <c r="Y1990" s="110"/>
      <c r="Z1990" s="110"/>
      <c r="AA1990" s="110"/>
      <c r="AB1990" s="110"/>
      <c r="AC1990" s="110"/>
      <c r="AD1990" s="110"/>
      <c r="AE1990" s="110"/>
      <c r="AF1990" s="110"/>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10"/>
      <c r="C2325" s="110"/>
      <c r="D2325" s="110"/>
      <c r="E2325" s="110"/>
      <c r="F2325" s="110"/>
      <c r="G2325" s="110"/>
      <c r="H2325" s="110"/>
      <c r="I2325" s="110"/>
      <c r="J2325" s="110"/>
      <c r="K2325" s="110"/>
      <c r="L2325" s="110"/>
      <c r="M2325" s="110"/>
      <c r="N2325" s="110"/>
      <c r="O2325" s="110"/>
      <c r="P2325" s="110"/>
      <c r="Q2325" s="110"/>
      <c r="R2325" s="110"/>
      <c r="S2325" s="110"/>
      <c r="T2325" s="110"/>
      <c r="U2325" s="110"/>
      <c r="V2325" s="110"/>
      <c r="W2325" s="110"/>
      <c r="X2325" s="110"/>
      <c r="Y2325" s="110"/>
      <c r="Z2325" s="110"/>
      <c r="AA2325" s="110"/>
      <c r="AB2325" s="110"/>
      <c r="AC2325" s="110"/>
      <c r="AD2325" s="110"/>
      <c r="AE2325" s="110"/>
      <c r="AF2325" s="110"/>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10"/>
      <c r="C2645" s="110"/>
      <c r="D2645" s="110"/>
      <c r="E2645" s="110"/>
      <c r="F2645" s="110"/>
      <c r="G2645" s="110"/>
      <c r="H2645" s="110"/>
      <c r="I2645" s="110"/>
      <c r="J2645" s="110"/>
      <c r="K2645" s="110"/>
      <c r="L2645" s="110"/>
      <c r="M2645" s="110"/>
      <c r="N2645" s="110"/>
      <c r="O2645" s="110"/>
      <c r="P2645" s="110"/>
      <c r="Q2645" s="110"/>
      <c r="R2645" s="110"/>
      <c r="S2645" s="110"/>
      <c r="T2645" s="110"/>
      <c r="U2645" s="110"/>
      <c r="V2645" s="110"/>
      <c r="W2645" s="110"/>
      <c r="X2645" s="110"/>
      <c r="Y2645" s="110"/>
      <c r="Z2645" s="110"/>
      <c r="AA2645" s="110"/>
      <c r="AB2645" s="110"/>
      <c r="AC2645" s="110"/>
      <c r="AD2645" s="110"/>
      <c r="AE2645" s="110"/>
      <c r="AF2645" s="110"/>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10"/>
      <c r="C2971" s="110"/>
      <c r="D2971" s="110"/>
      <c r="E2971" s="110"/>
      <c r="F2971" s="110"/>
      <c r="G2971" s="110"/>
      <c r="H2971" s="110"/>
      <c r="I2971" s="110"/>
      <c r="J2971" s="110"/>
      <c r="K2971" s="110"/>
      <c r="L2971" s="110"/>
      <c r="M2971" s="110"/>
      <c r="N2971" s="110"/>
      <c r="O2971" s="110"/>
      <c r="P2971" s="110"/>
      <c r="Q2971" s="110"/>
      <c r="R2971" s="110"/>
      <c r="S2971" s="110"/>
      <c r="T2971" s="110"/>
      <c r="U2971" s="110"/>
      <c r="V2971" s="110"/>
      <c r="W2971" s="110"/>
      <c r="X2971" s="110"/>
      <c r="Y2971" s="110"/>
      <c r="Z2971" s="110"/>
      <c r="AA2971" s="110"/>
      <c r="AB2971" s="110"/>
      <c r="AC2971" s="110"/>
      <c r="AD2971" s="110"/>
      <c r="AE2971" s="110"/>
      <c r="AF2971" s="110"/>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10"/>
      <c r="C3293" s="110"/>
      <c r="D3293" s="110"/>
      <c r="E3293" s="110"/>
      <c r="F3293" s="110"/>
      <c r="G3293" s="110"/>
      <c r="H3293" s="110"/>
      <c r="I3293" s="110"/>
      <c r="J3293" s="110"/>
      <c r="K3293" s="110"/>
      <c r="L3293" s="110"/>
      <c r="M3293" s="110"/>
      <c r="N3293" s="110"/>
      <c r="O3293" s="110"/>
      <c r="P3293" s="110"/>
      <c r="Q3293" s="110"/>
      <c r="R3293" s="110"/>
      <c r="S3293" s="110"/>
      <c r="T3293" s="110"/>
      <c r="U3293" s="110"/>
      <c r="V3293" s="110"/>
      <c r="W3293" s="110"/>
      <c r="X3293" s="110"/>
      <c r="Y3293" s="110"/>
      <c r="Z3293" s="110"/>
      <c r="AA3293" s="110"/>
      <c r="AB3293" s="110"/>
      <c r="AC3293" s="110"/>
      <c r="AD3293" s="110"/>
      <c r="AE3293" s="110"/>
      <c r="AF3293" s="110"/>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10"/>
      <c r="C3402" s="110"/>
      <c r="D3402" s="110"/>
      <c r="E3402" s="110"/>
      <c r="F3402" s="110"/>
      <c r="G3402" s="110"/>
      <c r="H3402" s="110"/>
      <c r="I3402" s="110"/>
      <c r="J3402" s="110"/>
      <c r="K3402" s="110"/>
      <c r="L3402" s="110"/>
      <c r="M3402" s="110"/>
      <c r="N3402" s="110"/>
      <c r="O3402" s="110"/>
      <c r="P3402" s="110"/>
      <c r="Q3402" s="110"/>
      <c r="R3402" s="110"/>
      <c r="S3402" s="110"/>
      <c r="T3402" s="110"/>
      <c r="U3402" s="110"/>
      <c r="V3402" s="110"/>
      <c r="W3402" s="110"/>
      <c r="X3402" s="110"/>
      <c r="Y3402" s="110"/>
      <c r="Z3402" s="110"/>
      <c r="AA3402" s="110"/>
      <c r="AB3402" s="110"/>
      <c r="AC3402" s="110"/>
      <c r="AD3402" s="110"/>
      <c r="AE3402" s="110"/>
      <c r="AF3402" s="110"/>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10"/>
      <c r="C3527" s="110"/>
      <c r="D3527" s="110"/>
      <c r="E3527" s="110"/>
      <c r="F3527" s="110"/>
      <c r="G3527" s="110"/>
      <c r="H3527" s="110"/>
      <c r="I3527" s="110"/>
      <c r="J3527" s="110"/>
      <c r="K3527" s="110"/>
      <c r="L3527" s="110"/>
      <c r="M3527" s="110"/>
      <c r="N3527" s="110"/>
      <c r="O3527" s="110"/>
      <c r="P3527" s="110"/>
      <c r="Q3527" s="110"/>
      <c r="R3527" s="110"/>
      <c r="S3527" s="110"/>
      <c r="T3527" s="110"/>
      <c r="U3527" s="110"/>
      <c r="V3527" s="110"/>
      <c r="W3527" s="110"/>
      <c r="X3527" s="110"/>
      <c r="Y3527" s="110"/>
      <c r="Z3527" s="110"/>
      <c r="AA3527" s="110"/>
      <c r="AB3527" s="110"/>
      <c r="AC3527" s="110"/>
      <c r="AD3527" s="110"/>
      <c r="AE3527" s="110"/>
      <c r="AF3527" s="110"/>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10"/>
      <c r="C3652" s="110"/>
      <c r="D3652" s="110"/>
      <c r="E3652" s="110"/>
      <c r="F3652" s="110"/>
      <c r="G3652" s="110"/>
      <c r="H3652" s="110"/>
      <c r="I3652" s="110"/>
      <c r="J3652" s="110"/>
      <c r="K3652" s="110"/>
      <c r="L3652" s="110"/>
      <c r="M3652" s="110"/>
      <c r="N3652" s="110"/>
      <c r="O3652" s="110"/>
      <c r="P3652" s="110"/>
      <c r="Q3652" s="110"/>
      <c r="R3652" s="110"/>
      <c r="S3652" s="110"/>
      <c r="T3652" s="110"/>
      <c r="U3652" s="110"/>
      <c r="V3652" s="110"/>
      <c r="W3652" s="110"/>
      <c r="X3652" s="110"/>
      <c r="Y3652" s="110"/>
      <c r="Z3652" s="110"/>
      <c r="AA3652" s="110"/>
      <c r="AB3652" s="110"/>
      <c r="AC3652" s="110"/>
      <c r="AD3652" s="110"/>
      <c r="AE3652" s="110"/>
      <c r="AF3652" s="110"/>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10"/>
      <c r="C3777" s="110"/>
      <c r="D3777" s="110"/>
      <c r="E3777" s="110"/>
      <c r="F3777" s="110"/>
      <c r="G3777" s="110"/>
      <c r="H3777" s="110"/>
      <c r="I3777" s="110"/>
      <c r="J3777" s="110"/>
      <c r="K3777" s="110"/>
      <c r="L3777" s="110"/>
      <c r="M3777" s="110"/>
      <c r="N3777" s="110"/>
      <c r="O3777" s="110"/>
      <c r="P3777" s="110"/>
      <c r="Q3777" s="110"/>
      <c r="R3777" s="110"/>
      <c r="S3777" s="110"/>
      <c r="T3777" s="110"/>
      <c r="U3777" s="110"/>
      <c r="V3777" s="110"/>
      <c r="W3777" s="110"/>
      <c r="X3777" s="110"/>
      <c r="Y3777" s="110"/>
      <c r="Z3777" s="110"/>
      <c r="AA3777" s="110"/>
      <c r="AB3777" s="110"/>
      <c r="AC3777" s="110"/>
      <c r="AD3777" s="110"/>
      <c r="AE3777" s="110"/>
      <c r="AF3777" s="110"/>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10"/>
      <c r="C3902" s="110"/>
      <c r="D3902" s="110"/>
      <c r="E3902" s="110"/>
      <c r="F3902" s="110"/>
      <c r="G3902" s="110"/>
      <c r="H3902" s="110"/>
      <c r="I3902" s="110"/>
      <c r="J3902" s="110"/>
      <c r="K3902" s="110"/>
      <c r="L3902" s="110"/>
      <c r="M3902" s="110"/>
      <c r="N3902" s="110"/>
      <c r="O3902" s="110"/>
      <c r="P3902" s="110"/>
      <c r="Q3902" s="110"/>
      <c r="R3902" s="110"/>
      <c r="S3902" s="110"/>
      <c r="T3902" s="110"/>
      <c r="U3902" s="110"/>
      <c r="V3902" s="110"/>
      <c r="W3902" s="110"/>
      <c r="X3902" s="110"/>
      <c r="Y3902" s="110"/>
      <c r="Z3902" s="110"/>
      <c r="AA3902" s="110"/>
      <c r="AB3902" s="110"/>
      <c r="AC3902" s="110"/>
      <c r="AD3902" s="110"/>
      <c r="AE3902" s="110"/>
      <c r="AF3902" s="110"/>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10"/>
      <c r="C4027" s="110"/>
      <c r="D4027" s="110"/>
      <c r="E4027" s="110"/>
      <c r="F4027" s="110"/>
      <c r="G4027" s="110"/>
      <c r="H4027" s="110"/>
      <c r="I4027" s="110"/>
      <c r="J4027" s="110"/>
      <c r="K4027" s="110"/>
      <c r="L4027" s="110"/>
      <c r="M4027" s="110"/>
      <c r="N4027" s="110"/>
      <c r="O4027" s="110"/>
      <c r="P4027" s="110"/>
      <c r="Q4027" s="110"/>
      <c r="R4027" s="110"/>
      <c r="S4027" s="110"/>
      <c r="T4027" s="110"/>
      <c r="U4027" s="110"/>
      <c r="V4027" s="110"/>
      <c r="W4027" s="110"/>
      <c r="X4027" s="110"/>
      <c r="Y4027" s="110"/>
      <c r="Z4027" s="110"/>
      <c r="AA4027" s="110"/>
      <c r="AB4027" s="110"/>
      <c r="AC4027" s="110"/>
      <c r="AD4027" s="110"/>
      <c r="AE4027" s="110"/>
      <c r="AF4027" s="110"/>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10"/>
      <c r="C4152" s="110"/>
      <c r="D4152" s="110"/>
      <c r="E4152" s="110"/>
      <c r="F4152" s="110"/>
      <c r="G4152" s="110"/>
      <c r="H4152" s="110"/>
      <c r="I4152" s="110"/>
      <c r="J4152" s="110"/>
      <c r="K4152" s="110"/>
      <c r="L4152" s="110"/>
      <c r="M4152" s="110"/>
      <c r="N4152" s="110"/>
      <c r="O4152" s="110"/>
      <c r="P4152" s="110"/>
      <c r="Q4152" s="110"/>
      <c r="R4152" s="110"/>
      <c r="S4152" s="110"/>
      <c r="T4152" s="110"/>
      <c r="U4152" s="110"/>
      <c r="V4152" s="110"/>
      <c r="W4152" s="110"/>
      <c r="X4152" s="110"/>
      <c r="Y4152" s="110"/>
      <c r="Z4152" s="110"/>
      <c r="AA4152" s="110"/>
      <c r="AB4152" s="110"/>
      <c r="AC4152" s="110"/>
      <c r="AD4152" s="110"/>
      <c r="AE4152" s="110"/>
      <c r="AF4152" s="110"/>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10"/>
      <c r="C4277" s="110"/>
      <c r="D4277" s="110"/>
      <c r="E4277" s="110"/>
      <c r="F4277" s="110"/>
      <c r="G4277" s="110"/>
      <c r="H4277" s="110"/>
      <c r="I4277" s="110"/>
      <c r="J4277" s="110"/>
      <c r="K4277" s="110"/>
      <c r="L4277" s="110"/>
      <c r="M4277" s="110"/>
      <c r="N4277" s="110"/>
      <c r="O4277" s="110"/>
      <c r="P4277" s="110"/>
      <c r="Q4277" s="110"/>
      <c r="R4277" s="110"/>
      <c r="S4277" s="110"/>
      <c r="T4277" s="110"/>
      <c r="U4277" s="110"/>
      <c r="V4277" s="110"/>
      <c r="W4277" s="110"/>
      <c r="X4277" s="110"/>
      <c r="Y4277" s="110"/>
      <c r="Z4277" s="110"/>
      <c r="AA4277" s="110"/>
      <c r="AB4277" s="110"/>
      <c r="AC4277" s="110"/>
      <c r="AD4277" s="110"/>
      <c r="AE4277" s="110"/>
      <c r="AF4277" s="110"/>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10"/>
      <c r="C4402" s="110"/>
      <c r="D4402" s="110"/>
      <c r="E4402" s="110"/>
      <c r="F4402" s="110"/>
      <c r="G4402" s="110"/>
      <c r="H4402" s="110"/>
      <c r="I4402" s="110"/>
      <c r="J4402" s="110"/>
      <c r="K4402" s="110"/>
      <c r="L4402" s="110"/>
      <c r="M4402" s="110"/>
      <c r="N4402" s="110"/>
      <c r="O4402" s="110"/>
      <c r="P4402" s="110"/>
      <c r="Q4402" s="110"/>
      <c r="R4402" s="110"/>
      <c r="S4402" s="110"/>
      <c r="T4402" s="110"/>
      <c r="U4402" s="110"/>
      <c r="V4402" s="110"/>
      <c r="W4402" s="110"/>
      <c r="X4402" s="110"/>
      <c r="Y4402" s="110"/>
      <c r="Z4402" s="110"/>
      <c r="AA4402" s="110"/>
      <c r="AB4402" s="110"/>
      <c r="AC4402" s="110"/>
      <c r="AD4402" s="110"/>
      <c r="AE4402" s="110"/>
      <c r="AF4402" s="110"/>
    </row>
  </sheetData>
  <mergeCells count="30">
    <mergeCell ref="B500:AF500"/>
    <mergeCell ref="B76:AF76"/>
    <mergeCell ref="B116:AF116"/>
    <mergeCell ref="B258:AF258"/>
    <mergeCell ref="B340:AF340"/>
    <mergeCell ref="B452:AF452"/>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12" t="s">
        <v>499</v>
      </c>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c r="AD1071" s="110"/>
      <c r="AE1071" s="110"/>
      <c r="AF1071" s="110"/>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10"/>
      <c r="C1169" s="110"/>
      <c r="D1169" s="110"/>
      <c r="E1169" s="110"/>
      <c r="F1169" s="110"/>
      <c r="G1169" s="110"/>
      <c r="H1169" s="110"/>
      <c r="I1169" s="110"/>
      <c r="J1169" s="110"/>
      <c r="K1169" s="110"/>
      <c r="L1169" s="110"/>
      <c r="M1169" s="110"/>
      <c r="N1169" s="110"/>
      <c r="O1169" s="110"/>
      <c r="P1169" s="110"/>
      <c r="Q1169" s="110"/>
      <c r="R1169" s="110"/>
      <c r="S1169" s="110"/>
      <c r="T1169" s="110"/>
      <c r="U1169" s="110"/>
      <c r="V1169" s="110"/>
      <c r="W1169" s="110"/>
      <c r="X1169" s="110"/>
      <c r="Y1169" s="110"/>
      <c r="Z1169" s="110"/>
      <c r="AA1169" s="110"/>
      <c r="AB1169" s="110"/>
      <c r="AC1169" s="110"/>
      <c r="AD1169" s="110"/>
      <c r="AE1169" s="110"/>
      <c r="AF1169" s="110"/>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10"/>
      <c r="C1269" s="110"/>
      <c r="D1269" s="110"/>
      <c r="E1269" s="110"/>
      <c r="F1269" s="110"/>
      <c r="G1269" s="110"/>
      <c r="H1269" s="110"/>
      <c r="I1269" s="110"/>
      <c r="J1269" s="110"/>
      <c r="K1269" s="110"/>
      <c r="L1269" s="110"/>
      <c r="M1269" s="110"/>
      <c r="N1269" s="110"/>
      <c r="O1269" s="110"/>
      <c r="P1269" s="110"/>
      <c r="Q1269" s="110"/>
      <c r="R1269" s="110"/>
      <c r="S1269" s="110"/>
      <c r="T1269" s="110"/>
      <c r="U1269" s="110"/>
      <c r="V1269" s="110"/>
      <c r="W1269" s="110"/>
      <c r="X1269" s="110"/>
      <c r="Y1269" s="110"/>
      <c r="Z1269" s="110"/>
      <c r="AA1269" s="110"/>
      <c r="AB1269" s="110"/>
      <c r="AC1269" s="110"/>
      <c r="AD1269" s="110"/>
      <c r="AE1269" s="110"/>
      <c r="AF1269" s="110"/>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10"/>
      <c r="C1484" s="110"/>
      <c r="D1484" s="110"/>
      <c r="E1484" s="110"/>
      <c r="F1484" s="110"/>
      <c r="G1484" s="110"/>
      <c r="H1484" s="110"/>
      <c r="I1484" s="110"/>
      <c r="J1484" s="110"/>
      <c r="K1484" s="110"/>
      <c r="L1484" s="110"/>
      <c r="M1484" s="110"/>
      <c r="N1484" s="110"/>
      <c r="O1484" s="110"/>
      <c r="P1484" s="110"/>
      <c r="Q1484" s="110"/>
      <c r="R1484" s="110"/>
      <c r="S1484" s="110"/>
      <c r="T1484" s="110"/>
      <c r="U1484" s="110"/>
      <c r="V1484" s="110"/>
      <c r="W1484" s="110"/>
      <c r="X1484" s="110"/>
      <c r="Y1484" s="110"/>
      <c r="Z1484" s="110"/>
      <c r="AA1484" s="110"/>
      <c r="AB1484" s="110"/>
      <c r="AC1484" s="110"/>
      <c r="AD1484" s="110"/>
      <c r="AE1484" s="110"/>
      <c r="AF1484" s="110"/>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10"/>
      <c r="C1713" s="110"/>
      <c r="D1713" s="110"/>
      <c r="E1713" s="110"/>
      <c r="F1713" s="110"/>
      <c r="G1713" s="110"/>
      <c r="H1713" s="110"/>
      <c r="I1713" s="110"/>
      <c r="J1713" s="110"/>
      <c r="K1713" s="110"/>
      <c r="L1713" s="110"/>
      <c r="M1713" s="110"/>
      <c r="N1713" s="110"/>
      <c r="O1713" s="110"/>
      <c r="P1713" s="110"/>
      <c r="Q1713" s="110"/>
      <c r="R1713" s="110"/>
      <c r="S1713" s="110"/>
      <c r="T1713" s="110"/>
      <c r="U1713" s="110"/>
      <c r="V1713" s="110"/>
      <c r="W1713" s="110"/>
      <c r="X1713" s="110"/>
      <c r="Y1713" s="110"/>
      <c r="Z1713" s="110"/>
      <c r="AA1713" s="110"/>
      <c r="AB1713" s="110"/>
      <c r="AC1713" s="110"/>
      <c r="AD1713" s="110"/>
      <c r="AE1713" s="110"/>
      <c r="AF1713" s="110"/>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10"/>
      <c r="C1990" s="110"/>
      <c r="D1990" s="110"/>
      <c r="E1990" s="110"/>
      <c r="F1990" s="110"/>
      <c r="G1990" s="110"/>
      <c r="H1990" s="110"/>
      <c r="I1990" s="110"/>
      <c r="J1990" s="110"/>
      <c r="K1990" s="110"/>
      <c r="L1990" s="110"/>
      <c r="M1990" s="110"/>
      <c r="N1990" s="110"/>
      <c r="O1990" s="110"/>
      <c r="P1990" s="110"/>
      <c r="Q1990" s="110"/>
      <c r="R1990" s="110"/>
      <c r="S1990" s="110"/>
      <c r="T1990" s="110"/>
      <c r="U1990" s="110"/>
      <c r="V1990" s="110"/>
      <c r="W1990" s="110"/>
      <c r="X1990" s="110"/>
      <c r="Y1990" s="110"/>
      <c r="Z1990" s="110"/>
      <c r="AA1990" s="110"/>
      <c r="AB1990" s="110"/>
      <c r="AC1990" s="110"/>
      <c r="AD1990" s="110"/>
      <c r="AE1990" s="110"/>
      <c r="AF1990" s="110"/>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10"/>
      <c r="C2325" s="110"/>
      <c r="D2325" s="110"/>
      <c r="E2325" s="110"/>
      <c r="F2325" s="110"/>
      <c r="G2325" s="110"/>
      <c r="H2325" s="110"/>
      <c r="I2325" s="110"/>
      <c r="J2325" s="110"/>
      <c r="K2325" s="110"/>
      <c r="L2325" s="110"/>
      <c r="M2325" s="110"/>
      <c r="N2325" s="110"/>
      <c r="O2325" s="110"/>
      <c r="P2325" s="110"/>
      <c r="Q2325" s="110"/>
      <c r="R2325" s="110"/>
      <c r="S2325" s="110"/>
      <c r="T2325" s="110"/>
      <c r="U2325" s="110"/>
      <c r="V2325" s="110"/>
      <c r="W2325" s="110"/>
      <c r="X2325" s="110"/>
      <c r="Y2325" s="110"/>
      <c r="Z2325" s="110"/>
      <c r="AA2325" s="110"/>
      <c r="AB2325" s="110"/>
      <c r="AC2325" s="110"/>
      <c r="AD2325" s="110"/>
      <c r="AE2325" s="110"/>
      <c r="AF2325" s="110"/>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10"/>
      <c r="C2645" s="110"/>
      <c r="D2645" s="110"/>
      <c r="E2645" s="110"/>
      <c r="F2645" s="110"/>
      <c r="G2645" s="110"/>
      <c r="H2645" s="110"/>
      <c r="I2645" s="110"/>
      <c r="J2645" s="110"/>
      <c r="K2645" s="110"/>
      <c r="L2645" s="110"/>
      <c r="M2645" s="110"/>
      <c r="N2645" s="110"/>
      <c r="O2645" s="110"/>
      <c r="P2645" s="110"/>
      <c r="Q2645" s="110"/>
      <c r="R2645" s="110"/>
      <c r="S2645" s="110"/>
      <c r="T2645" s="110"/>
      <c r="U2645" s="110"/>
      <c r="V2645" s="110"/>
      <c r="W2645" s="110"/>
      <c r="X2645" s="110"/>
      <c r="Y2645" s="110"/>
      <c r="Z2645" s="110"/>
      <c r="AA2645" s="110"/>
      <c r="AB2645" s="110"/>
      <c r="AC2645" s="110"/>
      <c r="AD2645" s="110"/>
      <c r="AE2645" s="110"/>
      <c r="AF2645" s="110"/>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10"/>
      <c r="C2971" s="110"/>
      <c r="D2971" s="110"/>
      <c r="E2971" s="110"/>
      <c r="F2971" s="110"/>
      <c r="G2971" s="110"/>
      <c r="H2971" s="110"/>
      <c r="I2971" s="110"/>
      <c r="J2971" s="110"/>
      <c r="K2971" s="110"/>
      <c r="L2971" s="110"/>
      <c r="M2971" s="110"/>
      <c r="N2971" s="110"/>
      <c r="O2971" s="110"/>
      <c r="P2971" s="110"/>
      <c r="Q2971" s="110"/>
      <c r="R2971" s="110"/>
      <c r="S2971" s="110"/>
      <c r="T2971" s="110"/>
      <c r="U2971" s="110"/>
      <c r="V2971" s="110"/>
      <c r="W2971" s="110"/>
      <c r="X2971" s="110"/>
      <c r="Y2971" s="110"/>
      <c r="Z2971" s="110"/>
      <c r="AA2971" s="110"/>
      <c r="AB2971" s="110"/>
      <c r="AC2971" s="110"/>
      <c r="AD2971" s="110"/>
      <c r="AE2971" s="110"/>
      <c r="AF2971" s="110"/>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10"/>
      <c r="C3293" s="110"/>
      <c r="D3293" s="110"/>
      <c r="E3293" s="110"/>
      <c r="F3293" s="110"/>
      <c r="G3293" s="110"/>
      <c r="H3293" s="110"/>
      <c r="I3293" s="110"/>
      <c r="J3293" s="110"/>
      <c r="K3293" s="110"/>
      <c r="L3293" s="110"/>
      <c r="M3293" s="110"/>
      <c r="N3293" s="110"/>
      <c r="O3293" s="110"/>
      <c r="P3293" s="110"/>
      <c r="Q3293" s="110"/>
      <c r="R3293" s="110"/>
      <c r="S3293" s="110"/>
      <c r="T3293" s="110"/>
      <c r="U3293" s="110"/>
      <c r="V3293" s="110"/>
      <c r="W3293" s="110"/>
      <c r="X3293" s="110"/>
      <c r="Y3293" s="110"/>
      <c r="Z3293" s="110"/>
      <c r="AA3293" s="110"/>
      <c r="AB3293" s="110"/>
      <c r="AC3293" s="110"/>
      <c r="AD3293" s="110"/>
      <c r="AE3293" s="110"/>
      <c r="AF3293" s="110"/>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10"/>
      <c r="C3402" s="110"/>
      <c r="D3402" s="110"/>
      <c r="E3402" s="110"/>
      <c r="F3402" s="110"/>
      <c r="G3402" s="110"/>
      <c r="H3402" s="110"/>
      <c r="I3402" s="110"/>
      <c r="J3402" s="110"/>
      <c r="K3402" s="110"/>
      <c r="L3402" s="110"/>
      <c r="M3402" s="110"/>
      <c r="N3402" s="110"/>
      <c r="O3402" s="110"/>
      <c r="P3402" s="110"/>
      <c r="Q3402" s="110"/>
      <c r="R3402" s="110"/>
      <c r="S3402" s="110"/>
      <c r="T3402" s="110"/>
      <c r="U3402" s="110"/>
      <c r="V3402" s="110"/>
      <c r="W3402" s="110"/>
      <c r="X3402" s="110"/>
      <c r="Y3402" s="110"/>
      <c r="Z3402" s="110"/>
      <c r="AA3402" s="110"/>
      <c r="AB3402" s="110"/>
      <c r="AC3402" s="110"/>
      <c r="AD3402" s="110"/>
      <c r="AE3402" s="110"/>
      <c r="AF3402" s="110"/>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10"/>
      <c r="C3527" s="110"/>
      <c r="D3527" s="110"/>
      <c r="E3527" s="110"/>
      <c r="F3527" s="110"/>
      <c r="G3527" s="110"/>
      <c r="H3527" s="110"/>
      <c r="I3527" s="110"/>
      <c r="J3527" s="110"/>
      <c r="K3527" s="110"/>
      <c r="L3527" s="110"/>
      <c r="M3527" s="110"/>
      <c r="N3527" s="110"/>
      <c r="O3527" s="110"/>
      <c r="P3527" s="110"/>
      <c r="Q3527" s="110"/>
      <c r="R3527" s="110"/>
      <c r="S3527" s="110"/>
      <c r="T3527" s="110"/>
      <c r="U3527" s="110"/>
      <c r="V3527" s="110"/>
      <c r="W3527" s="110"/>
      <c r="X3527" s="110"/>
      <c r="Y3527" s="110"/>
      <c r="Z3527" s="110"/>
      <c r="AA3527" s="110"/>
      <c r="AB3527" s="110"/>
      <c r="AC3527" s="110"/>
      <c r="AD3527" s="110"/>
      <c r="AE3527" s="110"/>
      <c r="AF3527" s="110"/>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10"/>
      <c r="C3652" s="110"/>
      <c r="D3652" s="110"/>
      <c r="E3652" s="110"/>
      <c r="F3652" s="110"/>
      <c r="G3652" s="110"/>
      <c r="H3652" s="110"/>
      <c r="I3652" s="110"/>
      <c r="J3652" s="110"/>
      <c r="K3652" s="110"/>
      <c r="L3652" s="110"/>
      <c r="M3652" s="110"/>
      <c r="N3652" s="110"/>
      <c r="O3652" s="110"/>
      <c r="P3652" s="110"/>
      <c r="Q3652" s="110"/>
      <c r="R3652" s="110"/>
      <c r="S3652" s="110"/>
      <c r="T3652" s="110"/>
      <c r="U3652" s="110"/>
      <c r="V3652" s="110"/>
      <c r="W3652" s="110"/>
      <c r="X3652" s="110"/>
      <c r="Y3652" s="110"/>
      <c r="Z3652" s="110"/>
      <c r="AA3652" s="110"/>
      <c r="AB3652" s="110"/>
      <c r="AC3652" s="110"/>
      <c r="AD3652" s="110"/>
      <c r="AE3652" s="110"/>
      <c r="AF3652" s="110"/>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10"/>
      <c r="C3777" s="110"/>
      <c r="D3777" s="110"/>
      <c r="E3777" s="110"/>
      <c r="F3777" s="110"/>
      <c r="G3777" s="110"/>
      <c r="H3777" s="110"/>
      <c r="I3777" s="110"/>
      <c r="J3777" s="110"/>
      <c r="K3777" s="110"/>
      <c r="L3777" s="110"/>
      <c r="M3777" s="110"/>
      <c r="N3777" s="110"/>
      <c r="O3777" s="110"/>
      <c r="P3777" s="110"/>
      <c r="Q3777" s="110"/>
      <c r="R3777" s="110"/>
      <c r="S3777" s="110"/>
      <c r="T3777" s="110"/>
      <c r="U3777" s="110"/>
      <c r="V3777" s="110"/>
      <c r="W3777" s="110"/>
      <c r="X3777" s="110"/>
      <c r="Y3777" s="110"/>
      <c r="Z3777" s="110"/>
      <c r="AA3777" s="110"/>
      <c r="AB3777" s="110"/>
      <c r="AC3777" s="110"/>
      <c r="AD3777" s="110"/>
      <c r="AE3777" s="110"/>
      <c r="AF3777" s="110"/>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10"/>
      <c r="C3902" s="110"/>
      <c r="D3902" s="110"/>
      <c r="E3902" s="110"/>
      <c r="F3902" s="110"/>
      <c r="G3902" s="110"/>
      <c r="H3902" s="110"/>
      <c r="I3902" s="110"/>
      <c r="J3902" s="110"/>
      <c r="K3902" s="110"/>
      <c r="L3902" s="110"/>
      <c r="M3902" s="110"/>
      <c r="N3902" s="110"/>
      <c r="O3902" s="110"/>
      <c r="P3902" s="110"/>
      <c r="Q3902" s="110"/>
      <c r="R3902" s="110"/>
      <c r="S3902" s="110"/>
      <c r="T3902" s="110"/>
      <c r="U3902" s="110"/>
      <c r="V3902" s="110"/>
      <c r="W3902" s="110"/>
      <c r="X3902" s="110"/>
      <c r="Y3902" s="110"/>
      <c r="Z3902" s="110"/>
      <c r="AA3902" s="110"/>
      <c r="AB3902" s="110"/>
      <c r="AC3902" s="110"/>
      <c r="AD3902" s="110"/>
      <c r="AE3902" s="110"/>
      <c r="AF3902" s="110"/>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10"/>
      <c r="C4027" s="110"/>
      <c r="D4027" s="110"/>
      <c r="E4027" s="110"/>
      <c r="F4027" s="110"/>
      <c r="G4027" s="110"/>
      <c r="H4027" s="110"/>
      <c r="I4027" s="110"/>
      <c r="J4027" s="110"/>
      <c r="K4027" s="110"/>
      <c r="L4027" s="110"/>
      <c r="M4027" s="110"/>
      <c r="N4027" s="110"/>
      <c r="O4027" s="110"/>
      <c r="P4027" s="110"/>
      <c r="Q4027" s="110"/>
      <c r="R4027" s="110"/>
      <c r="S4027" s="110"/>
      <c r="T4027" s="110"/>
      <c r="U4027" s="110"/>
      <c r="V4027" s="110"/>
      <c r="W4027" s="110"/>
      <c r="X4027" s="110"/>
      <c r="Y4027" s="110"/>
      <c r="Z4027" s="110"/>
      <c r="AA4027" s="110"/>
      <c r="AB4027" s="110"/>
      <c r="AC4027" s="110"/>
      <c r="AD4027" s="110"/>
      <c r="AE4027" s="110"/>
      <c r="AF4027" s="110"/>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10"/>
      <c r="C4152" s="110"/>
      <c r="D4152" s="110"/>
      <c r="E4152" s="110"/>
      <c r="F4152" s="110"/>
      <c r="G4152" s="110"/>
      <c r="H4152" s="110"/>
      <c r="I4152" s="110"/>
      <c r="J4152" s="110"/>
      <c r="K4152" s="110"/>
      <c r="L4152" s="110"/>
      <c r="M4152" s="110"/>
      <c r="N4152" s="110"/>
      <c r="O4152" s="110"/>
      <c r="P4152" s="110"/>
      <c r="Q4152" s="110"/>
      <c r="R4152" s="110"/>
      <c r="S4152" s="110"/>
      <c r="T4152" s="110"/>
      <c r="U4152" s="110"/>
      <c r="V4152" s="110"/>
      <c r="W4152" s="110"/>
      <c r="X4152" s="110"/>
      <c r="Y4152" s="110"/>
      <c r="Z4152" s="110"/>
      <c r="AA4152" s="110"/>
      <c r="AB4152" s="110"/>
      <c r="AC4152" s="110"/>
      <c r="AD4152" s="110"/>
      <c r="AE4152" s="110"/>
      <c r="AF4152" s="110"/>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10"/>
      <c r="C4277" s="110"/>
      <c r="D4277" s="110"/>
      <c r="E4277" s="110"/>
      <c r="F4277" s="110"/>
      <c r="G4277" s="110"/>
      <c r="H4277" s="110"/>
      <c r="I4277" s="110"/>
      <c r="J4277" s="110"/>
      <c r="K4277" s="110"/>
      <c r="L4277" s="110"/>
      <c r="M4277" s="110"/>
      <c r="N4277" s="110"/>
      <c r="O4277" s="110"/>
      <c r="P4277" s="110"/>
      <c r="Q4277" s="110"/>
      <c r="R4277" s="110"/>
      <c r="S4277" s="110"/>
      <c r="T4277" s="110"/>
      <c r="U4277" s="110"/>
      <c r="V4277" s="110"/>
      <c r="W4277" s="110"/>
      <c r="X4277" s="110"/>
      <c r="Y4277" s="110"/>
      <c r="Z4277" s="110"/>
      <c r="AA4277" s="110"/>
      <c r="AB4277" s="110"/>
      <c r="AC4277" s="110"/>
      <c r="AD4277" s="110"/>
      <c r="AE4277" s="110"/>
      <c r="AF4277" s="110"/>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10"/>
      <c r="C4402" s="110"/>
      <c r="D4402" s="110"/>
      <c r="E4402" s="110"/>
      <c r="F4402" s="110"/>
      <c r="G4402" s="110"/>
      <c r="H4402" s="110"/>
      <c r="I4402" s="110"/>
      <c r="J4402" s="110"/>
      <c r="K4402" s="110"/>
      <c r="L4402" s="110"/>
      <c r="M4402" s="110"/>
      <c r="N4402" s="110"/>
      <c r="O4402" s="110"/>
      <c r="P4402" s="110"/>
      <c r="Q4402" s="110"/>
      <c r="R4402" s="110"/>
      <c r="S4402" s="110"/>
      <c r="T4402" s="110"/>
      <c r="U4402" s="110"/>
      <c r="V4402" s="110"/>
      <c r="W4402" s="110"/>
      <c r="X4402" s="110"/>
      <c r="Y4402" s="110"/>
      <c r="Z4402" s="110"/>
      <c r="AA4402" s="110"/>
      <c r="AB4402" s="110"/>
      <c r="AC4402" s="110"/>
      <c r="AD4402" s="110"/>
      <c r="AE4402" s="110"/>
      <c r="AF4402" s="110"/>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topLeftCell="A25" workbookViewId="0">
      <selection activeCell="F51" sqref="F51"/>
    </sheetView>
  </sheetViews>
  <sheetFormatPr defaultRowHeight="15"/>
  <cols>
    <col min="1" max="1" width="14.85546875" customWidth="1"/>
    <col min="2" max="2" width="25.710937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s="8" customFormat="1">
      <c r="A16" s="8" t="s">
        <v>173</v>
      </c>
      <c r="B16" s="8" t="s">
        <v>3746</v>
      </c>
      <c r="C16" s="8" t="s">
        <v>3745</v>
      </c>
      <c r="D16" s="8" t="s">
        <v>3744</v>
      </c>
      <c r="F16" s="8">
        <v>1413.1365969999999</v>
      </c>
      <c r="G16" s="8">
        <v>1426.5014650000001</v>
      </c>
      <c r="H16" s="8">
        <v>1461.8975829999999</v>
      </c>
      <c r="I16" s="8">
        <v>1494.7885739999999</v>
      </c>
      <c r="J16" s="8">
        <v>1522.10022</v>
      </c>
      <c r="K16" s="8">
        <v>1551.6201169999999</v>
      </c>
      <c r="L16" s="8">
        <v>1578.6829829999999</v>
      </c>
      <c r="M16" s="8">
        <v>1601.181519</v>
      </c>
      <c r="N16" s="8">
        <v>1627.146362</v>
      </c>
      <c r="O16" s="8">
        <v>1654.892212</v>
      </c>
      <c r="P16" s="8">
        <v>1681.6214600000001</v>
      </c>
      <c r="Q16" s="8">
        <v>1711.017578</v>
      </c>
      <c r="R16" s="8">
        <v>1740.960693</v>
      </c>
      <c r="S16" s="8">
        <v>1772.771851</v>
      </c>
      <c r="T16" s="8">
        <v>1806.9364009999999</v>
      </c>
      <c r="U16" s="8">
        <v>1841.1685789999999</v>
      </c>
      <c r="V16" s="8">
        <v>1875.4395750000001</v>
      </c>
      <c r="W16" s="8">
        <v>1909.125366</v>
      </c>
      <c r="X16" s="8">
        <v>1945.61853</v>
      </c>
      <c r="Y16" s="8">
        <v>1981.3470460000001</v>
      </c>
      <c r="Z16" s="8">
        <v>2014.714111</v>
      </c>
      <c r="AA16" s="8">
        <v>2047.454346</v>
      </c>
      <c r="AB16" s="8">
        <v>2079.6472170000002</v>
      </c>
      <c r="AC16" s="8">
        <v>2117.3378910000001</v>
      </c>
      <c r="AD16" s="8">
        <v>2157.5336910000001</v>
      </c>
      <c r="AE16" s="8">
        <v>2196.0695799999999</v>
      </c>
      <c r="AF16" s="8">
        <v>2234.092529</v>
      </c>
      <c r="AG16" s="106">
        <v>1.7999999999999999E-2</v>
      </c>
    </row>
    <row r="17" spans="1:34">
      <c r="A17" t="s">
        <v>3743</v>
      </c>
    </row>
    <row r="18" spans="1:34">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4" s="107" customFormat="1">
      <c r="A19" s="107" t="s">
        <v>150</v>
      </c>
      <c r="B19" s="107" t="s">
        <v>3740</v>
      </c>
      <c r="C19" s="107" t="s">
        <v>3739</v>
      </c>
      <c r="D19" s="107" t="s">
        <v>3738</v>
      </c>
      <c r="F19" s="107">
        <v>458.773346</v>
      </c>
      <c r="G19" s="107">
        <v>464.892853</v>
      </c>
      <c r="H19" s="107">
        <v>462.96167000000003</v>
      </c>
      <c r="I19" s="107">
        <v>460.98571800000002</v>
      </c>
      <c r="J19" s="107">
        <v>459.37042200000002</v>
      </c>
      <c r="K19" s="107">
        <v>457.35058600000002</v>
      </c>
      <c r="L19" s="107">
        <v>454.85974099999999</v>
      </c>
      <c r="M19" s="107">
        <v>451.94982900000002</v>
      </c>
      <c r="N19" s="107">
        <v>448.29049700000002</v>
      </c>
      <c r="O19" s="107">
        <v>446.236603</v>
      </c>
      <c r="P19" s="107">
        <v>444.57028200000002</v>
      </c>
      <c r="Q19" s="107">
        <v>442.67672700000003</v>
      </c>
      <c r="R19" s="107">
        <v>440.63128699999999</v>
      </c>
      <c r="S19" s="107">
        <v>439.09964000000002</v>
      </c>
      <c r="T19" s="107">
        <v>437.71414199999998</v>
      </c>
      <c r="U19" s="107">
        <v>435.98474099999999</v>
      </c>
      <c r="V19" s="107">
        <v>434.76898199999999</v>
      </c>
      <c r="W19" s="107">
        <v>433.49096700000001</v>
      </c>
      <c r="X19" s="107">
        <v>432.22720299999997</v>
      </c>
      <c r="Y19" s="107">
        <v>430.67340100000001</v>
      </c>
      <c r="Z19" s="107">
        <v>428.801331</v>
      </c>
      <c r="AA19" s="107">
        <v>427.06716899999998</v>
      </c>
      <c r="AB19" s="107">
        <v>425.27600100000001</v>
      </c>
      <c r="AC19" s="107">
        <v>424.65441900000002</v>
      </c>
      <c r="AD19" s="107">
        <v>423.51385499999998</v>
      </c>
      <c r="AE19" s="107">
        <v>422.14224200000001</v>
      </c>
      <c r="AF19" s="107">
        <v>420.62109400000003</v>
      </c>
      <c r="AG19" s="108">
        <v>-3.0000000000000001E-3</v>
      </c>
      <c r="AH19" s="109">
        <f>AF19/F19</f>
        <v>0.91683856018958876</v>
      </c>
    </row>
    <row r="20" spans="1:34">
      <c r="A20" t="s">
        <v>86</v>
      </c>
    </row>
    <row r="21" spans="1:34">
      <c r="A21" t="s">
        <v>3737</v>
      </c>
    </row>
    <row r="22" spans="1:34">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4">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4">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4">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4">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4">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4">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4">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4">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4">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4">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3687</v>
      </c>
      <c r="C42" t="s">
        <v>3686</v>
      </c>
      <c r="D42" t="s">
        <v>2920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4">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4">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4" s="107" customFormat="1">
      <c r="A51" s="107" t="s">
        <v>3650</v>
      </c>
      <c r="B51" s="107" t="s">
        <v>3653</v>
      </c>
      <c r="C51" s="107" t="s">
        <v>3652</v>
      </c>
      <c r="D51" s="107" t="s">
        <v>3678</v>
      </c>
      <c r="E51" s="107" t="s">
        <v>3669</v>
      </c>
      <c r="F51" s="107">
        <v>9.4440999999999997E-2</v>
      </c>
      <c r="G51" s="107">
        <v>9.5329999999999998E-2</v>
      </c>
      <c r="H51" s="107">
        <v>9.4565999999999997E-2</v>
      </c>
      <c r="I51" s="107">
        <v>9.3798000000000006E-2</v>
      </c>
      <c r="J51" s="107">
        <v>9.3107999999999996E-2</v>
      </c>
      <c r="K51" s="107">
        <v>9.2339000000000004E-2</v>
      </c>
      <c r="L51" s="107">
        <v>9.1481000000000007E-2</v>
      </c>
      <c r="M51" s="107">
        <v>9.0542999999999998E-2</v>
      </c>
      <c r="N51" s="107">
        <v>8.9462E-2</v>
      </c>
      <c r="O51" s="107">
        <v>8.8707999999999995E-2</v>
      </c>
      <c r="P51" s="107">
        <v>8.8034000000000001E-2</v>
      </c>
      <c r="Q51" s="107">
        <v>8.7319999999999995E-2</v>
      </c>
      <c r="R51" s="107">
        <v>8.6580000000000004E-2</v>
      </c>
      <c r="S51" s="107">
        <v>8.5944999999999994E-2</v>
      </c>
      <c r="T51" s="107">
        <v>8.5342000000000001E-2</v>
      </c>
      <c r="U51" s="107">
        <v>8.4675E-2</v>
      </c>
      <c r="V51" s="107">
        <v>8.4112000000000006E-2</v>
      </c>
      <c r="W51" s="107">
        <v>8.3540000000000003E-2</v>
      </c>
      <c r="X51" s="107">
        <v>8.2974000000000006E-2</v>
      </c>
      <c r="Y51" s="107">
        <v>8.2354999999999998E-2</v>
      </c>
      <c r="Z51" s="107">
        <v>8.1680000000000003E-2</v>
      </c>
      <c r="AA51" s="107">
        <v>8.1034999999999996E-2</v>
      </c>
      <c r="AB51" s="107">
        <v>8.0381999999999995E-2</v>
      </c>
      <c r="AC51" s="107">
        <v>7.9953999999999997E-2</v>
      </c>
      <c r="AD51" s="107">
        <v>7.9430000000000001E-2</v>
      </c>
      <c r="AE51" s="107">
        <v>7.8866000000000006E-2</v>
      </c>
      <c r="AF51" s="107">
        <v>7.8278E-2</v>
      </c>
      <c r="AG51" s="108">
        <v>-7.0000000000000001E-3</v>
      </c>
      <c r="AH51" s="109">
        <f>AF51/F51</f>
        <v>0.82885611122287994</v>
      </c>
    </row>
    <row r="52" spans="1:34" s="107" customFormat="1">
      <c r="A52" s="107" t="s">
        <v>3650</v>
      </c>
      <c r="B52" s="107" t="s">
        <v>3649</v>
      </c>
      <c r="C52" s="107" t="s">
        <v>3648</v>
      </c>
      <c r="D52" s="107" t="s">
        <v>3677</v>
      </c>
      <c r="E52" s="107" t="s">
        <v>3669</v>
      </c>
      <c r="F52" s="107">
        <v>0.75211899999999998</v>
      </c>
      <c r="G52" s="107">
        <v>0.73338199999999998</v>
      </c>
      <c r="H52" s="107">
        <v>0.74175500000000005</v>
      </c>
      <c r="I52" s="107">
        <v>0.75531999999999999</v>
      </c>
      <c r="J52" s="107">
        <v>0.76629499999999995</v>
      </c>
      <c r="K52" s="107">
        <v>0.778196</v>
      </c>
      <c r="L52" s="107">
        <v>0.78992600000000002</v>
      </c>
      <c r="M52" s="107">
        <v>0.80055600000000005</v>
      </c>
      <c r="N52" s="107">
        <v>0.81212399999999996</v>
      </c>
      <c r="O52" s="107">
        <v>0.82328699999999999</v>
      </c>
      <c r="P52" s="107">
        <v>0.83492999999999995</v>
      </c>
      <c r="Q52" s="107">
        <v>0.84416400000000003</v>
      </c>
      <c r="R52" s="107">
        <v>0.85184199999999999</v>
      </c>
      <c r="S52" s="107">
        <v>0.85928400000000005</v>
      </c>
      <c r="T52" s="107">
        <v>0.86581799999999998</v>
      </c>
      <c r="U52" s="107">
        <v>0.87240700000000004</v>
      </c>
      <c r="V52" s="107">
        <v>0.87826199999999999</v>
      </c>
      <c r="W52" s="107">
        <v>0.88398900000000002</v>
      </c>
      <c r="X52" s="107">
        <v>0.88983500000000004</v>
      </c>
      <c r="Y52" s="107">
        <v>0.89557200000000003</v>
      </c>
      <c r="Z52" s="107">
        <v>0.90109300000000003</v>
      </c>
      <c r="AA52" s="107">
        <v>0.90631600000000001</v>
      </c>
      <c r="AB52" s="107">
        <v>0.91075899999999999</v>
      </c>
      <c r="AC52" s="107">
        <v>0.91678400000000004</v>
      </c>
      <c r="AD52" s="107">
        <v>0.92391900000000005</v>
      </c>
      <c r="AE52" s="107">
        <v>0.93080399999999996</v>
      </c>
      <c r="AF52" s="107">
        <v>0.93727300000000002</v>
      </c>
      <c r="AG52" s="108">
        <v>8.9999999999999993E-3</v>
      </c>
      <c r="AH52" s="109">
        <f>AF52/F52</f>
        <v>1.2461764694150794</v>
      </c>
    </row>
    <row r="53" spans="1:34"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4"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4">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4">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4">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4">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4">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4">
      <c r="A60" t="s">
        <v>3668</v>
      </c>
    </row>
    <row r="61" spans="1:34">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4">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4">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4">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A41" sqref="A41"/>
    </sheetView>
  </sheetViews>
  <sheetFormatPr defaultRowHeight="15"/>
  <cols>
    <col min="1" max="1" width="45.710937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5.75">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7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4.7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8.7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48.7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72.7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ht="24.75">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6.7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8.7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48.7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72.7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ht="24.75">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4.7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4.7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48.7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72.7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ht="24.75">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4.7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48.7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4.7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60.7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48.7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4.7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48.7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4.7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60.7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48.7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4.7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48.7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4.7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60.7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48.7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6.7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4.7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4.7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8.7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4.7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48.7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6.7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4.7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4.7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48.7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72.7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ht="24.75">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ht="24.75">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4.7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4.7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48.7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72.7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ht="24.75">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ht="24.75">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ht="24.75">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4.7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48.7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72.7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ht="24.75">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ht="24.75">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6.7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4.7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ht="24.75">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60.7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48.7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4.7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ht="24.75">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36.7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ht="24.75">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60.7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48.7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4.7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48.7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48.7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6.7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7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14" t="s">
        <v>2302</v>
      </c>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c r="AC340" s="116"/>
      <c r="AD340" s="116"/>
      <c r="AE340" s="116"/>
      <c r="AF340" s="116"/>
      <c r="AG340" s="116"/>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c r="AC452" s="116"/>
      <c r="AD452" s="116"/>
      <c r="AE452" s="116"/>
      <c r="AF452" s="116"/>
      <c r="AG452" s="116"/>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c r="AC557" s="116"/>
      <c r="AD557" s="116"/>
      <c r="AE557" s="116"/>
      <c r="AF557" s="116"/>
      <c r="AG557" s="116"/>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c r="AC638" s="116"/>
      <c r="AD638" s="116"/>
      <c r="AE638" s="116"/>
      <c r="AF638" s="116"/>
      <c r="AG638" s="116"/>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c r="AC710" s="116"/>
      <c r="AD710" s="116"/>
      <c r="AE710" s="116"/>
      <c r="AF710" s="116"/>
      <c r="AG710" s="116"/>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c r="AC886" s="116"/>
      <c r="AD886" s="116"/>
      <c r="AE886" s="116"/>
      <c r="AF886" s="116"/>
      <c r="AG886" s="116"/>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c r="AC969" s="116"/>
      <c r="AD969" s="116"/>
      <c r="AE969" s="116"/>
      <c r="AF969" s="116"/>
      <c r="AG969" s="116"/>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c r="AA1071" s="116"/>
      <c r="AB1071" s="116"/>
      <c r="AC1071" s="116"/>
      <c r="AD1071" s="116"/>
      <c r="AE1071" s="116"/>
      <c r="AF1071" s="116"/>
      <c r="AG1071" s="116"/>
    </row>
    <row r="1169" spans="2:33">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c r="AA1169" s="116"/>
      <c r="AB1169" s="116"/>
      <c r="AC1169" s="116"/>
      <c r="AD1169" s="116"/>
      <c r="AE1169" s="116"/>
      <c r="AF1169" s="116"/>
      <c r="AG1169" s="116"/>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c r="AA1269" s="116"/>
      <c r="AB1269" s="116"/>
      <c r="AC1269" s="116"/>
      <c r="AD1269" s="116"/>
      <c r="AE1269" s="116"/>
      <c r="AF1269" s="116"/>
      <c r="AG1269" s="116"/>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c r="AA1484" s="116"/>
      <c r="AB1484" s="116"/>
      <c r="AC1484" s="116"/>
      <c r="AD1484" s="116"/>
      <c r="AE1484" s="116"/>
      <c r="AF1484" s="116"/>
      <c r="AG1484" s="116"/>
    </row>
    <row r="1713" spans="2:33">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c r="AA1713" s="116"/>
      <c r="AB1713" s="116"/>
      <c r="AC1713" s="116"/>
      <c r="AD1713" s="116"/>
      <c r="AE1713" s="116"/>
      <c r="AF1713" s="116"/>
      <c r="AG1713" s="116"/>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c r="AA1990" s="116"/>
      <c r="AB1990" s="116"/>
      <c r="AC1990" s="116"/>
      <c r="AD1990" s="116"/>
      <c r="AE1990" s="116"/>
      <c r="AF1990" s="116"/>
      <c r="AG1990" s="116"/>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c r="AA2325" s="116"/>
      <c r="AB2325" s="116"/>
      <c r="AC2325" s="116"/>
      <c r="AD2325" s="116"/>
      <c r="AE2325" s="116"/>
      <c r="AF2325" s="116"/>
      <c r="AG2325" s="116"/>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c r="AA2645" s="116"/>
      <c r="AB2645" s="116"/>
      <c r="AC2645" s="116"/>
      <c r="AD2645" s="116"/>
      <c r="AE2645" s="116"/>
      <c r="AF2645" s="116"/>
      <c r="AG2645" s="116"/>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c r="AA2971" s="116"/>
      <c r="AB2971" s="116"/>
      <c r="AC2971" s="116"/>
      <c r="AD2971" s="116"/>
      <c r="AE2971" s="116"/>
      <c r="AF2971" s="116"/>
      <c r="AG2971" s="116"/>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c r="AA3293" s="116"/>
      <c r="AB3293" s="116"/>
      <c r="AC3293" s="116"/>
      <c r="AD3293" s="116"/>
      <c r="AE3293" s="116"/>
      <c r="AF3293" s="116"/>
      <c r="AG3293" s="116"/>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c r="AA3402" s="116"/>
      <c r="AB3402" s="116"/>
      <c r="AC3402" s="116"/>
      <c r="AD3402" s="116"/>
      <c r="AE3402" s="116"/>
      <c r="AF3402" s="116"/>
      <c r="AG3402" s="116"/>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c r="AA3527" s="116"/>
      <c r="AB3527" s="116"/>
      <c r="AC3527" s="116"/>
      <c r="AD3527" s="116"/>
      <c r="AE3527" s="116"/>
      <c r="AF3527" s="116"/>
      <c r="AG3527" s="116"/>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c r="AA3652" s="116"/>
      <c r="AB3652" s="116"/>
      <c r="AC3652" s="116"/>
      <c r="AD3652" s="116"/>
      <c r="AE3652" s="116"/>
      <c r="AF3652" s="116"/>
      <c r="AG3652" s="116"/>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c r="AA3777" s="116"/>
      <c r="AB3777" s="116"/>
      <c r="AC3777" s="116"/>
      <c r="AD3777" s="116"/>
      <c r="AE3777" s="116"/>
      <c r="AF3777" s="116"/>
      <c r="AG3777" s="116"/>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c r="AA3902" s="116"/>
      <c r="AB3902" s="116"/>
      <c r="AC3902" s="116"/>
      <c r="AD3902" s="116"/>
      <c r="AE3902" s="116"/>
      <c r="AF3902" s="116"/>
      <c r="AG3902" s="116"/>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c r="AA4027" s="116"/>
      <c r="AB4027" s="116"/>
      <c r="AC4027" s="116"/>
      <c r="AD4027" s="116"/>
      <c r="AE4027" s="116"/>
      <c r="AF4027" s="116"/>
      <c r="AG4027" s="116"/>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c r="AA4152" s="116"/>
      <c r="AB4152" s="116"/>
      <c r="AC4152" s="116"/>
      <c r="AD4152" s="116"/>
      <c r="AE4152" s="116"/>
      <c r="AF4152" s="116"/>
      <c r="AG4152" s="116"/>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c r="AA4277" s="116"/>
      <c r="AB4277" s="116"/>
      <c r="AC4277" s="116"/>
      <c r="AD4277" s="116"/>
      <c r="AE4277" s="116"/>
      <c r="AF4277" s="116"/>
      <c r="AG4277" s="116"/>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c r="AA4402" s="116"/>
      <c r="AB4402" s="116"/>
      <c r="AC4402" s="116"/>
      <c r="AD4402" s="116"/>
      <c r="AE4402" s="116"/>
      <c r="AF4402" s="116"/>
      <c r="AG4402" s="116"/>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topLeftCell="B1" workbookViewId="0">
      <selection activeCell="B16" sqref="B16"/>
    </sheetView>
  </sheetViews>
  <sheetFormatPr defaultColWidth="9.140625" defaultRowHeight="15"/>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7'!16:16,MATCH(D2,'AEO 2025 Table 7'!5:5,0))/INDEX('AEO 2023 Table 7'!25:25,MATCH($C$2,'AEO 2023 Table 7'!1:1,0))</f>
        <v>1.0716178093338335</v>
      </c>
      <c r="E5">
        <f>INDEX('AEO 2025 Table 7'!16:16,MATCH(E2,'AEO 2025 Table 7'!5:5,0))/INDEX('AEO 2023 Table 7'!25:25,MATCH($C$2,'AEO 2023 Table 7'!1:1,0))</f>
        <v>1.0817527323119809</v>
      </c>
      <c r="F5">
        <f>INDEX('AEO 2025 Table 7'!16:16,MATCH(F2,'AEO 2025 Table 7'!5:5,0))/INDEX('AEO 2023 Table 7'!25:25,MATCH($C$2,'AEO 2023 Table 7'!1:1,0))</f>
        <v>1.1085945185275576</v>
      </c>
      <c r="G5">
        <f>INDEX('AEO 2025 Table 7'!16:16,MATCH(G2,'AEO 2025 Table 7'!5:5,0))/INDEX('AEO 2023 Table 7'!25:25,MATCH($C$2,'AEO 2023 Table 7'!1:1,0))</f>
        <v>1.1335366025391564</v>
      </c>
      <c r="H5">
        <f>INDEX('AEO 2025 Table 7'!16:16,MATCH(H2,'AEO 2025 Table 7'!5:5,0))/INDEX('AEO 2023 Table 7'!25:25,MATCH($C$2,'AEO 2023 Table 7'!1:1,0))</f>
        <v>1.1542477258077453</v>
      </c>
      <c r="I5">
        <f>INDEX('AEO 2025 Table 7'!16:16,MATCH(I2,'AEO 2025 Table 7'!5:5,0))/INDEX('AEO 2023 Table 7'!25:25,MATCH($C$2,'AEO 2023 Table 7'!1:1,0))</f>
        <v>1.1766334225776525</v>
      </c>
      <c r="J5">
        <f>INDEX('AEO 2025 Table 7'!16:16,MATCH(J2,'AEO 2025 Table 7'!5:5,0))/INDEX('AEO 2023 Table 7'!25:25,MATCH($C$2,'AEO 2023 Table 7'!1:1,0))</f>
        <v>1.1971558895767964</v>
      </c>
      <c r="K5">
        <f>INDEX('AEO 2025 Table 7'!16:16,MATCH(K2,'AEO 2025 Table 7'!5:5,0))/INDEX('AEO 2023 Table 7'!25:25,MATCH($C$2,'AEO 2023 Table 7'!1:1,0))</f>
        <v>1.2142171078006554</v>
      </c>
      <c r="L5">
        <f>INDEX('AEO 2025 Table 7'!16:16,MATCH(L2,'AEO 2025 Table 7'!5:5,0))/INDEX('AEO 2023 Table 7'!25:25,MATCH($C$2,'AEO 2023 Table 7'!1:1,0))</f>
        <v>1.2339069157317686</v>
      </c>
      <c r="M5">
        <f>INDEX('AEO 2025 Table 7'!16:16,MATCH(M2,'AEO 2025 Table 7'!5:5,0))/INDEX('AEO 2023 Table 7'!25:25,MATCH($C$2,'AEO 2023 Table 7'!1:1,0))</f>
        <v>1.2549473070557398</v>
      </c>
      <c r="N5">
        <f>INDEX('AEO 2025 Table 7'!16:16,MATCH(N2,'AEO 2025 Table 7'!5:5,0))/INDEX('AEO 2023 Table 7'!25:25,MATCH($C$2,'AEO 2023 Table 7'!1:1,0))</f>
        <v>1.2752167829490888</v>
      </c>
      <c r="O5">
        <f>INDEX('AEO 2025 Table 7'!16:16,MATCH(O2,'AEO 2025 Table 7'!5:5,0))/INDEX('AEO 2023 Table 7'!25:25,MATCH($C$2,'AEO 2023 Table 7'!1:1,0))</f>
        <v>1.2975086149212807</v>
      </c>
      <c r="P5">
        <f>INDEX('AEO 2025 Table 7'!16:16,MATCH(P2,'AEO 2025 Table 7'!5:5,0))/INDEX('AEO 2023 Table 7'!25:25,MATCH($C$2,'AEO 2023 Table 7'!1:1,0))</f>
        <v>1.3202152487803505</v>
      </c>
      <c r="Q5">
        <f>INDEX('AEO 2025 Table 7'!16:16,MATCH(Q2,'AEO 2025 Table 7'!5:5,0))/INDEX('AEO 2023 Table 7'!25:25,MATCH($C$2,'AEO 2023 Table 7'!1:1,0))</f>
        <v>1.344338467668533</v>
      </c>
      <c r="R5">
        <f>INDEX('AEO 2025 Table 7'!16:16,MATCH(R2,'AEO 2025 Table 7'!5:5,0))/INDEX('AEO 2023 Table 7'!25:25,MATCH($C$2,'AEO 2023 Table 7'!1:1,0))</f>
        <v>1.3702463242095071</v>
      </c>
      <c r="S5">
        <f>INDEX('AEO 2025 Table 7'!16:16,MATCH(S2,'AEO 2025 Table 7'!5:5,0))/INDEX('AEO 2023 Table 7'!25:25,MATCH($C$2,'AEO 2023 Table 7'!1:1,0))</f>
        <v>1.3962054648014097</v>
      </c>
      <c r="T5">
        <f>INDEX('AEO 2025 Table 7'!16:16,MATCH(T2,'AEO 2025 Table 7'!5:5,0))/INDEX('AEO 2023 Table 7'!25:25,MATCH($C$2,'AEO 2023 Table 7'!1:1,0))</f>
        <v>1.4221940420806158</v>
      </c>
      <c r="U5">
        <f>INDEX('AEO 2025 Table 7'!16:16,MATCH(U2,'AEO 2025 Table 7'!5:5,0))/INDEX('AEO 2023 Table 7'!25:25,MATCH($C$2,'AEO 2023 Table 7'!1:1,0))</f>
        <v>1.4477388433643217</v>
      </c>
      <c r="V5">
        <f>INDEX('AEO 2025 Table 7'!16:16,MATCH(V2,'AEO 2025 Table 7'!5:5,0))/INDEX('AEO 2023 Table 7'!25:25,MATCH($C$2,'AEO 2023 Table 7'!1:1,0))</f>
        <v>1.4754125477637132</v>
      </c>
      <c r="W5">
        <f>INDEX('AEO 2025 Table 7'!16:16,MATCH(W2,'AEO 2025 Table 7'!5:5,0))/INDEX('AEO 2023 Table 7'!25:25,MATCH($C$2,'AEO 2023 Table 7'!1:1,0))</f>
        <v>1.5025063999277224</v>
      </c>
      <c r="X5">
        <f>INDEX('AEO 2025 Table 7'!16:16,MATCH(X2,'AEO 2025 Table 7'!5:5,0))/INDEX('AEO 2023 Table 7'!25:25,MATCH($C$2,'AEO 2023 Table 7'!1:1,0))</f>
        <v>1.5278095030920653</v>
      </c>
      <c r="Y5">
        <f>INDEX('AEO 2025 Table 7'!16:16,MATCH(Y2,'AEO 2025 Table 7'!5:5,0))/INDEX('AEO 2023 Table 7'!25:25,MATCH($C$2,'AEO 2023 Table 7'!1:1,0))</f>
        <v>1.5526372649533449</v>
      </c>
      <c r="Z5">
        <f>INDEX('AEO 2025 Table 7'!16:16,MATCH(Z2,'AEO 2025 Table 7'!5:5,0))/INDEX('AEO 2023 Table 7'!25:25,MATCH($C$2,'AEO 2023 Table 7'!1:1,0))</f>
        <v>1.5770499466222119</v>
      </c>
      <c r="AA5">
        <f>INDEX('AEO 2025 Table 7'!16:16,MATCH(AA2,'AEO 2025 Table 7'!5:5,0))/INDEX('AEO 2023 Table 7'!25:25,MATCH($C$2,'AEO 2023 Table 7'!1:1,0))</f>
        <v>1.6056317536392695</v>
      </c>
      <c r="AB5">
        <f>INDEX('AEO 2025 Table 7'!16:16,MATCH(AB2,'AEO 2025 Table 7'!5:5,0))/INDEX('AEO 2023 Table 7'!25:25,MATCH($C$2,'AEO 2023 Table 7'!1:1,0))</f>
        <v>1.6361132621019796</v>
      </c>
      <c r="AC5">
        <f>INDEX('AEO 2025 Table 7'!16:16,MATCH(AC2,'AEO 2025 Table 7'!5:5,0))/INDEX('AEO 2023 Table 7'!25:25,MATCH($C$2,'AEO 2023 Table 7'!1:1,0))</f>
        <v>1.6653360173816742</v>
      </c>
      <c r="AD5">
        <f>INDEX('AEO 2025 Table 7'!16:16,MATCH(AD2,'AEO 2025 Table 7'!5:5,0))/INDEX('AEO 2023 Table 7'!25:25,MATCH($C$2,'AEO 2023 Table 7'!1:1,0))</f>
        <v>1.6941697970731022</v>
      </c>
    </row>
    <row r="6" spans="1:30">
      <c r="B6" t="s">
        <v>124</v>
      </c>
      <c r="C6">
        <v>1</v>
      </c>
      <c r="D6">
        <v>1</v>
      </c>
      <c r="E6">
        <f>INDEX('AEO 2025 Table 7'!14:14,MATCH(E2,'AEO 2025 Table 7'!5:5,0))/INDEX('AEO 2025 Table 7'!14:14,MATCH($D$2,'AEO 2025 Table 7'!5:5,0))</f>
        <v>1.111881421544451</v>
      </c>
      <c r="F6">
        <f>INDEX('AEO 2025 Table 7'!14:14,MATCH(F2,'AEO 2025 Table 7'!5:5,0))/INDEX('AEO 2025 Table 7'!14:14,MATCH($D$2,'AEO 2025 Table 7'!5:5,0))</f>
        <v>1.1975423315761022</v>
      </c>
      <c r="G6">
        <f>INDEX('AEO 2025 Table 7'!14:14,MATCH(G2,'AEO 2025 Table 7'!5:5,0))/INDEX('AEO 2025 Table 7'!14:14,MATCH($D$2,'AEO 2025 Table 7'!5:5,0))</f>
        <v>1.2632776468279667</v>
      </c>
      <c r="H6">
        <f>INDEX('AEO 2025 Table 7'!14:14,MATCH(H2,'AEO 2025 Table 7'!5:5,0))/INDEX('AEO 2025 Table 7'!14:14,MATCH($D$2,'AEO 2025 Table 7'!5:5,0))</f>
        <v>1.3145784745612137</v>
      </c>
      <c r="I6">
        <f>INDEX('AEO 2025 Table 7'!14:14,MATCH(I2,'AEO 2025 Table 7'!5:5,0))/INDEX('AEO 2025 Table 7'!14:14,MATCH($D$2,'AEO 2025 Table 7'!5:5,0))</f>
        <v>1.3587253168451083</v>
      </c>
      <c r="J6">
        <f>INDEX('AEO 2025 Table 7'!14:14,MATCH(J2,'AEO 2025 Table 7'!5:5,0))/INDEX('AEO 2025 Table 7'!14:14,MATCH($D$2,'AEO 2025 Table 7'!5:5,0))</f>
        <v>1.3953539263799248</v>
      </c>
      <c r="K6">
        <f>INDEX('AEO 2025 Table 7'!14:14,MATCH(K2,'AEO 2025 Table 7'!5:5,0))/INDEX('AEO 2025 Table 7'!14:14,MATCH($D$2,'AEO 2025 Table 7'!5:5,0))</f>
        <v>1.4240987033669459</v>
      </c>
      <c r="L6">
        <f>INDEX('AEO 2025 Table 7'!14:14,MATCH(L2,'AEO 2025 Table 7'!5:5,0))/INDEX('AEO 2025 Table 7'!14:14,MATCH($D$2,'AEO 2025 Table 7'!5:5,0))</f>
        <v>1.4476889907702766</v>
      </c>
      <c r="M6">
        <f>INDEX('AEO 2025 Table 7'!14:14,MATCH(M2,'AEO 2025 Table 7'!5:5,0))/INDEX('AEO 2025 Table 7'!14:14,MATCH($D$2,'AEO 2025 Table 7'!5:5,0))</f>
        <v>1.4670556556812706</v>
      </c>
      <c r="N6">
        <f>INDEX('AEO 2025 Table 7'!14:14,MATCH(N2,'AEO 2025 Table 7'!5:5,0))/INDEX('AEO 2025 Table 7'!14:14,MATCH($D$2,'AEO 2025 Table 7'!5:5,0))</f>
        <v>1.4861423919439287</v>
      </c>
      <c r="O6">
        <f>INDEX('AEO 2025 Table 7'!14:14,MATCH(O2,'AEO 2025 Table 7'!5:5,0))/INDEX('AEO 2025 Table 7'!14:14,MATCH($D$2,'AEO 2025 Table 7'!5:5,0))</f>
        <v>1.5014430584592957</v>
      </c>
      <c r="P6">
        <f>INDEX('AEO 2025 Table 7'!14:14,MATCH(P2,'AEO 2025 Table 7'!5:5,0))/INDEX('AEO 2025 Table 7'!14:14,MATCH($D$2,'AEO 2025 Table 7'!5:5,0))</f>
        <v>1.516104804451252</v>
      </c>
      <c r="Q6">
        <f>INDEX('AEO 2025 Table 7'!14:14,MATCH(Q2,'AEO 2025 Table 7'!5:5,0))/INDEX('AEO 2025 Table 7'!14:14,MATCH($D$2,'AEO 2025 Table 7'!5:5,0))</f>
        <v>1.5319365779990226</v>
      </c>
      <c r="R6">
        <f>INDEX('AEO 2025 Table 7'!14:14,MATCH(R2,'AEO 2025 Table 7'!5:5,0))/INDEX('AEO 2025 Table 7'!14:14,MATCH($D$2,'AEO 2025 Table 7'!5:5,0))</f>
        <v>1.5485071637814065</v>
      </c>
      <c r="S6">
        <f>INDEX('AEO 2025 Table 7'!14:14,MATCH(S2,'AEO 2025 Table 7'!5:5,0))/INDEX('AEO 2025 Table 7'!14:14,MATCH($D$2,'AEO 2025 Table 7'!5:5,0))</f>
        <v>1.5632738636950745</v>
      </c>
      <c r="T6">
        <f>INDEX('AEO 2025 Table 7'!14:14,MATCH(T2,'AEO 2025 Table 7'!5:5,0))/INDEX('AEO 2025 Table 7'!14:14,MATCH($D$2,'AEO 2025 Table 7'!5:5,0))</f>
        <v>1.5770793232543305</v>
      </c>
      <c r="U6">
        <f>INDEX('AEO 2025 Table 7'!14:14,MATCH(U2,'AEO 2025 Table 7'!5:5,0))/INDEX('AEO 2025 Table 7'!14:14,MATCH($D$2,'AEO 2025 Table 7'!5:5,0))</f>
        <v>1.5893191299814518</v>
      </c>
      <c r="V6">
        <f>INDEX('AEO 2025 Table 7'!14:14,MATCH(V2,'AEO 2025 Table 7'!5:5,0))/INDEX('AEO 2025 Table 7'!14:14,MATCH($D$2,'AEO 2025 Table 7'!5:5,0))</f>
        <v>1.6008914591350352</v>
      </c>
      <c r="W6">
        <f>INDEX('AEO 2025 Table 7'!14:14,MATCH(W2,'AEO 2025 Table 7'!5:5,0))/INDEX('AEO 2025 Table 7'!14:14,MATCH($D$2,'AEO 2025 Table 7'!5:5,0))</f>
        <v>1.6120872912123156</v>
      </c>
      <c r="X6">
        <f>INDEX('AEO 2025 Table 7'!14:14,MATCH(X2,'AEO 2025 Table 7'!5:5,0))/INDEX('AEO 2025 Table 7'!14:14,MATCH($D$2,'AEO 2025 Table 7'!5:5,0))</f>
        <v>1.6211141399789311</v>
      </c>
      <c r="Y6">
        <f>INDEX('AEO 2025 Table 7'!14:14,MATCH(Y2,'AEO 2025 Table 7'!5:5,0))/INDEX('AEO 2025 Table 7'!14:14,MATCH($D$2,'AEO 2025 Table 7'!5:5,0))</f>
        <v>1.6307241476676948</v>
      </c>
      <c r="Z6">
        <f>INDEX('AEO 2025 Table 7'!14:14,MATCH(Z2,'AEO 2025 Table 7'!5:5,0))/INDEX('AEO 2025 Table 7'!14:14,MATCH($D$2,'AEO 2025 Table 7'!5:5,0))</f>
        <v>1.6380420559947722</v>
      </c>
      <c r="AA6">
        <f>INDEX('AEO 2025 Table 7'!14:14,MATCH(AA2,'AEO 2025 Table 7'!5:5,0))/INDEX('AEO 2025 Table 7'!14:14,MATCH($D$2,'AEO 2025 Table 7'!5:5,0))</f>
        <v>1.6467239402329923</v>
      </c>
      <c r="AB6">
        <f>INDEX('AEO 2025 Table 7'!14:14,MATCH(AB2,'AEO 2025 Table 7'!5:5,0))/INDEX('AEO 2025 Table 7'!14:14,MATCH($D$2,'AEO 2025 Table 7'!5:5,0))</f>
        <v>1.6575201668226356</v>
      </c>
      <c r="AC6">
        <f>INDEX('AEO 2025 Table 7'!14:14,MATCH(AC2,'AEO 2025 Table 7'!5:5,0))/INDEX('AEO 2025 Table 7'!14:14,MATCH($D$2,'AEO 2025 Table 7'!5:5,0))</f>
        <v>1.6683434820349299</v>
      </c>
      <c r="AD6">
        <f>INDEX('AEO 2025 Table 7'!14:14,MATCH(AD2,'AEO 2025 Table 7'!5:5,0))/INDEX('AEO 2025 Table 7'!14:14,MATCH($D$2,'AEO 2025 Table 7'!5:5,0))</f>
        <v>1.682821133592779</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f>C5</f>
        <v>1</v>
      </c>
      <c r="D14">
        <f t="shared" ref="D14:AD14" si="0">D5</f>
        <v>1.0716178093338335</v>
      </c>
      <c r="E14">
        <f t="shared" si="0"/>
        <v>1.0817527323119809</v>
      </c>
      <c r="F14">
        <f t="shared" si="0"/>
        <v>1.1085945185275576</v>
      </c>
      <c r="G14">
        <f t="shared" si="0"/>
        <v>1.1335366025391564</v>
      </c>
      <c r="H14">
        <f t="shared" si="0"/>
        <v>1.1542477258077453</v>
      </c>
      <c r="I14">
        <f t="shared" si="0"/>
        <v>1.1766334225776525</v>
      </c>
      <c r="J14">
        <f t="shared" si="0"/>
        <v>1.1971558895767964</v>
      </c>
      <c r="K14">
        <f t="shared" si="0"/>
        <v>1.2142171078006554</v>
      </c>
      <c r="L14">
        <f t="shared" si="0"/>
        <v>1.2339069157317686</v>
      </c>
      <c r="M14">
        <f t="shared" si="0"/>
        <v>1.2549473070557398</v>
      </c>
      <c r="N14">
        <f t="shared" si="0"/>
        <v>1.2752167829490888</v>
      </c>
      <c r="O14">
        <f t="shared" si="0"/>
        <v>1.2975086149212807</v>
      </c>
      <c r="P14">
        <f t="shared" si="0"/>
        <v>1.3202152487803505</v>
      </c>
      <c r="Q14">
        <f t="shared" si="0"/>
        <v>1.344338467668533</v>
      </c>
      <c r="R14">
        <f t="shared" si="0"/>
        <v>1.3702463242095071</v>
      </c>
      <c r="S14">
        <f t="shared" si="0"/>
        <v>1.3962054648014097</v>
      </c>
      <c r="T14">
        <f t="shared" si="0"/>
        <v>1.4221940420806158</v>
      </c>
      <c r="U14">
        <f t="shared" si="0"/>
        <v>1.4477388433643217</v>
      </c>
      <c r="V14">
        <f t="shared" si="0"/>
        <v>1.4754125477637132</v>
      </c>
      <c r="W14">
        <f t="shared" si="0"/>
        <v>1.5025063999277224</v>
      </c>
      <c r="X14">
        <f t="shared" si="0"/>
        <v>1.5278095030920653</v>
      </c>
      <c r="Y14">
        <f t="shared" si="0"/>
        <v>1.5526372649533449</v>
      </c>
      <c r="Z14">
        <f t="shared" si="0"/>
        <v>1.5770499466222119</v>
      </c>
      <c r="AA14">
        <f t="shared" si="0"/>
        <v>1.6056317536392695</v>
      </c>
      <c r="AB14">
        <f t="shared" si="0"/>
        <v>1.6361132621019796</v>
      </c>
      <c r="AC14">
        <f t="shared" si="0"/>
        <v>1.6653360173816742</v>
      </c>
      <c r="AD14">
        <f t="shared" si="0"/>
        <v>1.6941697970731022</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SUM('AEO 2025 Table 7'!F51:F52)/SUM('AEO 2023 Table 7'!$D$62:$D$63)</f>
        <v>0.86317526059111838</v>
      </c>
      <c r="E16" s="100">
        <f>SUM('AEO 2025 Table 7'!G51:G52)/SUM('AEO 2023 Table 7'!$D$62:$D$63)</f>
        <v>0.84497696153253987</v>
      </c>
      <c r="F16" s="100">
        <f>SUM('AEO 2025 Table 7'!H51:H52)/SUM('AEO 2023 Table 7'!$D$62:$D$63)</f>
        <v>0.85273530182482615</v>
      </c>
      <c r="G16" s="100">
        <f>SUM('AEO 2025 Table 7'!I51:I52)/SUM('AEO 2023 Table 7'!$D$62:$D$63)</f>
        <v>0.86578346593579814</v>
      </c>
      <c r="H16" s="100">
        <f>SUM('AEO 2025 Table 7'!J51:J52)/SUM('AEO 2023 Table 7'!$D$62:$D$63)</f>
        <v>0.87627032753471568</v>
      </c>
      <c r="I16" s="100">
        <f>SUM('AEO 2025 Table 7'!K51:K52)/SUM('AEO 2023 Table 7'!$D$62:$D$63)</f>
        <v>0.88762081303001483</v>
      </c>
      <c r="J16" s="100">
        <f>SUM('AEO 2025 Table 7'!L51:L52)/SUM('AEO 2023 Table 7'!$D$62:$D$63)</f>
        <v>0.89870619555830178</v>
      </c>
      <c r="K16" s="100">
        <f>SUM('AEO 2025 Table 7'!M51:M52)/SUM('AEO 2023 Table 7'!$D$62:$D$63)</f>
        <v>0.90858841846707272</v>
      </c>
      <c r="L16" s="100">
        <f>SUM('AEO 2025 Table 7'!N51:N52)/SUM('AEO 2023 Table 7'!$D$62:$D$63)</f>
        <v>0.91928124467882266</v>
      </c>
      <c r="M16" s="100">
        <f>SUM('AEO 2025 Table 7'!O51:O52)/SUM('AEO 2023 Table 7'!$D$62:$D$63)</f>
        <v>0.92989454000046901</v>
      </c>
      <c r="N16" s="100">
        <f>SUM('AEO 2025 Table 7'!P51:P52)/SUM('AEO 2023 Table 7'!$D$62:$D$63)</f>
        <v>0.94107882632798734</v>
      </c>
      <c r="O16" s="100">
        <f>SUM('AEO 2025 Table 7'!Q51:Q52)/SUM('AEO 2023 Table 7'!$D$62:$D$63)</f>
        <v>0.94976604663161179</v>
      </c>
      <c r="P16" s="100">
        <f>SUM('AEO 2025 Table 7'!R51:R52)/SUM('AEO 2023 Table 7'!$D$62:$D$63)</f>
        <v>0.95684021734364777</v>
      </c>
      <c r="Q16" s="100">
        <f>SUM('AEO 2025 Table 7'!S51:S52)/SUM('AEO 2023 Table 7'!$D$62:$D$63)</f>
        <v>0.96378081694538176</v>
      </c>
      <c r="R16" s="100">
        <f>SUM('AEO 2025 Table 7'!T51:T52)/SUM('AEO 2023 Table 7'!$D$62:$D$63)</f>
        <v>0.96982822347364417</v>
      </c>
      <c r="S16" s="100">
        <f>SUM('AEO 2025 Table 7'!U51:U52)/SUM('AEO 2023 Table 7'!$D$62:$D$63)</f>
        <v>0.97586645336074085</v>
      </c>
      <c r="T16" s="100">
        <f>SUM('AEO 2025 Table 7'!V51:V52)/SUM('AEO 2023 Table 7'!$D$62:$D$63)</f>
        <v>0.98126231836623146</v>
      </c>
      <c r="U16" s="100">
        <f>SUM('AEO 2025 Table 7'!W51:W52)/SUM('AEO 2023 Table 7'!$D$62:$D$63)</f>
        <v>0.98651849450064288</v>
      </c>
      <c r="V16" s="100">
        <f>SUM('AEO 2025 Table 7'!X51:X52)/SUM('AEO 2023 Table 7'!$D$62:$D$63)</f>
        <v>0.99190212398457911</v>
      </c>
      <c r="W16" s="100">
        <f>SUM('AEO 2025 Table 7'!Y51:Y52)/SUM('AEO 2023 Table 7'!$D$62:$D$63)</f>
        <v>0.99712057392753095</v>
      </c>
      <c r="X16" s="100">
        <f>SUM('AEO 2025 Table 7'!Z51:Z52)/SUM('AEO 2023 Table 7'!$D$62:$D$63)</f>
        <v>1.0020616853819164</v>
      </c>
      <c r="Y16" s="100">
        <f>SUM('AEO 2025 Table 7'!AA51:AA52)/SUM('AEO 2023 Table 7'!$D$62:$D$63)</f>
        <v>1.0067295368549203</v>
      </c>
      <c r="Z16" s="100">
        <f>SUM('AEO 2025 Table 7'!AB51:AB52)/SUM('AEO 2023 Table 7'!$D$62:$D$63)</f>
        <v>1.0105939224125184</v>
      </c>
      <c r="AA16" s="100">
        <f>SUM('AEO 2025 Table 7'!AC51:AC52)/SUM('AEO 2023 Table 7'!$D$62:$D$63)</f>
        <v>1.0163007735908502</v>
      </c>
      <c r="AB16" s="100">
        <f>SUM('AEO 2025 Table 7'!AD51:AD52)/SUM('AEO 2023 Table 7'!$D$62:$D$63)</f>
        <v>1.0230415263405288</v>
      </c>
      <c r="AC16" s="100">
        <f>SUM('AEO 2025 Table 7'!AE51:AE52)/SUM('AEO 2023 Table 7'!$D$62:$D$63)</f>
        <v>1.0294865873193093</v>
      </c>
      <c r="AD16" s="100">
        <f>SUM('AEO 2025 Table 7'!AF51:AF52)/SUM('AEO 2023 Table 7'!$D$62:$D$63)</f>
        <v>1.0354830125077619</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60"/>
    </row>
    <row r="22" spans="2:30">
      <c r="C22" s="5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heetViews>
  <sheetFormatPr defaultColWidth="9.140625" defaultRowHeight="15"/>
  <cols>
    <col min="1" max="1" width="16.570312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1.0716178093338335</v>
      </c>
      <c r="D4">
        <f>calcs!E5</f>
        <v>1.0817527323119809</v>
      </c>
      <c r="E4">
        <f>calcs!F5</f>
        <v>1.1085945185275576</v>
      </c>
      <c r="F4">
        <f>calcs!G5</f>
        <v>1.1335366025391564</v>
      </c>
      <c r="G4">
        <f>calcs!H5</f>
        <v>1.1542477258077453</v>
      </c>
      <c r="H4">
        <f>calcs!I5</f>
        <v>1.1766334225776525</v>
      </c>
      <c r="I4">
        <f>calcs!J5</f>
        <v>1.1971558895767964</v>
      </c>
      <c r="J4">
        <f>calcs!K5</f>
        <v>1.2142171078006554</v>
      </c>
      <c r="K4">
        <f>calcs!L5</f>
        <v>1.2339069157317686</v>
      </c>
      <c r="L4">
        <f>calcs!M5</f>
        <v>1.2549473070557398</v>
      </c>
      <c r="M4">
        <f>calcs!N5</f>
        <v>1.2752167829490888</v>
      </c>
      <c r="N4">
        <f>calcs!O5</f>
        <v>1.2975086149212807</v>
      </c>
      <c r="O4">
        <f>calcs!P5</f>
        <v>1.3202152487803505</v>
      </c>
      <c r="P4">
        <f>calcs!Q5</f>
        <v>1.344338467668533</v>
      </c>
      <c r="Q4">
        <f>calcs!R5</f>
        <v>1.3702463242095071</v>
      </c>
      <c r="R4">
        <f>calcs!S5</f>
        <v>1.3962054648014097</v>
      </c>
      <c r="S4">
        <f>calcs!T5</f>
        <v>1.4221940420806158</v>
      </c>
      <c r="T4">
        <f>calcs!U5</f>
        <v>1.4477388433643217</v>
      </c>
      <c r="U4">
        <f>calcs!V5</f>
        <v>1.4754125477637132</v>
      </c>
      <c r="V4">
        <f>calcs!W5</f>
        <v>1.5025063999277224</v>
      </c>
      <c r="W4">
        <f>calcs!X5</f>
        <v>1.5278095030920653</v>
      </c>
      <c r="X4">
        <f>calcs!Y5</f>
        <v>1.5526372649533449</v>
      </c>
      <c r="Y4">
        <f>calcs!Z5</f>
        <v>1.5770499466222119</v>
      </c>
      <c r="Z4">
        <f>calcs!AA5</f>
        <v>1.6056317536392695</v>
      </c>
      <c r="AA4">
        <f>calcs!AB5</f>
        <v>1.6361132621019796</v>
      </c>
      <c r="AB4">
        <f>calcs!AC5</f>
        <v>1.6653360173816742</v>
      </c>
      <c r="AC4">
        <f>calcs!AD5</f>
        <v>1.6941697970731022</v>
      </c>
    </row>
    <row r="5" spans="1:29">
      <c r="A5" t="s">
        <v>124</v>
      </c>
      <c r="B5">
        <f>calcs!C6</f>
        <v>1</v>
      </c>
      <c r="C5">
        <f>calcs!D6</f>
        <v>1</v>
      </c>
      <c r="D5">
        <f>calcs!E6</f>
        <v>1.111881421544451</v>
      </c>
      <c r="E5">
        <f>calcs!F6</f>
        <v>1.1975423315761022</v>
      </c>
      <c r="F5">
        <f>calcs!G6</f>
        <v>1.2632776468279667</v>
      </c>
      <c r="G5">
        <f>calcs!H6</f>
        <v>1.3145784745612137</v>
      </c>
      <c r="H5">
        <f>calcs!I6</f>
        <v>1.3587253168451083</v>
      </c>
      <c r="I5">
        <f>calcs!J6</f>
        <v>1.3953539263799248</v>
      </c>
      <c r="J5">
        <f>calcs!K6</f>
        <v>1.4240987033669459</v>
      </c>
      <c r="K5">
        <f>calcs!L6</f>
        <v>1.4476889907702766</v>
      </c>
      <c r="L5">
        <f>calcs!M6</f>
        <v>1.4670556556812706</v>
      </c>
      <c r="M5">
        <f>calcs!N6</f>
        <v>1.4861423919439287</v>
      </c>
      <c r="N5">
        <f>calcs!O6</f>
        <v>1.5014430584592957</v>
      </c>
      <c r="O5">
        <f>calcs!P6</f>
        <v>1.516104804451252</v>
      </c>
      <c r="P5">
        <f>calcs!Q6</f>
        <v>1.5319365779990226</v>
      </c>
      <c r="Q5">
        <f>calcs!R6</f>
        <v>1.5485071637814065</v>
      </c>
      <c r="R5">
        <f>calcs!S6</f>
        <v>1.5632738636950745</v>
      </c>
      <c r="S5">
        <f>calcs!T6</f>
        <v>1.5770793232543305</v>
      </c>
      <c r="T5">
        <f>calcs!U6</f>
        <v>1.5893191299814518</v>
      </c>
      <c r="U5">
        <f>calcs!V6</f>
        <v>1.6008914591350352</v>
      </c>
      <c r="V5">
        <f>calcs!W6</f>
        <v>1.6120872912123156</v>
      </c>
      <c r="W5">
        <f>calcs!X6</f>
        <v>1.6211141399789311</v>
      </c>
      <c r="X5">
        <f>calcs!Y6</f>
        <v>1.6307241476676948</v>
      </c>
      <c r="Y5">
        <f>calcs!Z6</f>
        <v>1.6380420559947722</v>
      </c>
      <c r="Z5">
        <f>calcs!AA6</f>
        <v>1.6467239402329923</v>
      </c>
      <c r="AA5">
        <f>calcs!AB6</f>
        <v>1.6575201668226356</v>
      </c>
      <c r="AB5">
        <f>calcs!AC6</f>
        <v>1.6683434820349299</v>
      </c>
      <c r="AC5">
        <f>calcs!AD6</f>
        <v>1.682821133592779</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workbookViewId="0"/>
  </sheetViews>
  <sheetFormatPr defaultColWidth="9.140625" defaultRowHeight="15"/>
  <cols>
    <col min="1" max="1" width="16.570312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1.0716178093338335</v>
      </c>
      <c r="D4">
        <f>calcs!E14</f>
        <v>1.0817527323119809</v>
      </c>
      <c r="E4">
        <f>calcs!F14</f>
        <v>1.1085945185275576</v>
      </c>
      <c r="F4">
        <f>calcs!G14</f>
        <v>1.1335366025391564</v>
      </c>
      <c r="G4">
        <f>calcs!H14</f>
        <v>1.1542477258077453</v>
      </c>
      <c r="H4">
        <f>calcs!I14</f>
        <v>1.1766334225776525</v>
      </c>
      <c r="I4">
        <f>calcs!J14</f>
        <v>1.1971558895767964</v>
      </c>
      <c r="J4">
        <f>calcs!K14</f>
        <v>1.2142171078006554</v>
      </c>
      <c r="K4">
        <f>calcs!L14</f>
        <v>1.2339069157317686</v>
      </c>
      <c r="L4">
        <f>calcs!M14</f>
        <v>1.2549473070557398</v>
      </c>
      <c r="M4">
        <f>calcs!N14</f>
        <v>1.2752167829490888</v>
      </c>
      <c r="N4">
        <f>calcs!O14</f>
        <v>1.2975086149212807</v>
      </c>
      <c r="O4">
        <f>calcs!P14</f>
        <v>1.3202152487803505</v>
      </c>
      <c r="P4">
        <f>calcs!Q14</f>
        <v>1.344338467668533</v>
      </c>
      <c r="Q4">
        <f>calcs!R14</f>
        <v>1.3702463242095071</v>
      </c>
      <c r="R4">
        <f>calcs!S14</f>
        <v>1.3962054648014097</v>
      </c>
      <c r="S4">
        <f>calcs!T14</f>
        <v>1.4221940420806158</v>
      </c>
      <c r="T4">
        <f>calcs!U14</f>
        <v>1.4477388433643217</v>
      </c>
      <c r="U4">
        <f>calcs!V14</f>
        <v>1.4754125477637132</v>
      </c>
      <c r="V4">
        <f>calcs!W14</f>
        <v>1.5025063999277224</v>
      </c>
      <c r="W4">
        <f>calcs!X14</f>
        <v>1.5278095030920653</v>
      </c>
      <c r="X4">
        <f>calcs!Y14</f>
        <v>1.5526372649533449</v>
      </c>
      <c r="Y4">
        <f>calcs!Z14</f>
        <v>1.5770499466222119</v>
      </c>
      <c r="Z4">
        <f>calcs!AA14</f>
        <v>1.6056317536392695</v>
      </c>
      <c r="AA4">
        <f>calcs!AB14</f>
        <v>1.6361132621019796</v>
      </c>
      <c r="AB4">
        <f>calcs!AC14</f>
        <v>1.6653360173816742</v>
      </c>
      <c r="AC4">
        <f>calcs!AD14</f>
        <v>1.6941697970731022</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0.86317526059111838</v>
      </c>
      <c r="D6">
        <f>calcs!E16</f>
        <v>0.84497696153253987</v>
      </c>
      <c r="E6">
        <f>calcs!F16</f>
        <v>0.85273530182482615</v>
      </c>
      <c r="F6">
        <f>calcs!G16</f>
        <v>0.86578346593579814</v>
      </c>
      <c r="G6">
        <f>calcs!H16</f>
        <v>0.87627032753471568</v>
      </c>
      <c r="H6">
        <f>calcs!I16</f>
        <v>0.88762081303001483</v>
      </c>
      <c r="I6">
        <f>calcs!J16</f>
        <v>0.89870619555830178</v>
      </c>
      <c r="J6">
        <f>calcs!K16</f>
        <v>0.90858841846707272</v>
      </c>
      <c r="K6">
        <f>calcs!L16</f>
        <v>0.91928124467882266</v>
      </c>
      <c r="L6">
        <f>calcs!M16</f>
        <v>0.92989454000046901</v>
      </c>
      <c r="M6">
        <f>calcs!N16</f>
        <v>0.94107882632798734</v>
      </c>
      <c r="N6">
        <f>calcs!O16</f>
        <v>0.94976604663161179</v>
      </c>
      <c r="O6">
        <f>calcs!P16</f>
        <v>0.95684021734364777</v>
      </c>
      <c r="P6">
        <f>calcs!Q16</f>
        <v>0.96378081694538176</v>
      </c>
      <c r="Q6">
        <f>calcs!R16</f>
        <v>0.96982822347364417</v>
      </c>
      <c r="R6">
        <f>calcs!S16</f>
        <v>0.97586645336074085</v>
      </c>
      <c r="S6">
        <f>calcs!T16</f>
        <v>0.98126231836623146</v>
      </c>
      <c r="T6">
        <f>calcs!U16</f>
        <v>0.98651849450064288</v>
      </c>
      <c r="U6">
        <f>calcs!V16</f>
        <v>0.99190212398457911</v>
      </c>
      <c r="V6">
        <f>calcs!W16</f>
        <v>0.99712057392753095</v>
      </c>
      <c r="W6">
        <f>calcs!X16</f>
        <v>1.0020616853819164</v>
      </c>
      <c r="X6">
        <f>calcs!Y16</f>
        <v>1.0067295368549203</v>
      </c>
      <c r="Y6">
        <f>calcs!Z16</f>
        <v>1.0105939224125184</v>
      </c>
      <c r="Z6">
        <f>calcs!AA16</f>
        <v>1.0163007735908502</v>
      </c>
      <c r="AA6">
        <f>calcs!AB16</f>
        <v>1.0230415263405288</v>
      </c>
      <c r="AB6">
        <f>calcs!AC16</f>
        <v>1.0294865873193093</v>
      </c>
      <c r="AC6">
        <f>calcs!AD16</f>
        <v>1.0354830125077619</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2026-01-13T23:42:39Z</dcterms:modified>
</cp:coreProperties>
</file>