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defaultThemeVersion="124226"/>
  <mc:AlternateContent xmlns:mc="http://schemas.openxmlformats.org/markup-compatibility/2006">
    <mc:Choice Requires="x15">
      <x15ac:absPath xmlns:x15ac="http://schemas.microsoft.com/office/spreadsheetml/2010/11/ac" url="C:\Users\RobbieOrvis\Models\US\Models\eps-us\.claude\worktrees\bold-greider-a501d1\InputData\trans\BCDTRtSY\"/>
    </mc:Choice>
  </mc:AlternateContent>
  <xr:revisionPtr revIDLastSave="0" documentId="13_ncr:1_{92C1561F-2A70-475A-80C6-9F78BCCE15BB}" xr6:coauthVersionLast="47" xr6:coauthVersionMax="47" xr10:uidLastSave="{00000000-0000-0000-0000-000000000000}"/>
  <bookViews>
    <workbookView xWindow="390" yWindow="390" windowWidth="43200" windowHeight="17145" firstSheet="16" activeTab="18" xr2:uid="{CE897B3D-A700-46F1-B02E-51A9599F0808}"/>
  </bookViews>
  <sheets>
    <sheet name="About" sheetId="1" r:id="rId1"/>
    <sheet name="source data&gt;" sheetId="66" r:id="rId2"/>
    <sheet name="EPA_Table 3-13" sheetId="57" r:id="rId3"/>
    <sheet name="AEO 2025 Table 7" sheetId="64" r:id="rId4"/>
    <sheet name="AEO 2025 Table 35" sheetId="63" r:id="rId5"/>
    <sheet name="AEO 2025 Table 45" sheetId="74" r:id="rId6"/>
    <sheet name="AEO 2025 Table 46" sheetId="60" r:id="rId7"/>
    <sheet name="AEO 2025 Table 47" sheetId="61" r:id="rId8"/>
    <sheet name="AEO 2025 Table 49" sheetId="62" r:id="rId9"/>
    <sheet name="AEO 2026 Table 7 raw" sheetId="68" r:id="rId10"/>
    <sheet name="AEO 2026 Table 35 raw" sheetId="69" r:id="rId11"/>
    <sheet name="AEO 2026 Table 45" sheetId="73" r:id="rId12"/>
    <sheet name="AEO 2026 Table 46 raw" sheetId="70" r:id="rId13"/>
    <sheet name="AEO 2026 Table 49 raw" sheetId="72" r:id="rId14"/>
    <sheet name="AEO 2026 Table 47" sheetId="75" r:id="rId15"/>
    <sheet name="calcs&gt;" sheetId="65" r:id="rId16"/>
    <sheet name="AEO 2022 Table 36" sheetId="59" r:id="rId17"/>
    <sheet name="calcs" sheetId="67" r:id="rId18"/>
    <sheet name="boat activity" sheetId="77" r:id="rId19"/>
    <sheet name="BCDTRtSY-psgr" sheetId="23" r:id="rId20"/>
    <sheet name="BCDTRtSY-frgt" sheetId="24" r:id="rId21"/>
  </sheets>
  <externalReferences>
    <externalReference r:id="rId22"/>
    <externalReference r:id="rId23"/>
    <externalReference r:id="rId24"/>
  </externalReferences>
  <definedNames>
    <definedName name="Eno_TM" localSheetId="20">'[1]1997  Table 1a Modified'!#REF!</definedName>
    <definedName name="Eno_TM" localSheetId="2">'[2]1997  Table 1a Modified'!#REF!</definedName>
    <definedName name="Eno_TM">'[1]1997  Table 1a Modified'!#REF!</definedName>
    <definedName name="Eno_Tons" localSheetId="20">'[1]1997  Table 1a Modified'!#REF!</definedName>
    <definedName name="Eno_Tons" localSheetId="2">'[2]1997  Table 1a Modified'!#REF!</definedName>
    <definedName name="Eno_Tons">'[1]1997  Table 1a Modified'!#REF!</definedName>
    <definedName name="NTS_YR">[3]About!$B$136</definedName>
    <definedName name="Sum_T2" localSheetId="20">'[1]1997  Table 1a Modified'!#REF!</definedName>
    <definedName name="Sum_T2" localSheetId="2">'[2]1997  Table 1a Modified'!#REF!</definedName>
    <definedName name="Sum_T2">'[1]1997  Table 1a Modified'!#REF!</definedName>
    <definedName name="Sum_TTM" localSheetId="20">'[1]1997  Table 1a Modified'!#REF!</definedName>
    <definedName name="Sum_TTM" localSheetId="2">'[2]1997  Table 1a Modified'!#REF!</definedName>
    <definedName name="Sum_TTM">'[1]1997  Table 1a Modified'!#REF!</definedName>
    <definedName name="ti_tbl_50" localSheetId="20">#REF!</definedName>
    <definedName name="ti_tbl_50" localSheetId="2">#REF!</definedName>
    <definedName name="ti_tbl_50">#REF!</definedName>
    <definedName name="ti_tbl_69" localSheetId="20">#REF!</definedName>
    <definedName name="ti_tbl_69" localSheetId="2">#REF!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7" i="24" l="1"/>
  <c r="AA7" i="24"/>
  <c r="Z7" i="24"/>
  <c r="Y7" i="24"/>
  <c r="X7" i="24"/>
  <c r="W7" i="24"/>
  <c r="V7" i="24"/>
  <c r="U7" i="24"/>
  <c r="T7" i="24"/>
  <c r="S7" i="24"/>
  <c r="R7" i="24"/>
  <c r="Q7" i="24"/>
  <c r="P7" i="24"/>
  <c r="O7" i="24"/>
  <c r="N7" i="24"/>
  <c r="M7" i="24"/>
  <c r="L7" i="24"/>
  <c r="K7" i="24"/>
  <c r="J7" i="24"/>
  <c r="I7" i="24"/>
  <c r="H7" i="24"/>
  <c r="G7" i="24"/>
  <c r="F7" i="24"/>
  <c r="E7" i="24"/>
  <c r="D7" i="24"/>
  <c r="C7" i="24"/>
  <c r="B7" i="24"/>
  <c r="B5" i="23"/>
  <c r="AF16" i="67"/>
  <c r="AD16" i="67"/>
  <c r="AB6" i="24" s="1"/>
  <c r="AC16" i="67"/>
  <c r="AA6" i="24" s="1"/>
  <c r="AB16" i="67"/>
  <c r="Z6" i="24" s="1"/>
  <c r="AA16" i="67"/>
  <c r="Y6" i="24" s="1"/>
  <c r="Z16" i="67"/>
  <c r="X6" i="24" s="1"/>
  <c r="Y16" i="67"/>
  <c r="W6" i="24" s="1"/>
  <c r="X16" i="67"/>
  <c r="V6" i="24" s="1"/>
  <c r="W16" i="67"/>
  <c r="U6" i="24" s="1"/>
  <c r="V16" i="67"/>
  <c r="T6" i="24" s="1"/>
  <c r="U16" i="67"/>
  <c r="S6" i="24" s="1"/>
  <c r="T16" i="67"/>
  <c r="R6" i="24" s="1"/>
  <c r="S16" i="67"/>
  <c r="Q6" i="24" s="1"/>
  <c r="R16" i="67"/>
  <c r="P6" i="24" s="1"/>
  <c r="Q16" i="67"/>
  <c r="O6" i="24" s="1"/>
  <c r="P16" i="67"/>
  <c r="N6" i="24" s="1"/>
  <c r="O16" i="67"/>
  <c r="M6" i="24" s="1"/>
  <c r="N16" i="67"/>
  <c r="L6" i="24" s="1"/>
  <c r="M16" i="67"/>
  <c r="K6" i="24" s="1"/>
  <c r="L16" i="67"/>
  <c r="J6" i="24" s="1"/>
  <c r="K16" i="67"/>
  <c r="I6" i="24" s="1"/>
  <c r="J16" i="67"/>
  <c r="H6" i="24" s="1"/>
  <c r="I16" i="67"/>
  <c r="G6" i="24" s="1"/>
  <c r="H16" i="67"/>
  <c r="F6" i="24" s="1"/>
  <c r="G16" i="67"/>
  <c r="E6" i="24" s="1"/>
  <c r="F16" i="67"/>
  <c r="D6" i="24" s="1"/>
  <c r="E16" i="67"/>
  <c r="C6" i="24" s="1"/>
  <c r="AF15" i="67"/>
  <c r="AB15" i="67"/>
  <c r="Z5" i="24" s="1"/>
  <c r="AA15" i="67"/>
  <c r="Y5" i="24" s="1"/>
  <c r="Z15" i="67"/>
  <c r="X5" i="24" s="1"/>
  <c r="Y15" i="67"/>
  <c r="W5" i="24" s="1"/>
  <c r="X15" i="67"/>
  <c r="V5" i="24" s="1"/>
  <c r="W15" i="67"/>
  <c r="U5" i="24" s="1"/>
  <c r="V15" i="67"/>
  <c r="T5" i="24" s="1"/>
  <c r="U15" i="67"/>
  <c r="S5" i="24" s="1"/>
  <c r="T15" i="67"/>
  <c r="R5" i="24" s="1"/>
  <c r="S15" i="67"/>
  <c r="Q5" i="24" s="1"/>
  <c r="R15" i="67"/>
  <c r="P5" i="24" s="1"/>
  <c r="Q15" i="67"/>
  <c r="O5" i="24" s="1"/>
  <c r="P15" i="67"/>
  <c r="N5" i="24" s="1"/>
  <c r="O15" i="67"/>
  <c r="M5" i="24" s="1"/>
  <c r="N15" i="67"/>
  <c r="L5" i="24" s="1"/>
  <c r="M15" i="67"/>
  <c r="K5" i="24" s="1"/>
  <c r="L15" i="67"/>
  <c r="J5" i="24" s="1"/>
  <c r="K15" i="67"/>
  <c r="I5" i="24" s="1"/>
  <c r="J15" i="67"/>
  <c r="H5" i="24" s="1"/>
  <c r="I15" i="67"/>
  <c r="G5" i="24" s="1"/>
  <c r="H15" i="67"/>
  <c r="F5" i="24" s="1"/>
  <c r="G15" i="67"/>
  <c r="E5" i="24" s="1"/>
  <c r="F15" i="67"/>
  <c r="D5" i="24" s="1"/>
  <c r="E15" i="67"/>
  <c r="C5" i="24" s="1"/>
  <c r="AF14" i="67"/>
  <c r="AD14" i="67"/>
  <c r="AB4" i="24" s="1"/>
  <c r="AC14" i="67"/>
  <c r="AA4" i="24" s="1"/>
  <c r="AB14" i="67"/>
  <c r="Z4" i="24" s="1"/>
  <c r="AA14" i="67"/>
  <c r="Y4" i="24" s="1"/>
  <c r="Z14" i="67"/>
  <c r="X4" i="24" s="1"/>
  <c r="Y14" i="67"/>
  <c r="W4" i="24" s="1"/>
  <c r="X14" i="67"/>
  <c r="V4" i="24" s="1"/>
  <c r="W14" i="67"/>
  <c r="U4" i="24" s="1"/>
  <c r="V14" i="67"/>
  <c r="T4" i="24" s="1"/>
  <c r="U14" i="67"/>
  <c r="S4" i="24" s="1"/>
  <c r="T14" i="67"/>
  <c r="R4" i="24" s="1"/>
  <c r="S14" i="67"/>
  <c r="Q4" i="24" s="1"/>
  <c r="R14" i="67"/>
  <c r="P4" i="24" s="1"/>
  <c r="Q14" i="67"/>
  <c r="O4" i="24" s="1"/>
  <c r="P14" i="67"/>
  <c r="N4" i="24" s="1"/>
  <c r="O14" i="67"/>
  <c r="M4" i="24" s="1"/>
  <c r="N14" i="67"/>
  <c r="L4" i="24" s="1"/>
  <c r="M14" i="67"/>
  <c r="K4" i="24" s="1"/>
  <c r="L14" i="67"/>
  <c r="J4" i="24" s="1"/>
  <c r="K14" i="67"/>
  <c r="I4" i="24" s="1"/>
  <c r="J14" i="67"/>
  <c r="H4" i="24" s="1"/>
  <c r="I14" i="67"/>
  <c r="G4" i="24" s="1"/>
  <c r="H14" i="67"/>
  <c r="F4" i="24" s="1"/>
  <c r="G14" i="67"/>
  <c r="E4" i="24" s="1"/>
  <c r="F14" i="67"/>
  <c r="D4" i="24" s="1"/>
  <c r="E14" i="67"/>
  <c r="C4" i="24" s="1"/>
  <c r="AF13" i="67"/>
  <c r="AF12" i="67"/>
  <c r="AD12" i="67" s="1"/>
  <c r="AB2" i="24" s="1"/>
  <c r="AC12" i="67"/>
  <c r="AA2" i="24" s="1"/>
  <c r="AB12" i="67"/>
  <c r="Z2" i="24" s="1"/>
  <c r="AA12" i="67"/>
  <c r="Y2" i="24" s="1"/>
  <c r="Z12" i="67"/>
  <c r="X2" i="24" s="1"/>
  <c r="Y12" i="67"/>
  <c r="W2" i="24" s="1"/>
  <c r="X12" i="67"/>
  <c r="V2" i="24" s="1"/>
  <c r="W12" i="67"/>
  <c r="U2" i="24" s="1"/>
  <c r="V12" i="67"/>
  <c r="T2" i="24" s="1"/>
  <c r="U12" i="67"/>
  <c r="S2" i="24" s="1"/>
  <c r="T12" i="67"/>
  <c r="R2" i="24" s="1"/>
  <c r="S12" i="67"/>
  <c r="Q2" i="24" s="1"/>
  <c r="R12" i="67"/>
  <c r="P2" i="24" s="1"/>
  <c r="Q12" i="67"/>
  <c r="O2" i="24" s="1"/>
  <c r="P12" i="67"/>
  <c r="N2" i="24" s="1"/>
  <c r="O12" i="67"/>
  <c r="M2" i="24" s="1"/>
  <c r="N12" i="67"/>
  <c r="L2" i="24" s="1"/>
  <c r="M12" i="67"/>
  <c r="K2" i="24" s="1"/>
  <c r="L12" i="67"/>
  <c r="J2" i="24" s="1"/>
  <c r="K12" i="67"/>
  <c r="I2" i="24" s="1"/>
  <c r="J12" i="67"/>
  <c r="H2" i="24" s="1"/>
  <c r="I12" i="67"/>
  <c r="G2" i="24" s="1"/>
  <c r="H12" i="67"/>
  <c r="F2" i="24" s="1"/>
  <c r="G12" i="67"/>
  <c r="E2" i="24" s="1"/>
  <c r="F12" i="67"/>
  <c r="D2" i="24" s="1"/>
  <c r="E12" i="67"/>
  <c r="C2" i="24" s="1"/>
  <c r="AF7" i="67"/>
  <c r="AC7" i="67"/>
  <c r="AA14" i="77" s="1"/>
  <c r="AB7" i="67"/>
  <c r="Z14" i="77" s="1"/>
  <c r="AA7" i="67"/>
  <c r="Y14" i="77" s="1"/>
  <c r="Z7" i="67"/>
  <c r="X14" i="77" s="1"/>
  <c r="Y7" i="67"/>
  <c r="W14" i="77" s="1"/>
  <c r="X7" i="67"/>
  <c r="V14" i="77" s="1"/>
  <c r="W7" i="67"/>
  <c r="U14" i="77" s="1"/>
  <c r="V7" i="67"/>
  <c r="T14" i="77" s="1"/>
  <c r="U7" i="67"/>
  <c r="S14" i="77" s="1"/>
  <c r="T7" i="67"/>
  <c r="R14" i="77" s="1"/>
  <c r="S7" i="67"/>
  <c r="Q14" i="77" s="1"/>
  <c r="R7" i="67"/>
  <c r="P14" i="77" s="1"/>
  <c r="Q7" i="67"/>
  <c r="O14" i="77" s="1"/>
  <c r="P7" i="67"/>
  <c r="N14" i="77" s="1"/>
  <c r="O7" i="67"/>
  <c r="M14" i="77" s="1"/>
  <c r="N7" i="67"/>
  <c r="L14" i="77" s="1"/>
  <c r="M7" i="67"/>
  <c r="K14" i="77" s="1"/>
  <c r="L7" i="67"/>
  <c r="J14" i="77" s="1"/>
  <c r="K7" i="67"/>
  <c r="I14" i="77" s="1"/>
  <c r="J7" i="67"/>
  <c r="H14" i="77" s="1"/>
  <c r="H7" i="67"/>
  <c r="F14" i="77" s="1"/>
  <c r="G7" i="67"/>
  <c r="E14" i="77" s="1"/>
  <c r="F7" i="67"/>
  <c r="D14" i="77" s="1"/>
  <c r="E7" i="67"/>
  <c r="C14" i="77" s="1"/>
  <c r="AF5" i="67"/>
  <c r="AD5" i="67"/>
  <c r="AB4" i="23" s="1"/>
  <c r="AC5" i="67"/>
  <c r="AA4" i="23" s="1"/>
  <c r="AB5" i="67"/>
  <c r="Z4" i="23" s="1"/>
  <c r="AA5" i="67"/>
  <c r="Y4" i="23" s="1"/>
  <c r="Z5" i="67"/>
  <c r="X4" i="23" s="1"/>
  <c r="Y5" i="67"/>
  <c r="W4" i="23" s="1"/>
  <c r="X5" i="67"/>
  <c r="V4" i="23" s="1"/>
  <c r="W5" i="67"/>
  <c r="U4" i="23" s="1"/>
  <c r="V5" i="67"/>
  <c r="T4" i="23" s="1"/>
  <c r="U5" i="67"/>
  <c r="S4" i="23" s="1"/>
  <c r="T5" i="67"/>
  <c r="R4" i="23" s="1"/>
  <c r="S5" i="67"/>
  <c r="Q4" i="23" s="1"/>
  <c r="R5" i="67"/>
  <c r="P4" i="23" s="1"/>
  <c r="Q5" i="67"/>
  <c r="O4" i="23" s="1"/>
  <c r="P5" i="67"/>
  <c r="N4" i="23" s="1"/>
  <c r="O5" i="67"/>
  <c r="M4" i="23" s="1"/>
  <c r="N5" i="67"/>
  <c r="L4" i="23" s="1"/>
  <c r="M5" i="67"/>
  <c r="K4" i="23" s="1"/>
  <c r="L5" i="67"/>
  <c r="J4" i="23" s="1"/>
  <c r="K5" i="67"/>
  <c r="I4" i="23" s="1"/>
  <c r="J5" i="67"/>
  <c r="H4" i="23" s="1"/>
  <c r="I5" i="67"/>
  <c r="G4" i="23" s="1"/>
  <c r="H5" i="67"/>
  <c r="F4" i="23" s="1"/>
  <c r="G5" i="67"/>
  <c r="E4" i="23" s="1"/>
  <c r="F5" i="67"/>
  <c r="D4" i="23" s="1"/>
  <c r="E5" i="67"/>
  <c r="C4" i="23" s="1"/>
  <c r="AF4" i="67"/>
  <c r="AD4" i="67"/>
  <c r="AB3" i="23" s="1"/>
  <c r="AC4" i="67"/>
  <c r="AA3" i="23" s="1"/>
  <c r="AB4" i="67"/>
  <c r="Z3" i="23" s="1"/>
  <c r="AA4" i="67"/>
  <c r="Y3" i="23" s="1"/>
  <c r="Z4" i="67"/>
  <c r="X3" i="23" s="1"/>
  <c r="Y4" i="67"/>
  <c r="W3" i="23" s="1"/>
  <c r="X4" i="67"/>
  <c r="V3" i="23" s="1"/>
  <c r="W4" i="67"/>
  <c r="U3" i="23" s="1"/>
  <c r="V4" i="67"/>
  <c r="T3" i="23" s="1"/>
  <c r="U4" i="67"/>
  <c r="S3" i="23" s="1"/>
  <c r="T4" i="67"/>
  <c r="R3" i="23" s="1"/>
  <c r="S4" i="67"/>
  <c r="Q3" i="23" s="1"/>
  <c r="R4" i="67"/>
  <c r="P3" i="23" s="1"/>
  <c r="Q4" i="67"/>
  <c r="O3" i="23" s="1"/>
  <c r="P4" i="67"/>
  <c r="N3" i="23" s="1"/>
  <c r="O4" i="67"/>
  <c r="M3" i="23" s="1"/>
  <c r="N4" i="67"/>
  <c r="L3" i="23" s="1"/>
  <c r="M4" i="67"/>
  <c r="K3" i="23" s="1"/>
  <c r="L4" i="67"/>
  <c r="J3" i="23" s="1"/>
  <c r="K4" i="67"/>
  <c r="I3" i="23" s="1"/>
  <c r="J4" i="67"/>
  <c r="H3" i="23" s="1"/>
  <c r="I4" i="67"/>
  <c r="G3" i="23" s="1"/>
  <c r="H4" i="67"/>
  <c r="F3" i="23" s="1"/>
  <c r="G4" i="67"/>
  <c r="E3" i="23" s="1"/>
  <c r="F4" i="67"/>
  <c r="D3" i="23" s="1"/>
  <c r="E4" i="67"/>
  <c r="C3" i="23" s="1"/>
  <c r="AF3" i="67"/>
  <c r="AD3" i="67"/>
  <c r="AB2" i="23" s="1"/>
  <c r="AC3" i="67"/>
  <c r="AA2" i="23" s="1"/>
  <c r="AB3" i="67"/>
  <c r="Z2" i="23" s="1"/>
  <c r="AA3" i="67"/>
  <c r="Y2" i="23" s="1"/>
  <c r="Z3" i="67"/>
  <c r="X2" i="23" s="1"/>
  <c r="Y3" i="67"/>
  <c r="W2" i="23" s="1"/>
  <c r="X3" i="67"/>
  <c r="V2" i="23" s="1"/>
  <c r="W3" i="67"/>
  <c r="U2" i="23" s="1"/>
  <c r="V3" i="67"/>
  <c r="T2" i="23" s="1"/>
  <c r="U3" i="67"/>
  <c r="S2" i="23" s="1"/>
  <c r="T3" i="67"/>
  <c r="R2" i="23" s="1"/>
  <c r="S3" i="67"/>
  <c r="Q2" i="23" s="1"/>
  <c r="R3" i="67"/>
  <c r="P2" i="23" s="1"/>
  <c r="Q3" i="67"/>
  <c r="O2" i="23" s="1"/>
  <c r="P3" i="67"/>
  <c r="N2" i="23" s="1"/>
  <c r="O3" i="67"/>
  <c r="M2" i="23" s="1"/>
  <c r="N3" i="67"/>
  <c r="L2" i="23" s="1"/>
  <c r="M3" i="67"/>
  <c r="K2" i="23" s="1"/>
  <c r="L3" i="67"/>
  <c r="J2" i="23" s="1"/>
  <c r="K3" i="67"/>
  <c r="I2" i="23" s="1"/>
  <c r="J3" i="67"/>
  <c r="H2" i="23" s="1"/>
  <c r="I3" i="67"/>
  <c r="G2" i="23" s="1"/>
  <c r="H3" i="67"/>
  <c r="F2" i="23" s="1"/>
  <c r="G3" i="67"/>
  <c r="E2" i="23" s="1"/>
  <c r="F3" i="67"/>
  <c r="D2" i="23" s="1"/>
  <c r="E3" i="67"/>
  <c r="C2" i="23" s="1"/>
  <c r="B11" i="77"/>
  <c r="C11" i="77"/>
  <c r="D11" i="77"/>
  <c r="E11" i="77"/>
  <c r="F11" i="77"/>
  <c r="G11" i="77"/>
  <c r="H11" i="77"/>
  <c r="I11" i="77"/>
  <c r="J11" i="77"/>
  <c r="K11" i="77"/>
  <c r="L11" i="77"/>
  <c r="L12" i="77" s="1"/>
  <c r="M11" i="77"/>
  <c r="M12" i="77" s="1"/>
  <c r="N11" i="77"/>
  <c r="N12" i="77" s="1"/>
  <c r="O11" i="77"/>
  <c r="O12" i="77" s="1"/>
  <c r="P11" i="77"/>
  <c r="P12" i="77" s="1"/>
  <c r="Q11" i="77"/>
  <c r="Q12" i="77" s="1"/>
  <c r="R11" i="77"/>
  <c r="R12" i="77" s="1"/>
  <c r="S11" i="77"/>
  <c r="S12" i="77" s="1"/>
  <c r="T11" i="77"/>
  <c r="T12" i="77" s="1"/>
  <c r="U11" i="77"/>
  <c r="U12" i="77" s="1"/>
  <c r="V11" i="77"/>
  <c r="V12" i="77" s="1"/>
  <c r="W11" i="77"/>
  <c r="W12" i="77" s="1"/>
  <c r="X11" i="77"/>
  <c r="X12" i="77" s="1"/>
  <c r="Y11" i="77"/>
  <c r="Y12" i="77" s="1"/>
  <c r="Z11" i="77"/>
  <c r="Z12" i="77" s="1"/>
  <c r="AA11" i="77"/>
  <c r="AA12" i="77" s="1"/>
  <c r="AB11" i="77"/>
  <c r="AB12" i="77" s="1"/>
  <c r="B12" i="77"/>
  <c r="B13" i="77" s="1"/>
  <c r="C12" i="77"/>
  <c r="C13" i="77" s="1"/>
  <c r="D12" i="77"/>
  <c r="D13" i="77" s="1"/>
  <c r="E12" i="77"/>
  <c r="E13" i="77" s="1"/>
  <c r="F12" i="77"/>
  <c r="F13" i="77" s="1"/>
  <c r="G12" i="77"/>
  <c r="G13" i="77" s="1"/>
  <c r="H12" i="77"/>
  <c r="H13" i="77" s="1"/>
  <c r="I12" i="77"/>
  <c r="I13" i="77" s="1"/>
  <c r="J12" i="77"/>
  <c r="J13" i="77" s="1"/>
  <c r="K12" i="77"/>
  <c r="K13" i="77" s="1"/>
  <c r="AE22" i="68"/>
  <c r="F6" i="67"/>
  <c r="D5" i="23" s="1"/>
  <c r="G6" i="67"/>
  <c r="E5" i="23" s="1"/>
  <c r="H6" i="67"/>
  <c r="F5" i="23" s="1"/>
  <c r="I6" i="67"/>
  <c r="G5" i="23" s="1"/>
  <c r="J6" i="67"/>
  <c r="H5" i="23" s="1"/>
  <c r="K6" i="67"/>
  <c r="I5" i="23" s="1"/>
  <c r="L6" i="67"/>
  <c r="J5" i="23" s="1"/>
  <c r="M6" i="67"/>
  <c r="K5" i="23" s="1"/>
  <c r="N6" i="67"/>
  <c r="L5" i="23" s="1"/>
  <c r="O6" i="67"/>
  <c r="M5" i="23" s="1"/>
  <c r="P6" i="67"/>
  <c r="N5" i="23" s="1"/>
  <c r="Q6" i="67"/>
  <c r="O5" i="23" s="1"/>
  <c r="R6" i="67"/>
  <c r="P5" i="23" s="1"/>
  <c r="S6" i="67"/>
  <c r="Q5" i="23" s="1"/>
  <c r="T6" i="67"/>
  <c r="R5" i="23" s="1"/>
  <c r="U6" i="67"/>
  <c r="S5" i="23" s="1"/>
  <c r="V6" i="67"/>
  <c r="T5" i="23" s="1"/>
  <c r="W6" i="67"/>
  <c r="U5" i="23" s="1"/>
  <c r="X6" i="67"/>
  <c r="V5" i="23" s="1"/>
  <c r="Y6" i="67"/>
  <c r="W5" i="23" s="1"/>
  <c r="Z6" i="67"/>
  <c r="X5" i="23" s="1"/>
  <c r="AA6" i="67"/>
  <c r="Y5" i="23" s="1"/>
  <c r="AB6" i="67"/>
  <c r="Z5" i="23" s="1"/>
  <c r="AC6" i="67"/>
  <c r="AA5" i="23" s="1"/>
  <c r="AD6" i="67"/>
  <c r="AB5" i="23" s="1"/>
  <c r="F8" i="67"/>
  <c r="D7" i="23" s="1"/>
  <c r="G8" i="67"/>
  <c r="E7" i="23" s="1"/>
  <c r="H8" i="67"/>
  <c r="F7" i="23" s="1"/>
  <c r="I8" i="67"/>
  <c r="G7" i="23" s="1"/>
  <c r="J8" i="67"/>
  <c r="H7" i="23" s="1"/>
  <c r="K8" i="67"/>
  <c r="I7" i="23" s="1"/>
  <c r="L8" i="67"/>
  <c r="J7" i="23" s="1"/>
  <c r="M8" i="67"/>
  <c r="K7" i="23" s="1"/>
  <c r="N8" i="67"/>
  <c r="L7" i="23" s="1"/>
  <c r="O8" i="67"/>
  <c r="M7" i="23" s="1"/>
  <c r="P8" i="67"/>
  <c r="N7" i="23" s="1"/>
  <c r="Q8" i="67"/>
  <c r="O7" i="23" s="1"/>
  <c r="R8" i="67"/>
  <c r="P7" i="23" s="1"/>
  <c r="S8" i="67"/>
  <c r="Q7" i="23" s="1"/>
  <c r="T8" i="67"/>
  <c r="R7" i="23" s="1"/>
  <c r="U8" i="67"/>
  <c r="S7" i="23" s="1"/>
  <c r="V8" i="67"/>
  <c r="T7" i="23" s="1"/>
  <c r="W8" i="67"/>
  <c r="U7" i="23" s="1"/>
  <c r="X8" i="67"/>
  <c r="V7" i="23" s="1"/>
  <c r="Y8" i="67"/>
  <c r="W7" i="23" s="1"/>
  <c r="Z8" i="67"/>
  <c r="X7" i="23" s="1"/>
  <c r="AA8" i="67"/>
  <c r="Y7" i="23" s="1"/>
  <c r="AB8" i="67"/>
  <c r="Z7" i="23" s="1"/>
  <c r="AC8" i="67"/>
  <c r="AA7" i="23" s="1"/>
  <c r="AD8" i="67"/>
  <c r="AB7" i="23" s="1"/>
  <c r="E8" i="67"/>
  <c r="C7" i="23" s="1"/>
  <c r="D16" i="67"/>
  <c r="B6" i="24" s="1"/>
  <c r="D15" i="67"/>
  <c r="B5" i="24" s="1"/>
  <c r="D13" i="67"/>
  <c r="B3" i="24" s="1"/>
  <c r="D12" i="67"/>
  <c r="B2" i="24" s="1"/>
  <c r="D7" i="67"/>
  <c r="B14" i="77" s="1"/>
  <c r="D8" i="67"/>
  <c r="B7" i="23" s="1"/>
  <c r="D5" i="67"/>
  <c r="B4" i="23" s="1"/>
  <c r="D4" i="67"/>
  <c r="B3" i="23" s="1"/>
  <c r="D3" i="67"/>
  <c r="B2" i="23" s="1"/>
  <c r="M13" i="77" l="1"/>
  <c r="N13" i="77"/>
  <c r="P13" i="77"/>
  <c r="Q13" i="77"/>
  <c r="S13" i="77"/>
  <c r="U13" i="77"/>
  <c r="V13" i="77"/>
  <c r="X13" i="77"/>
  <c r="Z13" i="77"/>
  <c r="AA13" i="77"/>
  <c r="L13" i="77"/>
  <c r="O13" i="77"/>
  <c r="R13" i="77"/>
  <c r="T13" i="77"/>
  <c r="W13" i="77"/>
  <c r="Y13" i="77"/>
  <c r="AB13" i="77"/>
  <c r="AD15" i="67"/>
  <c r="AB5" i="24" s="1"/>
  <c r="AC15" i="67"/>
  <c r="AA5" i="24" s="1"/>
  <c r="AD13" i="67"/>
  <c r="AB3" i="24" s="1"/>
  <c r="AC13" i="67"/>
  <c r="AA3" i="24" s="1"/>
  <c r="AB13" i="67"/>
  <c r="Z3" i="24" s="1"/>
  <c r="AA13" i="67"/>
  <c r="Y3" i="24" s="1"/>
  <c r="Z13" i="67"/>
  <c r="X3" i="24" s="1"/>
  <c r="Y13" i="67"/>
  <c r="W3" i="24" s="1"/>
  <c r="X13" i="67"/>
  <c r="V3" i="24" s="1"/>
  <c r="W13" i="67"/>
  <c r="U3" i="24" s="1"/>
  <c r="V13" i="67"/>
  <c r="T3" i="24" s="1"/>
  <c r="U13" i="67"/>
  <c r="S3" i="24" s="1"/>
  <c r="T13" i="67"/>
  <c r="R3" i="24" s="1"/>
  <c r="S13" i="67"/>
  <c r="Q3" i="24" s="1"/>
  <c r="R13" i="67"/>
  <c r="P3" i="24" s="1"/>
  <c r="Q13" i="67"/>
  <c r="O3" i="24" s="1"/>
  <c r="P13" i="67"/>
  <c r="N3" i="24" s="1"/>
  <c r="O13" i="67"/>
  <c r="M3" i="24" s="1"/>
  <c r="N13" i="67"/>
  <c r="L3" i="24" s="1"/>
  <c r="M13" i="67"/>
  <c r="K3" i="24" s="1"/>
  <c r="L13" i="67"/>
  <c r="J3" i="24" s="1"/>
  <c r="K13" i="67"/>
  <c r="I3" i="24" s="1"/>
  <c r="J13" i="67"/>
  <c r="H3" i="24" s="1"/>
  <c r="I13" i="67"/>
  <c r="G3" i="24" s="1"/>
  <c r="H13" i="67"/>
  <c r="F3" i="24" s="1"/>
  <c r="G13" i="67"/>
  <c r="E3" i="24" s="1"/>
  <c r="F13" i="67"/>
  <c r="D3" i="24" s="1"/>
  <c r="E13" i="67"/>
  <c r="C3" i="24" s="1"/>
  <c r="I7" i="67"/>
  <c r="G14" i="77" s="1"/>
  <c r="AD7" i="67"/>
  <c r="AB14" i="77" s="1"/>
  <c r="B15" i="77"/>
  <c r="B6" i="23" s="1"/>
  <c r="C15" i="77"/>
  <c r="C6" i="23" s="1"/>
  <c r="E6" i="67"/>
  <c r="C5" i="23" s="1"/>
  <c r="AH19" i="64"/>
  <c r="AH52" i="64"/>
  <c r="AH51" i="64"/>
  <c r="D14" i="67"/>
  <c r="B4" i="24" s="1"/>
  <c r="C14" i="67"/>
  <c r="AB15" i="77" l="1"/>
  <c r="AB6" i="23" s="1"/>
  <c r="Z15" i="77"/>
  <c r="Z6" i="23" s="1"/>
  <c r="W15" i="77"/>
  <c r="W6" i="23" s="1"/>
  <c r="T15" i="77"/>
  <c r="T6" i="23" s="1"/>
  <c r="Q15" i="77"/>
  <c r="Q6" i="23" s="1"/>
  <c r="M15" i="77"/>
  <c r="M6" i="23" s="1"/>
  <c r="J15" i="77"/>
  <c r="J6" i="23" s="1"/>
  <c r="H15" i="77"/>
  <c r="H6" i="23" s="1"/>
  <c r="D15" i="77"/>
  <c r="D6" i="23" s="1"/>
  <c r="N15" i="77"/>
  <c r="N6" i="23" s="1"/>
  <c r="X15" i="77"/>
  <c r="X6" i="23" s="1"/>
  <c r="V15" i="77"/>
  <c r="V6" i="23" s="1"/>
  <c r="S15" i="77"/>
  <c r="S6" i="23" s="1"/>
  <c r="P15" i="77"/>
  <c r="P6" i="23" s="1"/>
  <c r="L15" i="77"/>
  <c r="L6" i="23" s="1"/>
  <c r="I15" i="77"/>
  <c r="I6" i="23" s="1"/>
  <c r="F15" i="77"/>
  <c r="F6" i="23" s="1"/>
  <c r="AA15" i="77"/>
  <c r="AA6" i="23" s="1"/>
  <c r="Y15" i="77"/>
  <c r="Y6" i="23" s="1"/>
  <c r="U15" i="77"/>
  <c r="U6" i="23" s="1"/>
  <c r="R15" i="77"/>
  <c r="R6" i="23" s="1"/>
  <c r="O15" i="77"/>
  <c r="O6" i="23" s="1"/>
  <c r="K15" i="77"/>
  <c r="K6" i="23" s="1"/>
  <c r="G15" i="77"/>
  <c r="G6" i="23" s="1"/>
  <c r="E15" i="77"/>
  <c r="E6" i="23" s="1"/>
  <c r="G4" i="5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<sst xmlns="http://schemas.openxmlformats.org/spreadsheetml/2006/main" count="5922" uniqueCount="2796">
  <si>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</si>
  <si>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</si>
  <si>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</si>
  <si>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</si>
  <si>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</si>
  <si>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</si>
  <si>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</si>
  <si>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</si>
  <si>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</si>
  <si>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</si>
  <si>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</si>
  <si>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</si>
  <si>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</si>
  <si>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</si>
  <si>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</si>
  <si>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</si>
  <si>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</si>
  <si>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</si>
  <si>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</si>
  <si>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</si>
  <si>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</si>
  <si>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</si>
  <si>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</si>
  <si>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</si>
  <si>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</si>
  <si>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</si>
  <si>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</si>
  <si>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</si>
  <si>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</si>
  <si>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</si>
  <si>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</si>
  <si>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</si>
  <si>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</si>
  <si>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</si>
  <si>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</si>
  <si>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</si>
  <si>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</si>
  <si>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</si>
  <si>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</si>
  <si>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</si>
  <si>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</si>
  <si>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</si>
  <si>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</si>
  <si>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</si>
  <si>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</si>
  <si>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</si>
  <si>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</si>
  <si>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</si>
  <si>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</si>
  <si>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</si>
  <si>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</si>
  <si>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</si>
  <si>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</si>
  <si>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</si>
  <si>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</si>
  <si>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</si>
  <si>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</si>
  <si>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</si>
  <si>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</si>
  <si>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</si>
  <si>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</si>
  <si>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</si>
  <si>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</si>
  <si>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</si>
  <si>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</si>
  <si>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</si>
  <si>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</si>
  <si>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</si>
  <si>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</si>
  <si>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</si>
  <si>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</si>
  <si>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</si>
  <si>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</si>
  <si>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</si>
  <si>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</si>
  <si>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</si>
  <si>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</si>
  <si>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</si>
  <si>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</si>
  <si>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</si>
  <si>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</si>
  <si>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</si>
  <si>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</si>
  <si>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</si>
  <si>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</si>
  <si>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</si>
  <si>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</si>
  <si>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</si>
  <si>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</si>
  <si>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</si>
  <si>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</si>
  <si>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</si>
  <si>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</si>
  <si>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</si>
  <si>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</si>
  <si>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</si>
  <si>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</si>
  <si>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</si>
  <si>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</si>
  <si>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</si>
  <si>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</si>
  <si>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</si>
  <si>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</si>
  <si>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</si>
  <si>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</si>
  <si>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</si>
  <si>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</si>
  <si>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</si>
  <si>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</si>
  <si>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</si>
  <si>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</si>
  <si>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</si>
  <si>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</si>
  <si>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</si>
  <si>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</si>
  <si>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</si>
  <si>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</si>
  <si>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</si>
  <si>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</si>
  <si>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</si>
  <si>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</si>
  <si>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</si>
  <si>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</si>
  <si>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</si>
  <si>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</si>
  <si>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</si>
  <si>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</si>
  <si>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</si>
  <si>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</si>
  <si>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</si>
  <si>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</si>
  <si>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</si>
  <si>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</si>
  <si>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</si>
  <si>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</si>
  <si>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</si>
  <si>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</si>
  <si>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</si>
  <si>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</si>
  <si>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</si>
  <si>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</si>
  <si>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</si>
  <si>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</si>
  <si>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</si>
  <si>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</si>
  <si>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</si>
  <si>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</si>
  <si>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</si>
  <si>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</si>
  <si>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</si>
  <si>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</si>
  <si>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</si>
  <si>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</si>
  <si>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</si>
  <si>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</si>
  <si>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</si>
  <si>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</si>
  <si>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</si>
  <si>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</si>
  <si>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</si>
  <si>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</si>
  <si>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</si>
  <si>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</si>
  <si>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</si>
  <si>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</si>
  <si>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</si>
  <si>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</si>
  <si>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</si>
  <si>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</si>
  <si>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</si>
  <si>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</si>
  <si>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</si>
  <si>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</si>
  <si>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</si>
  <si>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</si>
  <si>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</si>
  <si>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</si>
  <si>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</si>
  <si>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</si>
  <si>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</si>
  <si>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</si>
  <si>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</si>
  <si>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</si>
  <si>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</si>
  <si>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</si>
  <si>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</si>
  <si>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</si>
  <si>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</si>
  <si>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</si>
  <si>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</si>
  <si>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</si>
  <si>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</si>
  <si>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</si>
  <si>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</si>
  <si>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</si>
  <si>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</si>
  <si>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</si>
  <si>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</si>
  <si>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</si>
  <si>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</si>
  <si>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</si>
  <si>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</si>
  <si>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</si>
  <si>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</si>
  <si>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</si>
  <si>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</si>
  <si>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</si>
  <si>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</si>
  <si>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</si>
  <si>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</si>
  <si>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</si>
  <si>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</si>
  <si>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</si>
  <si>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</si>
  <si>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</si>
  <si>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</si>
  <si>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</si>
  <si>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</si>
  <si>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</si>
  <si>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</si>
  <si>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</si>
  <si>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</si>
  <si>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</si>
  <si>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</si>
  <si>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</si>
  <si>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</si>
  <si>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</si>
  <si>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</si>
  <si>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</si>
  <si>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</si>
  <si>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</si>
  <si>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</si>
  <si>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</si>
  <si>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</si>
  <si>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</si>
  <si>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</si>
  <si>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</si>
  <si>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</si>
  <si>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</si>
  <si>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</si>
  <si>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</si>
  <si>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</si>
  <si>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</si>
  <si>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</si>
  <si>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</si>
  <si>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</si>
  <si>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</si>
  <si>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</si>
  <si>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</si>
  <si>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</si>
  <si>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</si>
  <si>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</si>
  <si>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</si>
  <si>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</si>
  <si>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</si>
  <si>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</si>
  <si>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</si>
  <si>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</si>
  <si>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</si>
  <si>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</si>
  <si>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</si>
  <si>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</si>
  <si>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</si>
  <si>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</si>
  <si>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</si>
  <si>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</si>
  <si>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</si>
  <si>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</si>
  <si>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</si>
  <si>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</si>
  <si>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</si>
  <si>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</si>
  <si>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</si>
  <si>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</si>
  <si>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</si>
  <si>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</si>
  <si>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</si>
  <si>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</si>
  <si>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</si>
  <si>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</si>
  <si>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</si>
  <si>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</si>
  <si>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</si>
  <si>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</si>
  <si>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</si>
  <si>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</si>
  <si>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</si>
  <si>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</si>
  <si>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</si>
  <si>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</si>
  <si>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</si>
  <si>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</si>
  <si>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</si>
  <si>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</si>
  <si>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</si>
  <si>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</si>
  <si>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</si>
  <si>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</si>
  <si>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</si>
  <si>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</si>
  <si>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</si>
  <si>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</si>
  <si>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</si>
  <si>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</si>
  <si>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</si>
  <si>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</si>
  <si>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</si>
  <si>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</si>
  <si>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</si>
  <si>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</si>
  <si>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</si>
  <si>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</si>
  <si>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</si>
  <si>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</si>
  <si>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</si>
  <si>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</si>
  <si>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</si>
  <si>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</si>
  <si>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</si>
  <si>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</si>
  <si>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</si>
  <si>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</si>
  <si>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</si>
  <si>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</si>
  <si>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</si>
  <si>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</si>
  <si>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</si>
  <si>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</si>
  <si>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</si>
  <si>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</si>
  <si>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</si>
  <si>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</si>
  <si>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</si>
  <si>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</si>
  <si>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</si>
  <si>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</si>
  <si>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</si>
  <si>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</si>
  <si>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</si>
  <si>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</si>
  <si>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</si>
  <si>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</si>
  <si>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</si>
  <si>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</si>
  <si>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</si>
  <si>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</si>
  <si>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</si>
  <si>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</si>
  <si>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</si>
  <si>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</si>
  <si>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</si>
  <si>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</si>
  <si>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</si>
  <si>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</si>
  <si>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</si>
  <si>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</si>
  <si>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</si>
  <si>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</si>
  <si>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</si>
  <si>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</si>
  <si>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</si>
  <si>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</si>
  <si>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</si>
  <si>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</si>
  <si>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</si>
  <si>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</si>
  <si>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</si>
  <si>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</si>
  <si>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</si>
  <si>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</si>
  <si>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</si>
  <si>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</si>
  <si>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</si>
  <si>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</si>
  <si>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</si>
  <si>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</si>
  <si>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</si>
  <si>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</si>
  <si>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</si>
  <si>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</si>
  <si>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</si>
  <si>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</si>
  <si>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</si>
  <si>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</si>
  <si>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</si>
  <si>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</si>
  <si>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</si>
  <si>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</si>
  <si>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</si>
  <si>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</si>
  <si>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</si>
  <si>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</si>
  <si>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</si>
  <si>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</si>
  <si>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</si>
  <si>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</si>
  <si>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</si>
  <si>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</si>
  <si>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</si>
  <si>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</si>
  <si>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</si>
  <si>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</si>
  <si>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</si>
  <si>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</si>
  <si>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</si>
  <si>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</si>
  <si>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</si>
  <si>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</si>
  <si>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</si>
  <si>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</si>
  <si>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</si>
  <si>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</si>
  <si>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</si>
  <si>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</si>
  <si>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</si>
  <si>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</si>
  <si>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</si>
  <si>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</si>
  <si>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</si>
  <si>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</si>
  <si>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</si>
  <si>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</si>
  <si>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</si>
  <si>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</si>
  <si>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</si>
  <si>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</si>
  <si>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</si>
  <si>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</si>
  <si>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</si>
  <si>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</si>
  <si>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</si>
  <si>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</si>
  <si>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</si>
  <si>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</si>
  <si>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</si>
  <si>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</si>
  <si>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</si>
  <si>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</si>
  <si>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</si>
  <si>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</si>
  <si>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</si>
  <si>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</si>
  <si>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</si>
  <si>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</si>
  <si>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</si>
  <si>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</si>
  <si>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</si>
  <si>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</si>
  <si>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</si>
  <si>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</si>
  <si>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</si>
  <si>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</si>
  <si>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</si>
  <si>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</si>
  <si>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</si>
  <si>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</si>
  <si>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</si>
  <si>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</si>
  <si>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</si>
  <si>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</si>
  <si>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</si>
  <si>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</si>
  <si>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</si>
  <si>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</si>
  <si>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</si>
  <si>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</si>
  <si>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</si>
  <si>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</si>
  <si>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</si>
  <si>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</si>
  <si>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</si>
  <si>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</si>
  <si>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</si>
  <si>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</si>
  <si>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</si>
  <si>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</si>
  <si>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</si>
  <si>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</si>
  <si>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</si>
  <si>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</si>
  <si>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</si>
  <si>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</si>
  <si>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</si>
  <si>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</si>
  <si>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</si>
  <si>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</si>
  <si>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</si>
  <si>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</si>
  <si>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</si>
  <si>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</si>
  <si>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</si>
  <si>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</si>
  <si>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</si>
  <si>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</si>
  <si>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</si>
  <si>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</si>
  <si>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</si>
  <si>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</si>
  <si>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</si>
  <si>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</si>
  <si>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</si>
  <si>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</si>
  <si>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</si>
  <si>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</si>
  <si>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</si>
  <si>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</si>
  <si>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</si>
  <si>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</si>
  <si>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</si>
  <si>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</si>
  <si>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</si>
  <si>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</si>
  <si>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</si>
  <si>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</si>
  <si>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</si>
  <si>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</si>
  <si>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</si>
  <si>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</si>
  <si>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</si>
  <si>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</si>
  <si>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</si>
  <si>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</si>
  <si>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</si>
  <si>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</si>
  <si>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</si>
  <si>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</si>
  <si>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</si>
  <si>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</si>
  <si>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</si>
  <si>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</si>
  <si>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</si>
  <si>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</si>
  <si>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</si>
  <si>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</si>
  <si>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</si>
  <si>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</si>
  <si>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</si>
  <si>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</si>
  <si>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</si>
  <si>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</si>
  <si>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</si>
  <si>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</si>
  <si>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</si>
  <si>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</si>
  <si>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</si>
  <si>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</si>
  <si>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</si>
  <si>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</si>
  <si>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</si>
  <si>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</si>
  <si>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</si>
  <si>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</si>
  <si>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</si>
  <si>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</si>
  <si>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</si>
  <si>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</si>
  <si>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</si>
  <si>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</si>
  <si>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</si>
  <si>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</si>
  <si>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</si>
  <si>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</si>
  <si>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</si>
  <si>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</si>
  <si>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</si>
  <si>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</si>
  <si>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</si>
  <si>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</si>
  <si>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</si>
  <si>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</si>
  <si>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</si>
  <si>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</si>
  <si>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</si>
  <si>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</si>
  <si>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</si>
  <si>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</si>
  <si>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</si>
  <si>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</si>
  <si>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</si>
  <si>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</si>
  <si>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</si>
  <si>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</si>
  <si>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</si>
  <si>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</si>
  <si>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</si>
  <si>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</si>
  <si>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</si>
  <si>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</si>
  <si>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</si>
  <si>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</si>
  <si>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</si>
  <si>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</si>
  <si>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</si>
  <si>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</si>
  <si>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</si>
  <si>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</si>
  <si>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</si>
  <si>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</si>
  <si>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</si>
  <si>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</si>
  <si>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</si>
  <si>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</si>
  <si>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</si>
  <si>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</si>
  <si>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</si>
  <si>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</si>
  <si>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</si>
  <si>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</si>
  <si>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</si>
  <si>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</si>
  <si>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</si>
  <si>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</si>
  <si>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</si>
  <si>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</si>
  <si>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</si>
  <si>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</si>
  <si>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</si>
  <si>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</si>
  <si>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</si>
  <si>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</si>
  <si>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</si>
  <si>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</si>
  <si>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</si>
  <si>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</si>
  <si>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</si>
  <si>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</si>
  <si>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</si>
  <si>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</si>
  <si>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</si>
  <si>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</si>
  <si>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</si>
  <si>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</si>
  <si>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</si>
  <si>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</si>
  <si>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</si>
  <si>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</si>
  <si>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</si>
  <si>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</si>
  <si>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</si>
  <si>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</si>
  <si>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</si>
  <si>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</si>
  <si>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</si>
  <si>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</si>
  <si>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</si>
  <si>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</si>
  <si>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</si>
  <si>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</si>
  <si>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</si>
  <si>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</si>
  <si>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</si>
  <si>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</si>
  <si>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</si>
  <si>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</si>
  <si>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</si>
  <si>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</si>
  <si>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</si>
  <si>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</si>
  <si>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</si>
  <si>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</si>
  <si>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</si>
  <si>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</si>
  <si>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</si>
  <si>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</si>
  <si>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</si>
  <si>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</si>
  <si>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</si>
  <si>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</si>
  <si>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</si>
  <si>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</si>
  <si>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</si>
  <si>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</si>
  <si>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</si>
  <si>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</si>
  <si>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</si>
  <si>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</si>
  <si>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</si>
  <si>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</si>
  <si>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</si>
  <si>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</si>
  <si>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</si>
  <si>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</si>
  <si>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</si>
  <si>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</si>
  <si>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</si>
  <si>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</si>
  <si>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</si>
  <si>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</si>
  <si>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</si>
  <si>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</si>
  <si>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</si>
  <si>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</si>
  <si>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</si>
  <si>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</si>
  <si>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</si>
  <si>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</si>
  <si>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</si>
  <si>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</si>
  <si>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</si>
  <si>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</si>
  <si>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</si>
  <si>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</si>
  <si>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</si>
  <si>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</si>
  <si>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</si>
  <si>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</si>
  <si>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</si>
  <si>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</si>
  <si>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</si>
  <si>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</si>
  <si>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</si>
  <si>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</si>
  <si>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</si>
  <si>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</si>
  <si>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</si>
  <si>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</si>
  <si>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</si>
  <si>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</si>
  <si>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</si>
  <si>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</si>
  <si>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</si>
  <si>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</si>
  <si>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</si>
  <si>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</si>
  <si>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</si>
  <si>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</si>
  <si>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</si>
  <si>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</si>
  <si>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</si>
  <si>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</si>
  <si>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</si>
  <si>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</si>
  <si>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</si>
  <si>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</si>
  <si>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</si>
  <si>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</si>
  <si>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</si>
  <si>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</si>
  <si>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</si>
  <si>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</si>
  <si>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</si>
  <si>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</si>
  <si>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</si>
  <si>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</si>
  <si>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</si>
  <si>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</si>
  <si>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</si>
  <si>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</si>
  <si>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</si>
  <si>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</si>
  <si>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</si>
  <si>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</si>
  <si>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</si>
  <si>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</si>
  <si>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</si>
  <si>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</si>
  <si>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</si>
  <si>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</si>
  <si>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</si>
  <si>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</si>
  <si>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</si>
  <si>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</si>
  <si>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</si>
  <si>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</si>
  <si>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</si>
  <si>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</si>
  <si>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</si>
  <si>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</si>
  <si>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</si>
  <si>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</si>
  <si>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</si>
  <si>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</si>
  <si>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</si>
  <si>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</si>
  <si>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</si>
  <si>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</si>
  <si>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</si>
  <si>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</si>
  <si>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</si>
  <si>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</si>
  <si>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</si>
  <si>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</si>
  <si>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</si>
  <si>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</si>
  <si>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</si>
  <si>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</si>
  <si>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</si>
  <si>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</si>
  <si>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</si>
  <si>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</si>
  <si>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</si>
  <si>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</si>
  <si>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</si>
  <si>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</si>
  <si>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</si>
  <si>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</si>
  <si>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</si>
  <si>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</si>
  <si>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</si>
  <si>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</si>
  <si>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</si>
  <si>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</si>
  <si>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</si>
  <si>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</si>
  <si>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</si>
  <si>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</si>
  <si>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</si>
  <si>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</si>
  <si>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</si>
  <si>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</si>
  <si>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</si>
  <si>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</si>
  <si>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</si>
  <si>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</si>
  <si>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</si>
  <si>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</si>
  <si>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</si>
  <si>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</si>
  <si>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</si>
  <si>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</si>
  <si>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</si>
  <si>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</si>
  <si>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</si>
  <si>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</si>
  <si>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</si>
  <si>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</si>
  <si>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</si>
  <si>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</si>
  <si>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</si>
  <si>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</si>
  <si>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</si>
  <si>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</si>
  <si>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</si>
  <si>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</si>
  <si>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</si>
  <si>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</si>
  <si>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</si>
  <si>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</si>
  <si>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</si>
  <si>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</si>
  <si>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</si>
  <si>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</si>
  <si>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</si>
  <si>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</si>
  <si>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</si>
  <si>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</si>
  <si>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</si>
  <si>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</si>
  <si>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</si>
  <si>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</si>
  <si>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</si>
  <si>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</si>
  <si>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</si>
  <si>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</si>
  <si>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</si>
  <si>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</si>
  <si>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</si>
  <si>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</si>
  <si>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</si>
  <si>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</si>
  <si>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</si>
  <si>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</si>
  <si>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</si>
  <si>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</si>
  <si>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</si>
  <si>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</si>
  <si>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</si>
  <si>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</si>
  <si>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</si>
  <si>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</si>
  <si>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</si>
  <si>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</si>
  <si>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</si>
  <si>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</si>
  <si>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</si>
  <si>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</si>
  <si>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</si>
  <si>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</si>
  <si>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</si>
  <si>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</si>
  <si>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</si>
  <si>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</si>
  <si>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</si>
  <si>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</si>
  <si>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</si>
  <si>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</si>
  <si>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</si>
  <si>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</si>
  <si>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</si>
  <si>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</si>
  <si>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</si>
  <si>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</si>
  <si>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</si>
  <si>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</si>
  <si>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</si>
  <si>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</si>
  <si>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</si>
  <si>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</si>
  <si>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</si>
  <si>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</si>
  <si>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</si>
  <si>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</si>
  <si>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</si>
  <si>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</si>
  <si>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</si>
  <si>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</si>
  <si>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</si>
  <si>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</si>
  <si>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</si>
  <si>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</si>
  <si>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</si>
  <si>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</si>
  <si>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</si>
  <si>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</si>
  <si>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</si>
  <si>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</si>
  <si>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</si>
  <si>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</si>
  <si>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</si>
  <si>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</si>
  <si>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</si>
  <si>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</si>
  <si>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</si>
  <si>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</si>
  <si>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</si>
  <si>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</si>
  <si>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</si>
  <si>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</si>
  <si>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</si>
  <si>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</si>
  <si>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</si>
  <si>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</si>
  <si>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</si>
  <si>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</si>
  <si>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</si>
  <si>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</si>
  <si>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</si>
  <si>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</si>
  <si>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</si>
  <si>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</si>
  <si>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</si>
  <si>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</si>
  <si>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</si>
  <si>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</si>
  <si>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</si>
  <si>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</si>
  <si>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</si>
  <si>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</si>
  <si>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</si>
  <si>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</si>
  <si>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</si>
  <si>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</si>
  <si>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</si>
  <si>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</si>
  <si>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</si>
  <si>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</si>
  <si>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</si>
  <si>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</si>
  <si>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</si>
  <si>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</si>
  <si>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</si>
  <si>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</si>
  <si>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</si>
  <si>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</si>
  <si>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</si>
  <si>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</si>
  <si>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</si>
  <si>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</si>
  <si>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</si>
  <si>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</si>
  <si>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</si>
  <si>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</si>
  <si>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</si>
  <si>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</si>
  <si>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</si>
  <si>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</si>
  <si>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</si>
  <si>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</si>
  <si>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</si>
  <si>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</si>
  <si>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</si>
  <si>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</si>
  <si>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</si>
  <si>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</si>
  <si>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</si>
  <si>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</si>
  <si>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</si>
  <si>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</si>
  <si>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</si>
  <si>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</si>
  <si>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</si>
  <si>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</si>
  <si>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</si>
  <si>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</si>
  <si>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</si>
  <si>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</si>
  <si>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</si>
  <si>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</si>
  <si>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</si>
  <si>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</si>
  <si>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</si>
  <si>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</si>
  <si>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</si>
  <si>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</si>
  <si>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</si>
  <si>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</si>
  <si>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</si>
  <si>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</si>
  <si>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</si>
  <si>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</si>
  <si>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</si>
  <si>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</si>
  <si>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</si>
  <si>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</si>
  <si>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</si>
  <si>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</si>
  <si>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</si>
  <si>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</si>
  <si>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</si>
  <si>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</si>
  <si>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</si>
  <si>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</si>
  <si>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</si>
  <si>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</si>
  <si>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</si>
  <si>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</si>
  <si>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</si>
  <si>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</si>
  <si>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</si>
  <si>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</si>
  <si>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</si>
  <si>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</si>
  <si>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</si>
  <si>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</si>
  <si>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</si>
  <si>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</si>
  <si>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</si>
  <si>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</si>
  <si>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</si>
  <si>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</si>
  <si>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</si>
  <si>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</si>
  <si>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</si>
  <si>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</si>
  <si>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</si>
  <si>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</si>
  <si>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</si>
  <si>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</si>
  <si>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</si>
  <si>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</si>
  <si>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</si>
  <si>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</si>
  <si>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</si>
  <si>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</si>
  <si>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</si>
  <si>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</si>
  <si>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</si>
  <si>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</si>
  <si>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</si>
  <si>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</si>
  <si>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</si>
  <si>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</si>
  <si>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</si>
  <si>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</si>
  <si>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</si>
  <si>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</si>
  <si>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</si>
  <si>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</si>
  <si>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</si>
  <si>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</si>
  <si>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</si>
  <si>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</si>
  <si>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</si>
  <si>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</si>
  <si>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</si>
  <si>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</si>
  <si>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</si>
  <si>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</si>
  <si>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</si>
  <si>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</si>
  <si>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</si>
  <si>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</si>
  <si>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</si>
  <si>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</si>
  <si>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</si>
  <si>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</si>
  <si>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</si>
  <si>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</si>
  <si>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</si>
  <si>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</si>
  <si>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</si>
  <si>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</si>
  <si>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</si>
  <si>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</si>
  <si>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</si>
  <si>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</si>
  <si>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</si>
  <si>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</si>
  <si>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</si>
  <si>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</si>
  <si>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</si>
  <si>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</si>
  <si>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</si>
  <si>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</si>
  <si>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</si>
  <si>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</si>
  <si>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</si>
  <si>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</si>
  <si>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</si>
  <si>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</si>
  <si>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</si>
  <si>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</si>
  <si>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</si>
  <si>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</si>
  <si>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</si>
  <si>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</si>
  <si>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</si>
  <si>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</si>
  <si>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</si>
  <si>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</si>
  <si>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</si>
  <si>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</si>
  <si>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</si>
  <si>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</si>
  <si>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</si>
  <si>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</si>
  <si>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</si>
  <si>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</si>
  <si>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</si>
  <si>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</si>
  <si>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</si>
  <si>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</si>
  <si>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</si>
  <si>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</si>
  <si>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</si>
  <si>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</si>
  <si>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</si>
  <si>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</si>
  <si>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</si>
  <si>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</si>
  <si>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</si>
  <si>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</si>
  <si>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</si>
  <si>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</si>
  <si>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</si>
  <si>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</si>
  <si>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</si>
  <si>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</si>
  <si>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</si>
  <si>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</si>
  <si>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</si>
  <si>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</si>
  <si>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</si>
  <si>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</si>
  <si>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</si>
  <si>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</si>
  <si>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</si>
  <si>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</si>
  <si>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</si>
  <si>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</si>
  <si>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</si>
  <si>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</si>
  <si>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</si>
  <si>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</si>
  <si>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</si>
  <si>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</si>
  <si>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</si>
  <si>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</si>
  <si>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</si>
  <si>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</si>
  <si>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</si>
  <si>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</si>
  <si>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</si>
  <si>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</si>
  <si>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</si>
  <si>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</si>
  <si>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</si>
  <si>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</si>
  <si>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</si>
  <si>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</si>
  <si>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</si>
  <si>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</si>
  <si>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</si>
  <si>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</si>
  <si>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</si>
  <si>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</si>
  <si>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</si>
  <si>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</si>
  <si>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</si>
  <si>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</si>
  <si>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</si>
  <si>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</si>
  <si>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</si>
  <si>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</si>
  <si>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</si>
  <si>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</si>
  <si>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</si>
  <si>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</si>
  <si>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</si>
  <si>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</si>
  <si>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</si>
  <si>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</si>
  <si>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</si>
  <si>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</si>
  <si>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</si>
  <si>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</si>
  <si>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</si>
  <si>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</si>
  <si>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</si>
  <si>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</si>
  <si>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</si>
  <si>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</si>
  <si>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</si>
  <si>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</si>
  <si>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</si>
  <si>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</si>
  <si>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</si>
  <si>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</si>
  <si>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</si>
  <si>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</si>
  <si>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</si>
  <si>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</si>
  <si>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</si>
  <si>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</si>
  <si>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</si>
  <si>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</si>
  <si>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</si>
  <si>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</si>
  <si>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</si>
  <si>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</si>
  <si>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</si>
  <si>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</si>
  <si>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</si>
  <si>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</si>
  <si>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</si>
  <si>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</si>
  <si>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</si>
  <si>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</si>
  <si>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</si>
  <si>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</si>
  <si>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</si>
  <si>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</si>
  <si>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</si>
  <si>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</si>
  <si>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</si>
  <si>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</si>
  <si>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</si>
  <si>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</si>
  <si>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</si>
  <si>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</si>
  <si>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</si>
  <si>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</si>
  <si>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</si>
  <si>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</si>
  <si>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</si>
  <si>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</si>
  <si>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</si>
  <si>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</si>
  <si>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</si>
  <si>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</si>
  <si>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</si>
  <si>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</si>
  <si>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</si>
  <si>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</si>
  <si>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</si>
  <si>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</si>
  <si>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</si>
  <si>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</si>
  <si>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</si>
  <si>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</si>
  <si>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</si>
  <si>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</si>
  <si>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</si>
  <si>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</si>
  <si>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</si>
  <si>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</si>
  <si>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</si>
  <si>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</si>
  <si>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</si>
  <si>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</si>
  <si>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</si>
  <si>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</si>
  <si>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</si>
  <si>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</si>
  <si>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</si>
  <si>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</si>
  <si>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</si>
  <si>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</si>
  <si>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</si>
  <si>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</si>
  <si>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</si>
  <si>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</si>
  <si>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</si>
  <si>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</si>
  <si>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</si>
  <si>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</si>
  <si>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</si>
  <si>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</si>
  <si>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</si>
  <si>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</si>
  <si>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</si>
  <si>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</si>
  <si>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</si>
  <si>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</si>
  <si>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</si>
  <si>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</si>
  <si>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</si>
  <si>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</si>
  <si>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</si>
  <si>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</si>
  <si>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</si>
  <si>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</si>
  <si>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</si>
  <si>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</si>
  <si>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</si>
  <si>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</si>
  <si>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</si>
  <si>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</si>
  <si>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</si>
  <si>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</si>
  <si>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</si>
  <si>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</si>
  <si>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</si>
  <si>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</si>
  <si>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</si>
  <si>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</si>
  <si>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</si>
  <si>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</si>
  <si>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</si>
  <si>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</si>
  <si>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</si>
  <si>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</si>
  <si>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</si>
  <si>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</si>
  <si>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</si>
  <si>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</si>
  <si>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</si>
  <si>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</si>
  <si>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</si>
  <si>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</si>
  <si>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</si>
  <si>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</si>
  <si>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</si>
  <si>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</si>
  <si>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</si>
  <si>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</si>
  <si>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</si>
  <si>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</si>
  <si>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</si>
  <si>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</si>
  <si>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</si>
  <si>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</si>
  <si>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</si>
  <si>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</si>
  <si>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</si>
  <si>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</si>
  <si>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</si>
  <si>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</si>
  <si>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</si>
  <si>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</si>
  <si>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</si>
  <si>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</si>
  <si>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</si>
  <si>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</si>
  <si>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</si>
  <si>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</si>
  <si>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</si>
  <si>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</si>
  <si>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</si>
  <si>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</si>
  <si>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</si>
  <si>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</si>
  <si>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</si>
  <si>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</si>
  <si>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</si>
  <si>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</si>
  <si>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</si>
  <si>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</si>
  <si>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</si>
  <si>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</si>
  <si>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</si>
  <si>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</si>
  <si>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</si>
  <si>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</si>
  <si>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</si>
  <si>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</si>
  <si>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</si>
  <si>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</si>
  <si>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</si>
  <si>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</si>
  <si>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</si>
  <si>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</si>
  <si>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</si>
  <si>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</si>
  <si>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</si>
  <si>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</si>
  <si>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</si>
  <si>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</si>
  <si>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</si>
  <si>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</si>
  <si>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</si>
  <si>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</si>
  <si>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</si>
  <si>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</si>
  <si>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</si>
  <si>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</si>
  <si>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</si>
  <si>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</si>
  <si>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</si>
  <si>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</si>
  <si>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</si>
  <si>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</si>
  <si>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</si>
  <si>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</si>
  <si>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</si>
  <si>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</si>
  <si>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</si>
  <si>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</si>
  <si>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</si>
  <si>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</si>
  <si>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</si>
  <si>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</si>
  <si>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</si>
  <si>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</si>
  <si>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</si>
  <si>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</si>
  <si>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</si>
  <si>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</si>
  <si>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</si>
  <si>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</si>
  <si>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</si>
  <si>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</si>
  <si>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</si>
  <si>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</si>
  <si>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</si>
  <si>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</si>
  <si>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</si>
  <si>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</si>
  <si>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</si>
  <si>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</si>
  <si>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</si>
  <si>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</si>
  <si>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</si>
  <si>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</si>
  <si>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</si>
  <si>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</si>
  <si>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</si>
  <si>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</si>
  <si>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</si>
  <si>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</si>
  <si>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</si>
  <si>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</si>
  <si>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</si>
  <si>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</si>
  <si>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</si>
  <si>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</si>
  <si>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</si>
  <si>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</si>
  <si>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</si>
  <si>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</si>
  <si>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</si>
  <si>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</si>
  <si>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</si>
  <si>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</si>
  <si>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</si>
  <si>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</si>
  <si>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</si>
  <si>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</si>
  <si>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</si>
  <si>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</si>
  <si>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</si>
  <si>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</si>
  <si>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</si>
  <si>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</si>
  <si>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</si>
  <si>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</si>
  <si>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</si>
  <si>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</si>
  <si>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</si>
  <si>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</si>
  <si>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</si>
  <si>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</si>
  <si>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</si>
  <si>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</si>
  <si>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</si>
  <si>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</si>
  <si>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</si>
  <si>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</si>
  <si>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</si>
  <si>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</si>
  <si>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</si>
  <si>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</si>
  <si>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</si>
  <si>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</si>
  <si>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</si>
  <si>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</si>
  <si>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</si>
  <si>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</si>
  <si>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</si>
  <si>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</si>
  <si>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</si>
  <si>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</si>
  <si>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</si>
  <si>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</si>
  <si>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</si>
  <si>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</si>
  <si>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</si>
  <si>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</si>
  <si>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</si>
  <si>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</si>
  <si>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</si>
  <si>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</si>
  <si>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</si>
  <si>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</si>
  <si>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</si>
  <si>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</si>
  <si>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</si>
  <si>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</si>
  <si>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</si>
  <si>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</si>
  <si>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</si>
  <si>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</si>
  <si>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</si>
  <si>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</si>
  <si>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</si>
  <si>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</si>
  <si>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</si>
  <si>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</si>
  <si>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</si>
  <si>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</si>
  <si>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</si>
  <si>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</si>
  <si>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</si>
  <si>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</si>
  <si>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</si>
  <si>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</si>
  <si>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</si>
  <si>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</si>
  <si>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</si>
  <si>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</si>
  <si>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</si>
  <si>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</si>
  <si>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</si>
  <si>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</si>
  <si>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</si>
  <si>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</si>
  <si>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</si>
  <si>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</si>
  <si>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</si>
  <si>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</si>
  <si>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</si>
  <si>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</si>
  <si>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</si>
  <si>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</si>
  <si>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</si>
  <si>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</si>
  <si>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</si>
  <si>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</si>
  <si>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</si>
  <si>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</si>
  <si>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</si>
  <si>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</si>
  <si>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</si>
  <si>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</si>
  <si>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</si>
  <si>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</si>
  <si>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</si>
  <si>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</si>
  <si>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</si>
  <si>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</si>
  <si>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</si>
  <si>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</si>
  <si>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</si>
  <si>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</si>
  <si>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</si>
  <si>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</si>
  <si>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</si>
  <si>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</si>
  <si>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</si>
  <si>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</si>
  <si>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</si>
  <si>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</si>
  <si>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</si>
  <si>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</si>
  <si>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</si>
  <si>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</si>
  <si>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</si>
  <si>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</si>
  <si>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</si>
  <si>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</si>
  <si>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</si>
  <si>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</si>
  <si>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</si>
  <si>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</si>
  <si>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</si>
  <si>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</si>
  <si>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</si>
  <si>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</si>
  <si>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</si>
  <si>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</si>
  <si>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</si>
  <si>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</si>
  <si>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</si>
  <si>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</si>
  <si>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</si>
  <si>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</si>
  <si>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</si>
  <si>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</si>
  <si>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</si>
  <si>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</si>
  <si>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</si>
  <si>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</si>
  <si>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</si>
  <si>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</si>
  <si>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</si>
  <si>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</si>
  <si>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</si>
  <si>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</si>
  <si>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</si>
  <si>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</si>
  <si>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</si>
  <si>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</si>
  <si>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</si>
  <si>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</si>
  <si>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</si>
  <si>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</si>
  <si>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</si>
  <si>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</si>
  <si>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</si>
  <si>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</si>
  <si>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</si>
  <si>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</si>
  <si>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</si>
  <si>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</si>
  <si>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</si>
  <si>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</si>
  <si>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</si>
  <si>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</si>
  <si>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</si>
  <si>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</si>
  <si>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</si>
  <si>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</si>
  <si>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</si>
  <si>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</si>
  <si>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</si>
  <si>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</si>
  <si>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</si>
  <si>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</si>
  <si>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</si>
  <si>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</si>
  <si>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</si>
  <si>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</si>
  <si>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</si>
  <si>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</si>
  <si>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</si>
  <si>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</si>
  <si>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</si>
  <si>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</si>
  <si>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</si>
  <si>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</si>
  <si>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</si>
  <si>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</si>
  <si>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</si>
  <si>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</si>
  <si>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</si>
  <si>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</si>
  <si>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</si>
  <si>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</si>
  <si>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</si>
  <si>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</si>
  <si>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</si>
  <si>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</si>
  <si>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</si>
  <si>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</si>
  <si>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</si>
  <si>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</si>
  <si>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</si>
  <si>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</si>
  <si>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</si>
  <si>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</si>
  <si>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</si>
  <si>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</si>
  <si>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</si>
  <si>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</si>
  <si>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</si>
  <si>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</si>
  <si>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</si>
  <si>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</si>
  <si>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</si>
  <si>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</si>
  <si>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</si>
  <si>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</si>
  <si>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</si>
  <si>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</si>
  <si>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</si>
  <si>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</si>
  <si>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</si>
  <si>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</si>
  <si>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</si>
  <si>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</si>
  <si>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</si>
  <si>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</si>
  <si>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</si>
  <si>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</si>
  <si>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</si>
  <si>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</si>
  <si>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</si>
  <si>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</si>
  <si>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</si>
  <si>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</si>
  <si>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</si>
  <si>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</si>
  <si>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</si>
  <si>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</si>
  <si>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</si>
  <si>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</si>
  <si>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</si>
  <si>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</si>
  <si>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</si>
  <si>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</si>
  <si>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</si>
  <si>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</si>
  <si>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</si>
  <si>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</si>
  <si>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</si>
  <si>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</si>
  <si>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</si>
  <si>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</si>
  <si>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</si>
  <si>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</si>
  <si>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</si>
  <si>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</si>
  <si>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</si>
  <si>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</si>
  <si>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</si>
  <si>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</si>
  <si>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</si>
  <si>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</si>
  <si>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</si>
  <si>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</si>
  <si>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</si>
  <si>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</si>
  <si>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</si>
  <si>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</si>
  <si>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</si>
  <si>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</si>
  <si>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</si>
  <si>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</si>
  <si>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</si>
  <si>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</si>
  <si>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</si>
  <si>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</si>
  <si>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</si>
  <si>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</si>
  <si>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</si>
  <si>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</si>
  <si>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</si>
  <si>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</si>
  <si>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</si>
  <si>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</si>
  <si>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</si>
  <si>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</si>
  <si>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</si>
  <si>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</si>
  <si>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</si>
  <si>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</si>
  <si>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</si>
  <si>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</si>
  <si>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</si>
  <si>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</si>
  <si>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</si>
  <si>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</si>
  <si>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</si>
  <si>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</si>
  <si>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</si>
  <si>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</si>
  <si>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</si>
  <si>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</si>
  <si>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</si>
  <si>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</si>
  <si>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</si>
  <si>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</si>
  <si>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</si>
  <si>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</si>
  <si>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</si>
  <si>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</si>
  <si>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</si>
  <si>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</si>
  <si>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</si>
  <si>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</si>
  <si>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</si>
  <si>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</si>
  <si>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</si>
  <si>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</si>
  <si>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</si>
  <si>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</si>
  <si>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</si>
  <si>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</si>
  <si>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</si>
  <si>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</si>
  <si>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</si>
  <si>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</si>
  <si>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</si>
  <si>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</si>
  <si>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</si>
  <si>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</si>
  <si>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</si>
  <si>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</si>
  <si>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</si>
  <si>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</si>
  <si>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</si>
  <si>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</si>
  <si>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</si>
  <si>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</si>
  <si>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</si>
  <si>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</si>
  <si>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</si>
  <si>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</si>
  <si>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</si>
  <si>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</si>
  <si>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</si>
  <si>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</si>
  <si>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</si>
  <si>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</si>
  <si>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</si>
  <si>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</si>
  <si>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</si>
  <si>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</si>
  <si>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</si>
  <si>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</si>
  <si>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</si>
  <si>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</si>
  <si>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</si>
  <si>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</si>
  <si>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</si>
  <si>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</si>
  <si>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</si>
  <si>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</si>
  <si>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</si>
  <si>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</si>
  <si>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</si>
  <si>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</si>
  <si>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</si>
  <si>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</si>
  <si>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</si>
  <si>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</si>
  <si>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</si>
  <si>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</si>
  <si>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</si>
  <si>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</si>
  <si>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</si>
  <si>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</si>
  <si>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</si>
  <si>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</si>
  <si>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</si>
  <si>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</si>
  <si>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</si>
  <si>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</si>
  <si>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</si>
  <si>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</si>
  <si>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</si>
  <si>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</si>
  <si>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</si>
  <si>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</si>
  <si>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</si>
  <si>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</si>
  <si>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</si>
  <si>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</si>
  <si>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</si>
  <si>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</si>
  <si>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</si>
  <si>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</si>
  <si>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</si>
  <si>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</si>
  <si>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</si>
  <si>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</si>
  <si>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</si>
  <si>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</si>
  <si>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</si>
  <si>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</si>
  <si>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</si>
  <si>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</si>
  <si>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</si>
  <si>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</si>
  <si>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</si>
  <si>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</si>
  <si>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</si>
  <si>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</si>
  <si>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</si>
  <si>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</si>
  <si>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</si>
  <si>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</si>
  <si>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</si>
  <si>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</si>
  <si>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</si>
  <si>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</si>
  <si>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</si>
  <si>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</si>
  <si>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</si>
  <si>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</si>
  <si>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</si>
  <si>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</si>
  <si>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</si>
  <si>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</si>
  <si>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</si>
  <si>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</si>
  <si>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</si>
  <si>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</si>
  <si>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</si>
  <si>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</si>
  <si>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</si>
  <si>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</si>
  <si>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</si>
  <si>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</si>
  <si>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</si>
  <si>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</si>
  <si>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</si>
  <si>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</si>
  <si>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</si>
  <si>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</si>
  <si>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</si>
  <si>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</si>
  <si>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</si>
  <si>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</si>
  <si>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</si>
  <si>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</si>
  <si>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</si>
  <si>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</si>
  <si>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</si>
  <si>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</si>
  <si>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</si>
  <si>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</si>
  <si>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</si>
  <si>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</si>
  <si>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</si>
  <si>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</si>
  <si>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</si>
  <si>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</si>
  <si>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</si>
  <si>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</si>
  <si>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</si>
  <si>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</si>
  <si>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</si>
  <si>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</si>
  <si>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</si>
  <si>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</si>
  <si>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</si>
  <si>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</si>
  <si>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</si>
  <si>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</si>
  <si>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</si>
  <si>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</si>
  <si>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</si>
  <si>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</si>
  <si>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</si>
  <si>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</si>
  <si>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</si>
  <si>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</si>
  <si>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</si>
  <si>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</si>
  <si>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</si>
  <si>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</si>
  <si>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</si>
  <si>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</si>
  <si>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</si>
  <si>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</si>
  <si>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</si>
  <si>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</si>
  <si>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</si>
  <si>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</si>
  <si>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</si>
  <si>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</si>
  <si>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</si>
  <si>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</si>
  <si>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</si>
  <si>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</si>
  <si>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</si>
  <si>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</si>
  <si>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</si>
  <si>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</si>
  <si>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</si>
  <si>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</si>
  <si>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</si>
  <si>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</si>
  <si>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</si>
  <si>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</si>
  <si>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</si>
  <si>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</si>
  <si>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</si>
  <si>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</si>
  <si>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</si>
  <si>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</si>
  <si>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</si>
  <si>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</si>
  <si>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</si>
  <si>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</si>
  <si>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</si>
  <si>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</si>
  <si>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</si>
  <si>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</si>
  <si>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</si>
  <si>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</si>
  <si>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</si>
  <si>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</si>
  <si>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</si>
  <si>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</si>
  <si>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</si>
  <si>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</si>
  <si>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</si>
  <si>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</si>
  <si>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</si>
  <si>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</si>
  <si>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</si>
  <si>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</si>
  <si>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</si>
  <si>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</si>
  <si>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</si>
  <si>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</si>
  <si>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</si>
  <si>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</si>
  <si>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</si>
  <si>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</si>
  <si>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</si>
  <si>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</si>
  <si>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</si>
  <si>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</si>
  <si>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</si>
  <si>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</si>
  <si>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</si>
  <si>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</si>
  <si>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</si>
  <si>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</si>
  <si>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</si>
  <si>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</si>
  <si>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</si>
  <si>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</si>
  <si>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</si>
  <si>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</si>
  <si>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</si>
  <si>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</si>
  <si>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</si>
  <si>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</si>
  <si>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</si>
  <si>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</si>
  <si>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</si>
  <si>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</si>
  <si>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</si>
  <si>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</si>
  <si>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</si>
  <si>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</si>
  <si>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</si>
  <si>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</si>
  <si>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</si>
  <si>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</si>
  <si>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</si>
  <si>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</si>
  <si>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</si>
  <si>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</si>
  <si>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</si>
  <si>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</si>
  <si>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</si>
  <si>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</si>
  <si>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</si>
  <si>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</si>
  <si>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</si>
  <si>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</si>
  <si>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</si>
  <si>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</si>
  <si>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</si>
  <si>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</si>
  <si>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</si>
  <si>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</si>
  <si>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</si>
  <si>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</si>
  <si>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</si>
  <si>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</si>
  <si>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</si>
  <si>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</si>
  <si>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</si>
  <si>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</si>
  <si>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</si>
  <si>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</si>
  <si>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</si>
  <si>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</si>
  <si>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</si>
  <si>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</si>
  <si>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</si>
  <si>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</si>
  <si>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</si>
  <si>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</si>
  <si>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</si>
  <si>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</si>
  <si>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</si>
  <si>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</si>
  <si>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</si>
  <si>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</si>
  <si>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</si>
  <si>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</si>
  <si>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</si>
  <si>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</si>
  <si>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</si>
  <si>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</si>
  <si>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</si>
  <si>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</si>
  <si>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</si>
  <si>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</si>
  <si>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</si>
  <si>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</si>
  <si>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</si>
  <si>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</si>
  <si>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</si>
  <si>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</si>
  <si>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</si>
  <si>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</si>
  <si>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</si>
  <si>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</si>
  <si>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</si>
  <si>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</si>
  <si>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</si>
  <si>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</si>
  <si>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</si>
  <si>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</si>
  <si>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</si>
  <si>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</si>
  <si>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</si>
  <si>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</si>
  <si>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</si>
  <si>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</si>
  <si>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</si>
  <si>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</si>
  <si>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</si>
  <si>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</si>
  <si>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</si>
  <si>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</si>
  <si>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</si>
  <si>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</si>
  <si>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</si>
  <si>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</si>
  <si>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</si>
  <si>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</si>
  <si>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</si>
  <si>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</si>
  <si>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</si>
  <si>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</si>
  <si>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</si>
  <si>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</si>
  <si>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</si>
  <si>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</si>
  <si>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</si>
  <si>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</si>
  <si>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</si>
  <si>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</si>
  <si>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</si>
  <si>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</si>
  <si>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</si>
  <si>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</si>
  <si>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</si>
  <si>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</si>
  <si>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</si>
  <si>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</si>
  <si>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</si>
  <si>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</si>
  <si>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</si>
  <si>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</si>
  <si>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</si>
  <si>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</si>
  <si>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</si>
  <si>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</si>
  <si>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</si>
  <si>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</si>
  <si>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</si>
  <si>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</si>
  <si>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</si>
  <si>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</si>
  <si>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</si>
  <si>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</si>
  <si>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</si>
  <si>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</si>
  <si>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</si>
  <si>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</si>
  <si>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</si>
  <si>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</si>
  <si>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</si>
  <si>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</si>
  <si>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</si>
  <si>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</si>
  <si>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</si>
  <si>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</si>
  <si>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</si>
  <si>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</si>
  <si>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</si>
  <si>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</si>
  <si>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</si>
  <si>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</si>
  <si>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</si>
  <si>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</si>
  <si>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</si>
  <si>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</si>
  <si>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</si>
  <si>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</si>
  <si>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</si>
  <si>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</si>
  <si>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</si>
  <si>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</si>
  <si>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</si>
  <si>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</si>
  <si>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</si>
  <si>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</si>
  <si>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</si>
  <si>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</si>
  <si>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</si>
  <si>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</si>
  <si>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</si>
  <si>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</si>
  <si>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</si>
  <si>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</si>
  <si>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</si>
  <si>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</si>
  <si>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</si>
  <si>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</si>
  <si>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</si>
  <si>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</si>
  <si>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</si>
  <si>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</si>
  <si>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</si>
  <si>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</si>
  <si>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</si>
  <si>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</si>
  <si>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</si>
  <si>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</si>
  <si>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</si>
  <si>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</si>
  <si>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</si>
  <si>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</si>
  <si>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</si>
  <si>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</si>
  <si>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</si>
  <si>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</si>
  <si>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</si>
  <si>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</si>
  <si>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</si>
  <si>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</si>
  <si>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</si>
  <si>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</si>
  <si>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</si>
  <si>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</si>
  <si>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</si>
  <si>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</si>
  <si>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</si>
  <si>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</si>
  <si>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</si>
  <si>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</si>
  <si>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</si>
  <si>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</si>
  <si>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</si>
  <si>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</si>
  <si>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</si>
  <si>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</si>
  <si>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</si>
  <si>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</si>
  <si>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</si>
  <si>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</si>
  <si>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</si>
  <si>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</si>
  <si>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</si>
  <si>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</si>
  <si>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</si>
  <si>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</si>
  <si>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</si>
  <si>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</si>
  <si>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</si>
  <si>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</si>
  <si>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</si>
  <si>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</si>
  <si>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</si>
  <si>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</si>
  <si>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</si>
  <si>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</si>
  <si>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</si>
  <si>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</si>
  <si>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</si>
  <si>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</si>
  <si>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</si>
  <si>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</si>
  <si>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</si>
  <si>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</si>
  <si>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</si>
  <si>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</si>
  <si>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</si>
  <si>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</si>
  <si>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</si>
  <si>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</si>
  <si>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</si>
  <si>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</si>
  <si>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</si>
  <si>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</si>
  <si>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</si>
  <si>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</si>
  <si>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</si>
  <si>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</si>
  <si>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</si>
  <si>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</si>
  <si>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</si>
  <si>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</si>
  <si>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</si>
  <si>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</si>
  <si>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</si>
  <si>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</si>
  <si>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</si>
  <si>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</si>
  <si>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</si>
  <si>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</si>
  <si>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</si>
  <si>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</si>
  <si>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</si>
  <si>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</si>
  <si>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</si>
  <si>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</si>
  <si>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</si>
  <si>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</si>
  <si>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</si>
  <si>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</si>
  <si>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</si>
  <si>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</si>
  <si>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</si>
  <si>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</si>
  <si>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</si>
  <si>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</si>
  <si>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</si>
  <si>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</si>
  <si>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</si>
  <si>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</si>
  <si>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</si>
  <si>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</si>
  <si>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</si>
  <si>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</si>
  <si>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</si>
  <si>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</si>
  <si>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</si>
  <si>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</si>
  <si>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</si>
  <si>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</si>
  <si>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</si>
  <si>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</si>
  <si>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</si>
  <si>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</si>
  <si>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</si>
  <si>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</si>
  <si>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</si>
  <si>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</si>
  <si>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</si>
  <si>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</si>
  <si>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</si>
  <si>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</si>
  <si>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</si>
  <si>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</si>
  <si>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</si>
  <si>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</si>
  <si>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</si>
  <si>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</si>
  <si>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</si>
  <si>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</si>
  <si>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</si>
  <si>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</si>
  <si>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</si>
  <si>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</si>
  <si>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</si>
  <si>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</si>
  <si>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</si>
  <si>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</si>
  <si>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</si>
  <si>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</si>
  <si>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</si>
  <si>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</si>
  <si>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</si>
  <si>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</si>
  <si>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</si>
  <si>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</si>
  <si>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</si>
  <si>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</si>
  <si>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</si>
  <si>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</si>
  <si>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</si>
  <si>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</si>
  <si>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</si>
  <si>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</si>
  <si>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</si>
  <si>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</si>
  <si>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</si>
  <si>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</si>
  <si>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</si>
  <si>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</si>
  <si>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</si>
  <si>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</si>
  <si>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</si>
  <si>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</si>
  <si>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</si>
  <si>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</si>
  <si>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</si>
  <si>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</si>
  <si>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</si>
  <si>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</si>
  <si>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</si>
  <si>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</si>
  <si>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</si>
  <si>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</si>
  <si>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</si>
  <si>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</si>
  <si>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</si>
  <si>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</si>
  <si>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</si>
  <si>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</si>
  <si>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</si>
  <si>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</si>
  <si>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</si>
  <si>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</si>
  <si>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</si>
  <si>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</si>
  <si>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</si>
  <si>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</si>
  <si>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</si>
  <si>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</si>
  <si>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</si>
  <si>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</si>
  <si>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</si>
  <si>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</si>
  <si>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</si>
  <si>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</si>
  <si>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</si>
  <si>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</si>
  <si>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</si>
  <si>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</si>
  <si>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</si>
  <si>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</si>
  <si>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</si>
  <si>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</si>
  <si>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</si>
  <si>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</si>
  <si>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</si>
  <si>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</si>
  <si>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</si>
  <si>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</si>
  <si>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</si>
  <si>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</si>
  <si>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</si>
  <si>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</si>
  <si>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</si>
  <si>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</si>
  <si>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</si>
  <si>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</si>
  <si>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</si>
  <si>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</si>
  <si>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</si>
  <si>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</si>
  <si>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</si>
  <si>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</si>
  <si>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</si>
  <si>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</si>
  <si>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</si>
  <si>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</si>
  <si>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</si>
  <si>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</si>
  <si>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</si>
  <si>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</si>
  <si>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</si>
  <si>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</si>
  <si>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</si>
  <si>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</si>
  <si>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</si>
  <si>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</si>
  <si>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</si>
  <si>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</si>
  <si>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</si>
  <si>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</si>
  <si>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</si>
  <si>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</si>
  <si>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</si>
  <si>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</si>
  <si>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</si>
  <si>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</si>
  <si>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</si>
  <si>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</si>
  <si>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</si>
  <si>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</si>
  <si>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</si>
  <si>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</si>
  <si>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</si>
  <si>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</si>
  <si>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</si>
  <si>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</si>
  <si>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</si>
  <si>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</si>
  <si>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</si>
  <si>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</si>
  <si>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</si>
  <si>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</si>
  <si>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</si>
  <si>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</si>
  <si>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</si>
  <si>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</si>
  <si>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</si>
  <si>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</si>
  <si>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</si>
  <si>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</si>
  <si>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</si>
  <si>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</si>
  <si>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</si>
  <si>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</si>
  <si>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</si>
  <si>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</si>
  <si>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</si>
  <si>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</si>
  <si>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</si>
  <si>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</si>
  <si>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</si>
  <si>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</si>
  <si>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</si>
  <si>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</si>
  <si>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</si>
  <si>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</si>
  <si>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</si>
  <si>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</si>
  <si>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</si>
  <si>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</si>
  <si>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</si>
  <si>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</si>
  <si>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</si>
  <si>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</si>
  <si>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</si>
  <si>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</si>
  <si>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</si>
  <si>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</si>
  <si>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</si>
  <si>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</si>
  <si>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</si>
  <si>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</si>
  <si>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</si>
  <si>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</si>
  <si>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</si>
  <si>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</si>
  <si>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</si>
  <si>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</si>
  <si>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</si>
  <si>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</si>
  <si>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</si>
  <si>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</si>
  <si>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</si>
  <si>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</si>
  <si>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</si>
  <si>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</si>
  <si>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</si>
  <si>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</si>
  <si>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</si>
  <si>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</si>
  <si>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</si>
  <si>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</si>
  <si>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</si>
  <si>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</si>
  <si>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</si>
  <si>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</si>
  <si>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</si>
  <si>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</si>
  <si>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</si>
  <si>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</si>
  <si>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</si>
  <si>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</si>
  <si>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</si>
  <si>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</si>
  <si>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</si>
  <si>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</si>
  <si>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</si>
  <si>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</si>
  <si>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</si>
  <si>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</si>
  <si>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</si>
  <si>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</si>
  <si>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</si>
  <si>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</si>
  <si>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</si>
  <si>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</si>
  <si>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</si>
  <si>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</si>
  <si>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</si>
  <si>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</si>
  <si>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</si>
  <si>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</si>
  <si>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</si>
  <si>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</si>
  <si>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</si>
  <si>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</si>
  <si>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</si>
  <si>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</si>
  <si>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</si>
  <si>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</si>
  <si>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</si>
  <si>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</si>
  <si>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</si>
  <si>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</si>
  <si>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</si>
  <si>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</si>
  <si>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</si>
  <si>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</si>
  <si>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</si>
  <si>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</si>
  <si>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</si>
  <si>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</si>
  <si>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</si>
  <si>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</si>
  <si>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</si>
  <si>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</si>
  <si>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</si>
  <si>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</si>
  <si>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</si>
  <si>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</si>
  <si>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</si>
  <si>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</si>
  <si>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</si>
  <si>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</si>
  <si>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</si>
  <si>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</si>
  <si>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</si>
  <si>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</si>
  <si>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</si>
  <si>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</si>
  <si>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</si>
  <si>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</si>
  <si>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</si>
  <si>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</si>
  <si>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</si>
  <si>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</si>
  <si>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</si>
  <si>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</si>
  <si>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</si>
  <si>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</si>
  <si>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</si>
  <si>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</si>
  <si>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</si>
  <si>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</si>
  <si>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</si>
  <si>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</si>
  <si>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</si>
  <si>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</si>
  <si>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</si>
  <si>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</si>
  <si>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</si>
  <si>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</si>
  <si>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</si>
  <si>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</si>
  <si>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</si>
  <si>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</si>
  <si>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</si>
  <si>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</si>
  <si>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</si>
  <si>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</si>
  <si>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</si>
  <si>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</si>
  <si>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</si>
  <si>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</si>
  <si>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</si>
  <si>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</si>
  <si>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</si>
  <si>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</si>
  <si>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</si>
  <si>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</si>
  <si>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</si>
  <si>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</si>
  <si>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</si>
  <si>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</si>
  <si>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</si>
  <si>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</si>
  <si>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</si>
  <si>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</si>
  <si>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</si>
  <si>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</si>
  <si>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</si>
  <si>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</si>
  <si>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</si>
  <si>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</si>
  <si>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</si>
  <si>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</si>
  <si>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</si>
  <si>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</si>
  <si>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</si>
  <si>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</si>
  <si>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</si>
  <si>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</si>
  <si>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</si>
  <si>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</si>
  <si>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</si>
  <si>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</si>
  <si>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</si>
  <si>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</si>
  <si>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</si>
  <si>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</si>
  <si>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</si>
  <si>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</si>
  <si>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</si>
  <si>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</si>
  <si>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</si>
  <si>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</si>
  <si>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</si>
  <si>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</si>
  <si>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</si>
  <si>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</si>
  <si>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</si>
  <si>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</si>
  <si>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</si>
  <si>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</si>
  <si>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</si>
  <si>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</si>
  <si>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</si>
  <si>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</si>
  <si>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</si>
  <si>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</si>
  <si>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</si>
  <si>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</si>
  <si>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</si>
  <si>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</si>
  <si>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</si>
  <si>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</si>
  <si>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</si>
  <si>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</si>
  <si>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</si>
  <si>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</si>
  <si>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</si>
  <si>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</si>
  <si>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</si>
  <si>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</si>
  <si>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</si>
  <si>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</si>
  <si>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</si>
  <si>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</si>
  <si>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</si>
  <si>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</si>
  <si>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</si>
  <si>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</si>
  <si>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</si>
  <si>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</si>
  <si>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</si>
  <si>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</si>
  <si>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</si>
  <si>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</si>
  <si>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</si>
  <si>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</si>
  <si>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</si>
  <si>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</si>
  <si>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</si>
  <si>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</si>
  <si>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</si>
  <si>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</si>
  <si>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</si>
  <si>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</si>
  <si>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Passenger ships (recreational boats): activity from AEO boat energy (vehicle-vintaging pilot)</t>
  </si>
  <si>
    <t>BCDTRtSY's ships row was AEO Table 7 recreational-boat energy, which falls as boats get more efficient; with stock-gap sales that shrank the boat fleet. NEMS's own per-boat energy trend is divided out, so the row indexes boats, not their fuel.</t>
  </si>
  <si>
    <t>RBBOAT_COEF (boats per GDP per capita: a, b in a exp(b n))</t>
  </si>
  <si>
    <t>not used: the boat count comes from energy / per-boat use</t>
  </si>
  <si>
    <t>RBMG_COEF (gasoline per boat: a, b in a exp(b n))</t>
  </si>
  <si>
    <t>RBDS_COEF (diesel per boat, constant)</t>
  </si>
  <si>
    <t>RBHISTYR (last year of historical boat energy in NEMS)</t>
  </si>
  <si>
    <t>NEMS year index n = year - this</t>
  </si>
  <si>
    <t>Passenger ships</t>
  </si>
  <si>
    <t>NEMS year index n</t>
  </si>
  <si>
    <t>per-boat energy = RBMG a exp(RBMG b n) + RBDS</t>
  </si>
  <si>
    <t>per-boat energy index (2024 = 1)</t>
  </si>
  <si>
    <t>BOAT ACTIVITY INDEX = energy index / per-boat index (read by BCDTRtSY-psgr)</t>
  </si>
  <si>
    <t>Recreational-boat energy per boat (boat activity tab)</t>
  </si>
  <si>
    <t>U.S. Energy Information Administration</t>
  </si>
  <si>
    <t>National Energy Modeling System, AEO 2026 public release, input/tdm/trnldvx.xlsx (named ranges RBBOAT_COEF, RBMG_COEF, RBDS_COEF, RBHISTYR) and tran.f</t>
  </si>
  <si>
    <t>https://github.com/EIAgov/NEMS/tree/AEO2026-Public-Release/input/tdm</t>
  </si>
  <si>
    <t>Coefficients pasted on 'boat activity'. NEMS projects boat energy as boat count x per-boat use, and per-boat gasoline use falls at RBMG_COEF(2) per year; dividing AEO's boat energy by per-boat use gives the boat count, the activity EPS needs.</t>
  </si>
  <si>
    <t>Notes:</t>
  </si>
  <si>
    <t>What this file is</t>
  </si>
  <si>
    <t>Travel in each year relative to the start year (2024), for each vehicle and cargo type: passenger-miles for passenger types, ton-miles for freight types, and boat use for recreational boats. The model multiplies the start-year travel by these ratios, so this file carries AEO's travel outlook into the model. The 'calcs' tab takes each row from the AEO table named below; 'seam fix' bridges the two AEO editions; 'boat activity' converts AEO's boat energy to boat use. The dark-blue tabs are exported.</t>
  </si>
  <si>
    <t>AEO edition seam</t>
  </si>
  <si>
    <t>Passenger LDVs</t>
  </si>
  <si>
    <t>AEO Table 7 light-duty vehicle-miles. Loading is constant, so vehicle-miles and passenger-miles move together.</t>
  </si>
  <si>
    <t>AEO Table 7 bus passenger-miles (transit, intercity and school). The post-2020 recovery in this series is carried as riders per bus in the loading file.</t>
  </si>
  <si>
    <t>Passenger and freight aircraft</t>
  </si>
  <si>
    <t>AEO Table 7 air passenger-miles; freight aircraft follow the same path. Domestic share only.</t>
  </si>
  <si>
    <t>Passenger rail</t>
  </si>
  <si>
    <t>AEO Table 7 passenger rail passenger-miles. The recovery in this series is carried as riders per car in the loading file.</t>
  </si>
  <si>
    <t>Freight rail</t>
  </si>
  <si>
    <t>AEO Table 7 rail ton-miles.</t>
  </si>
  <si>
    <t>Recreational boats (passenger ships)</t>
  </si>
  <si>
    <t>AEO's recreational-boat energy, divided by NEMS's own per-boat energy trend (about -0.55% a year, from the NEMS boat coefficients), so the row indexes boat activity rather than fuel. Using energy directly would shrink the fleet as boats get more efficient.</t>
  </si>
  <si>
    <t>Freight ships</t>
  </si>
  <si>
    <t>AEO Table 7 domestic shipping ton-miles.</t>
  </si>
  <si>
    <t>Freight LDVs (class 2b-6) and heavy trucks (class 7-8)</t>
  </si>
  <si>
    <t>AEO Table 49 vehicle-miles for the matching truck classes (class 2b-6 added together for freight LDVs).</t>
  </si>
  <si>
    <t>Motorbikes</t>
  </si>
  <si>
    <t>AEO Table 35 motorcycle travel.</t>
  </si>
  <si>
    <t>g25 = AEO 2025 growth, 2024-&gt;2025 (seam bridge; see About)</t>
  </si>
  <si>
    <t>n/a - already rebased to AEO 2026 (2025 base; 2025 interpolated)</t>
  </si>
  <si>
    <t>n/a - already rebased to AEO 2026 (2025 base)</t>
  </si>
  <si>
    <t>boat energy index (BCDTRtSY, calcs tab)</t>
  </si>
  <si>
    <t>AEO 2025 supplies 2024 and AEO 2026 supplies 2025 onward, and AEO 2026 re-benchmarked travel levels (comparing the two editions' 2025 values: light-duty VMT -7%, buses -11%, freight trucks -5%, freight rail and marine +6%). Dividing AEO 2026 by an AEO 2025 base would put a false step into 2024-to-2025, so each row is indexed to AEO 2026's own 2025 value and the 2024 base is that value carried back one year at AEO 2025's projected 2024-to-2025 growth (helper cells in column AF of the calcs tab). Passenger rail and motorbikes were already on AEO 2026's 2025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</si>
</sst>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0.0%"/>
    <numFmt numFmtId="165" formatCode="#,##0.0"/>
    <numFmt numFmtId="166" formatCode="###0.00_)"/>
    <numFmt numFmtId="167" formatCode="#,##0_)"/>
  </numFmts>
  <fonts count="66">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DDEBF7"/>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7">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67">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4" fillId="0" borderId="0" xfId="1" applyFont="1"/>
    <xf numFmtId="10" fontId="0" fillId="0" borderId="0" xfId="0" applyNumberFormat="1"/>
    <xf numFmtId="0" fontId="0" fillId="0" borderId="0" xfId="0" applyAlignment="1">
      <alignment horizontal="left" vertical="top"/>
    </xf>
    <xf numFmtId="0" fontId="6" fillId="0" borderId="0" xfId="1" applyFont="1"/>
    <xf numFmtId="0" fontId="8" fillId="0" borderId="0" xfId="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2" fillId="63" borderId="0" xfId="0" applyFont="1" applyFill="1"/>
    <xf numFmtId="0" fontId="0" fillId="63" borderId="0" xfId="0" applyFill="1"/>
    <xf numFmtId="0" fontId="2" fillId="0" borderId="0" xfId="0" applyFont="1" applyAlignment="1">
      <alignment vertical="top"/>
    </xf>
    <xf numFmtId="0" fontId="0" fillId="0" borderId="0" xfId="0" applyAlignment="1">
      <alignment horizontal="left" vertical="top" wrapText="1"/>
    </xf>
    <xf numFmtId="0" fontId="3" fillId="0" borderId="0" xfId="1"/>
    <xf numFmtId="0" fontId="61" fillId="0" borderId="2" xfId="223" applyFont="1">
      <alignment wrapText="1"/>
    </xf>
    <xf numFmtId="0" fontId="3" fillId="0" borderId="2" xfId="1" applyBorder="1"/>
  </cellXfs>
  <cellStyles count="227">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19">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EIAgov/NEMS/tree/AEO2026-Public-Release/input/tdm" TargetMode="External"/><Relationship Id="rId1" Type="http://schemas.openxmlformats.org/officeDocument/2006/relationships/hyperlink" Target="https://www.epa.gov/ghgemissions/inventory-us-greenhouse-gas-emissions-and-sinks-1990-2020" TargetMode="Externa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workbookViewId="0"/>
  </sheetViews>
  <sheetFormatPr defaultRowHeight="15"/>
  <cols>
    <col min="1" max="1" width="16.7109375" customWidth="1"/>
    <col min="2" max="2" width="100.7109375" customWidth="1"/>
    <col min="3" max="3" width="3.7109375" customWidth="1"/>
    <col min="4" max="4" width="100.7109375" customWidth="1"/>
  </cols>
  <sheetData>
    <row r="1" spans="1:2">
      <c r="A1" s="1" t="s">
        <v>123</v>
      </c>
    </row>
    <row r="3" spans="1:2">
      <c r="A3" s="1" t="s">
        <v>0</v>
      </c>
      <c r="B3" s="2" t="s">
        <v>118</v>
      </c>
    </row>
    <row r="4" spans="1:2">
      <c r="B4" t="s">
        <v>116</v>
      </c>
    </row>
    <row r="5" spans="1:2">
      <c r="B5" s="3" t="s">
        <v>2084</v>
      </c>
    </row>
    <row r="6" spans="1:2">
      <c r="B6" t="s">
        <v>2085</v>
      </c>
    </row>
    <row r="7" spans="1:2">
      <c r="B7" t="s">
        <v>1969</v>
      </c>
    </row>
    <row r="8" spans="1:2">
      <c r="B8" s="4" t="s">
        <v>257</v>
      </c>
    </row>
    <row r="9" spans="1:2">
      <c r="B9" t="s">
        <v>256</v>
      </c>
    </row>
    <row r="11" spans="1:2">
      <c r="B11" s="2" t="s">
        <v>304</v>
      </c>
    </row>
    <row r="12" spans="1:2">
      <c r="B12" t="s">
        <v>305</v>
      </c>
    </row>
    <row r="13" spans="1:2">
      <c r="B13" s="9">
        <v>2022</v>
      </c>
    </row>
    <row r="14" spans="1:2">
      <c r="B14" t="s">
        <v>306</v>
      </c>
    </row>
    <row r="15" spans="1:2">
      <c r="B15" s="4" t="s">
        <v>307</v>
      </c>
    </row>
    <row r="16" spans="1:2">
      <c r="B16" t="s">
        <v>308</v>
      </c>
    </row>
    <row r="18" spans="1:2">
      <c r="B18" t="s">
        <v>2765</v>
      </c>
    </row>
    <row r="19" spans="1:2">
      <c r="B19" t="s">
        <v>2766</v>
      </c>
    </row>
    <row r="20" spans="1:2">
      <c r="B20">
        <v>2026</v>
      </c>
    </row>
    <row r="21" spans="1:2">
      <c r="B21" t="s">
        <v>2767</v>
      </c>
    </row>
    <row r="22" spans="1:2">
      <c r="B22" s="4" t="s">
        <v>2768</v>
      </c>
    </row>
    <row r="23" spans="1:2">
      <c r="B23" t="s">
        <v>2769</v>
      </c>
    </row>
    <row r="25" spans="1:2">
      <c r="A25" s="1" t="s">
        <v>2770</v>
      </c>
    </row>
    <row r="26" spans="1:2" ht="75">
      <c r="A26" s="62" t="s">
        <v>2771</v>
      </c>
      <c r="B26" s="63" t="s">
        <v>2772</v>
      </c>
    </row>
    <row r="27" spans="1:2" ht="90">
      <c r="A27" s="62" t="s">
        <v>2773</v>
      </c>
      <c r="B27" s="63" t="s">
        <v>2795</v>
      </c>
    </row>
    <row r="28" spans="1:2" ht="30">
      <c r="A28" s="62" t="s">
        <v>2774</v>
      </c>
      <c r="B28" s="63" t="s">
        <v>2775</v>
      </c>
    </row>
    <row r="29" spans="1:2" ht="30">
      <c r="A29" s="62" t="s">
        <v>149</v>
      </c>
      <c r="B29" s="63" t="s">
        <v>2776</v>
      </c>
    </row>
    <row r="30" spans="1:2">
      <c r="A30" s="62" t="s">
        <v>2777</v>
      </c>
      <c r="B30" s="63" t="s">
        <v>2778</v>
      </c>
    </row>
    <row r="31" spans="1:2" ht="30">
      <c r="A31" s="62" t="s">
        <v>2779</v>
      </c>
      <c r="B31" s="63" t="s">
        <v>2780</v>
      </c>
    </row>
    <row r="32" spans="1:2">
      <c r="A32" s="62" t="s">
        <v>2781</v>
      </c>
      <c r="B32" s="63" t="s">
        <v>2782</v>
      </c>
    </row>
    <row r="33" spans="1:2" ht="45">
      <c r="A33" s="62" t="s">
        <v>2783</v>
      </c>
      <c r="B33" s="63" t="s">
        <v>2784</v>
      </c>
    </row>
    <row r="34" spans="1:2">
      <c r="A34" s="62" t="s">
        <v>2785</v>
      </c>
      <c r="B34" s="63" t="s">
        <v>2786</v>
      </c>
    </row>
    <row r="35" spans="1:2">
      <c r="A35" s="62" t="s">
        <v>2787</v>
      </c>
      <c r="B35" s="63" t="s">
        <v>2788</v>
      </c>
    </row>
    <row r="36" spans="1:2">
      <c r="A36" s="62" t="s">
        <v>2789</v>
      </c>
      <c r="B36" s="63" t="s">
        <v>2790</v>
      </c>
    </row>
  </sheetData>
  <hyperlinks>
    <hyperlink ref="B15" r:id="rId1" xr:uid="{31674276-EE75-45DE-90D8-844FE2EE3988}"/>
    <hyperlink ref="B22" r:id="rId2" xr:uid="{0BE80193-14B4-402F-BC2E-60CDF7063328}"/>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5"/>
  <cols>
    <col min="1" max="1" width="44.42578125" customWidth="1"/>
    <col min="2" max="2" width="12.5703125" customWidth="1"/>
  </cols>
  <sheetData>
    <row r="1" spans="1:7">
      <c r="A1" t="s">
        <v>329</v>
      </c>
    </row>
    <row r="3" spans="1:7">
      <c r="A3" t="s">
        <v>330</v>
      </c>
      <c r="B3">
        <v>2020</v>
      </c>
      <c r="C3">
        <v>2021</v>
      </c>
      <c r="G3" t="s">
        <v>367</v>
      </c>
    </row>
    <row r="4" spans="1:7">
      <c r="A4" t="s">
        <v>331</v>
      </c>
      <c r="B4">
        <v>937</v>
      </c>
      <c r="C4" s="13">
        <v>1029</v>
      </c>
      <c r="F4" t="s">
        <v>149</v>
      </c>
      <c r="G4">
        <f>SUM(C8,C15,C35,C41,C45)/SUM(B45,B41,B35,B15,B8)</f>
        <v>1.0416666666666667</v>
      </c>
    </row>
    <row r="5" spans="1:7">
      <c r="A5" t="s">
        <v>332</v>
      </c>
      <c r="B5">
        <v>328</v>
      </c>
      <c r="C5">
        <v>361</v>
      </c>
    </row>
    <row r="6" spans="1:7">
      <c r="A6" t="s">
        <v>333</v>
      </c>
      <c r="B6">
        <v>566</v>
      </c>
      <c r="C6">
        <v>620</v>
      </c>
    </row>
    <row r="7" spans="1:7">
      <c r="A7" t="s">
        <v>334</v>
      </c>
      <c r="B7">
        <v>24</v>
      </c>
      <c r="C7">
        <v>27</v>
      </c>
    </row>
    <row r="8" spans="1:7">
      <c r="A8" s="5" t="s">
        <v>149</v>
      </c>
      <c r="B8">
        <v>3</v>
      </c>
      <c r="C8">
        <v>3</v>
      </c>
    </row>
    <row r="9" spans="1:7">
      <c r="A9" t="s">
        <v>147</v>
      </c>
      <c r="B9">
        <v>7</v>
      </c>
      <c r="C9">
        <v>7</v>
      </c>
    </row>
    <row r="10" spans="1:7">
      <c r="A10" t="s">
        <v>335</v>
      </c>
      <c r="B10">
        <v>10</v>
      </c>
      <c r="C10">
        <v>11</v>
      </c>
    </row>
    <row r="11" spans="1:7">
      <c r="A11" t="s">
        <v>336</v>
      </c>
      <c r="B11">
        <v>455</v>
      </c>
      <c r="C11">
        <v>488</v>
      </c>
    </row>
    <row r="12" spans="1:7">
      <c r="A12" t="s">
        <v>332</v>
      </c>
      <c r="B12">
        <v>3</v>
      </c>
      <c r="C12">
        <v>3</v>
      </c>
    </row>
    <row r="13" spans="1:7">
      <c r="A13" t="s">
        <v>333</v>
      </c>
      <c r="B13">
        <v>30</v>
      </c>
      <c r="C13">
        <v>33</v>
      </c>
    </row>
    <row r="14" spans="1:7">
      <c r="A14" t="s">
        <v>334</v>
      </c>
      <c r="B14">
        <v>353</v>
      </c>
      <c r="C14">
        <v>380</v>
      </c>
    </row>
    <row r="15" spans="1:7">
      <c r="A15" s="5" t="s">
        <v>149</v>
      </c>
      <c r="B15">
        <v>20</v>
      </c>
      <c r="C15">
        <v>21</v>
      </c>
    </row>
    <row r="16" spans="1:7">
      <c r="A16" t="s">
        <v>162</v>
      </c>
      <c r="B16">
        <v>31</v>
      </c>
      <c r="C16">
        <v>32</v>
      </c>
    </row>
    <row r="17" spans="1:3">
      <c r="A17" t="s">
        <v>335</v>
      </c>
      <c r="B17">
        <v>3</v>
      </c>
      <c r="C17">
        <v>3</v>
      </c>
    </row>
    <row r="18" spans="1:3">
      <c r="A18" t="s">
        <v>337</v>
      </c>
      <c r="B18">
        <v>8</v>
      </c>
      <c r="C18">
        <v>8</v>
      </c>
    </row>
    <row r="19" spans="1:3">
      <c r="A19" t="s">
        <v>338</v>
      </c>
      <c r="B19">
        <v>8</v>
      </c>
      <c r="C19">
        <v>7</v>
      </c>
    </row>
    <row r="20" spans="1:3">
      <c r="A20" t="s">
        <v>339</v>
      </c>
      <c r="B20">
        <v>160</v>
      </c>
      <c r="C20">
        <v>203</v>
      </c>
    </row>
    <row r="21" spans="1:3">
      <c r="A21" t="s">
        <v>340</v>
      </c>
      <c r="B21">
        <v>91</v>
      </c>
      <c r="C21">
        <v>119</v>
      </c>
    </row>
    <row r="22" spans="1:3">
      <c r="A22" t="s">
        <v>341</v>
      </c>
      <c r="B22">
        <v>12</v>
      </c>
      <c r="C22">
        <v>13</v>
      </c>
    </row>
    <row r="23" spans="1:3">
      <c r="A23" t="s">
        <v>342</v>
      </c>
      <c r="B23">
        <v>18</v>
      </c>
      <c r="C23">
        <v>21</v>
      </c>
    </row>
    <row r="24" spans="1:3">
      <c r="A24" t="s">
        <v>338</v>
      </c>
      <c r="B24">
        <v>40</v>
      </c>
      <c r="C24">
        <v>51</v>
      </c>
    </row>
    <row r="25" spans="1:3">
      <c r="A25" t="s">
        <v>343</v>
      </c>
      <c r="B25">
        <v>37</v>
      </c>
      <c r="C25">
        <v>48</v>
      </c>
    </row>
    <row r="26" spans="1:3">
      <c r="A26" t="s">
        <v>175</v>
      </c>
      <c r="B26">
        <v>1</v>
      </c>
      <c r="C26">
        <v>1</v>
      </c>
    </row>
    <row r="27" spans="1:3">
      <c r="A27" t="s">
        <v>342</v>
      </c>
      <c r="B27">
        <v>1</v>
      </c>
      <c r="C27">
        <v>1</v>
      </c>
    </row>
    <row r="28" spans="1:3">
      <c r="A28" t="s">
        <v>169</v>
      </c>
      <c r="B28">
        <v>29</v>
      </c>
      <c r="C28">
        <v>46</v>
      </c>
    </row>
    <row r="29" spans="1:3">
      <c r="A29" t="s">
        <v>344</v>
      </c>
      <c r="B29">
        <v>7</v>
      </c>
      <c r="C29">
        <v>24</v>
      </c>
    </row>
    <row r="30" spans="1:3">
      <c r="A30" t="s">
        <v>338</v>
      </c>
      <c r="B30">
        <v>22</v>
      </c>
      <c r="C30">
        <v>22</v>
      </c>
    </row>
    <row r="31" spans="1:3">
      <c r="A31" t="s">
        <v>345</v>
      </c>
      <c r="B31">
        <v>59</v>
      </c>
      <c r="C31">
        <v>65</v>
      </c>
    </row>
    <row r="32" spans="1:3">
      <c r="A32" t="s">
        <v>332</v>
      </c>
      <c r="B32">
        <v>0</v>
      </c>
      <c r="C32">
        <v>0</v>
      </c>
    </row>
    <row r="33" spans="1:3">
      <c r="A33" t="s">
        <v>333</v>
      </c>
      <c r="B33">
        <v>0</v>
      </c>
      <c r="C33">
        <v>0</v>
      </c>
    </row>
    <row r="34" spans="1:3">
      <c r="A34" t="s">
        <v>346</v>
      </c>
      <c r="B34">
        <v>0</v>
      </c>
      <c r="C34">
        <v>0</v>
      </c>
    </row>
    <row r="35" spans="1:3">
      <c r="A35" s="5" t="s">
        <v>149</v>
      </c>
      <c r="B35">
        <v>1</v>
      </c>
      <c r="C35">
        <v>1</v>
      </c>
    </row>
    <row r="36" spans="1:3">
      <c r="A36" t="s">
        <v>347</v>
      </c>
      <c r="B36">
        <v>58</v>
      </c>
      <c r="C36">
        <v>64</v>
      </c>
    </row>
    <row r="37" spans="1:3">
      <c r="A37" t="s">
        <v>348</v>
      </c>
      <c r="B37">
        <v>0</v>
      </c>
      <c r="C37">
        <v>0</v>
      </c>
    </row>
    <row r="38" spans="1:3">
      <c r="A38" t="s">
        <v>332</v>
      </c>
      <c r="B38">
        <v>0</v>
      </c>
      <c r="C38">
        <v>0</v>
      </c>
    </row>
    <row r="39" spans="1:3">
      <c r="A39" t="s">
        <v>333</v>
      </c>
      <c r="B39">
        <v>0</v>
      </c>
      <c r="C39">
        <v>0</v>
      </c>
    </row>
    <row r="40" spans="1:3">
      <c r="A40" t="s">
        <v>334</v>
      </c>
      <c r="B40">
        <v>0</v>
      </c>
      <c r="C40">
        <v>0</v>
      </c>
    </row>
    <row r="41" spans="1:3">
      <c r="A41" s="5" t="s">
        <v>149</v>
      </c>
      <c r="B41">
        <v>0</v>
      </c>
      <c r="C41">
        <v>0</v>
      </c>
    </row>
    <row r="42" spans="1:3">
      <c r="A42" t="s">
        <v>349</v>
      </c>
      <c r="B42">
        <v>4</v>
      </c>
      <c r="C42">
        <v>5</v>
      </c>
    </row>
    <row r="43" spans="1:3">
      <c r="A43" t="s">
        <v>332</v>
      </c>
      <c r="B43">
        <v>1</v>
      </c>
      <c r="C43">
        <v>2</v>
      </c>
    </row>
    <row r="44" spans="1:3">
      <c r="A44" t="s">
        <v>333</v>
      </c>
      <c r="B44">
        <v>0</v>
      </c>
      <c r="C44">
        <v>1</v>
      </c>
    </row>
    <row r="45" spans="1:3">
      <c r="A45" s="5" t="s">
        <v>149</v>
      </c>
      <c r="B45">
        <v>0</v>
      </c>
      <c r="C45">
        <v>0</v>
      </c>
    </row>
    <row r="46" spans="1:3">
      <c r="A46" t="s">
        <v>162</v>
      </c>
      <c r="B46">
        <v>2</v>
      </c>
      <c r="C46">
        <v>2</v>
      </c>
    </row>
    <row r="47" spans="1:3">
      <c r="A47" t="s">
        <v>350</v>
      </c>
      <c r="B47">
        <v>68.099999999999994</v>
      </c>
      <c r="C47">
        <v>75.400000000000006</v>
      </c>
    </row>
    <row r="48" spans="1:3">
      <c r="A48" t="s">
        <v>351</v>
      </c>
      <c r="B48">
        <v>70</v>
      </c>
      <c r="C48">
        <v>80</v>
      </c>
    </row>
    <row r="49" spans="1:3">
      <c r="A49" t="s">
        <v>352</v>
      </c>
      <c r="B49">
        <v>68.099999999999994</v>
      </c>
      <c r="C49">
        <v>75.400000000000006</v>
      </c>
    </row>
    <row r="50" spans="1:3">
      <c r="A50" t="s">
        <v>353</v>
      </c>
      <c r="B50">
        <v>17.7</v>
      </c>
      <c r="C50">
        <v>16.100000000000001</v>
      </c>
    </row>
    <row r="51" spans="1:3">
      <c r="A51" t="s">
        <v>354</v>
      </c>
    </row>
    <row r="52" spans="1:3">
      <c r="A52" t="s">
        <v>355</v>
      </c>
    </row>
    <row r="53" spans="1:3">
      <c r="A53" t="s">
        <v>356</v>
      </c>
    </row>
    <row r="54" spans="1:3">
      <c r="A54" t="s">
        <v>357</v>
      </c>
    </row>
    <row r="55" spans="1:3">
      <c r="A55" t="s">
        <v>358</v>
      </c>
    </row>
    <row r="56" spans="1:3">
      <c r="A56" t="s">
        <v>359</v>
      </c>
    </row>
    <row r="57" spans="1:3">
      <c r="A57" t="s">
        <v>360</v>
      </c>
    </row>
    <row r="58" spans="1:3">
      <c r="A58" t="s">
        <v>361</v>
      </c>
    </row>
    <row r="59" spans="1:3">
      <c r="A59" t="s">
        <v>362</v>
      </c>
    </row>
    <row r="60" spans="1:3">
      <c r="A60" t="s">
        <v>363</v>
      </c>
    </row>
    <row r="61" spans="1:3">
      <c r="A61" t="s">
        <v>364</v>
      </c>
    </row>
    <row r="62" spans="1:3">
      <c r="A62" t="s">
        <v>365</v>
      </c>
    </row>
    <row r="63" spans="1:3">
      <c r="A63" t="s">
        <v>366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5"/>
  <cols>
    <col min="1" max="1" width="14.85546875" customWidth="1"/>
    <col min="2" max="2" width="25.7109375" customWidth="1"/>
  </cols>
  <sheetData>
    <row r="1" spans="1:33">
      <c r="A1" t="s">
        <v>1963</v>
      </c>
    </row>
    <row r="2" spans="1:33">
      <c r="A2" t="s">
        <v>1962</v>
      </c>
    </row>
    <row r="3" spans="1:33">
      <c r="A3" t="s">
        <v>1961</v>
      </c>
    </row>
    <row r="4" spans="1:33">
      <c r="A4" t="s">
        <v>135</v>
      </c>
    </row>
    <row r="5" spans="1:33">
      <c r="B5" t="s">
        <v>182</v>
      </c>
      <c r="C5" t="s">
        <v>183</v>
      </c>
      <c r="D5" t="s">
        <v>184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611</v>
      </c>
    </row>
    <row r="6" spans="1:33">
      <c r="A6" t="s">
        <v>101</v>
      </c>
    </row>
    <row r="7" spans="1:33">
      <c r="A7" t="s">
        <v>100</v>
      </c>
    </row>
    <row r="8" spans="1:33">
      <c r="A8" t="s">
        <v>1960</v>
      </c>
    </row>
    <row r="9" spans="1:33">
      <c r="A9" t="s">
        <v>1959</v>
      </c>
      <c r="B9" t="s">
        <v>1958</v>
      </c>
      <c r="C9" t="s">
        <v>1957</v>
      </c>
      <c r="D9" t="s">
        <v>1956</v>
      </c>
      <c r="E9" t="s">
        <v>1949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8">
        <v>4.0000000000000001E-3</v>
      </c>
    </row>
    <row r="10" spans="1:33" s="37" customFormat="1">
      <c r="A10" s="37" t="s">
        <v>148</v>
      </c>
      <c r="B10" s="37" t="s">
        <v>1955</v>
      </c>
      <c r="C10" s="37" t="s">
        <v>1954</v>
      </c>
      <c r="D10" s="37" t="s">
        <v>1949</v>
      </c>
      <c r="F10" s="37">
        <v>90.234665000000007</v>
      </c>
      <c r="G10" s="37">
        <v>88.746048000000002</v>
      </c>
      <c r="H10" s="37">
        <v>87.524918</v>
      </c>
      <c r="I10" s="37">
        <v>86.879401999999999</v>
      </c>
      <c r="J10" s="37">
        <v>86.146125999999995</v>
      </c>
      <c r="K10" s="37">
        <v>85.551413999999994</v>
      </c>
      <c r="L10" s="37">
        <v>85.088477999999995</v>
      </c>
      <c r="M10" s="37">
        <v>84.555840000000003</v>
      </c>
      <c r="N10" s="37">
        <v>84.013214000000005</v>
      </c>
      <c r="O10" s="37">
        <v>83.542664000000002</v>
      </c>
      <c r="P10" s="37">
        <v>83.043007000000003</v>
      </c>
      <c r="Q10" s="37">
        <v>82.538109000000006</v>
      </c>
      <c r="R10" s="37">
        <v>82.013915999999995</v>
      </c>
      <c r="S10" s="37">
        <v>81.499672000000004</v>
      </c>
      <c r="T10" s="37">
        <v>80.976737999999997</v>
      </c>
      <c r="U10" s="37">
        <v>80.459800999999999</v>
      </c>
      <c r="V10" s="37">
        <v>79.954575000000006</v>
      </c>
      <c r="W10" s="37">
        <v>79.410117999999997</v>
      </c>
      <c r="X10" s="37">
        <v>78.884186</v>
      </c>
      <c r="Y10" s="37">
        <v>78.326515000000001</v>
      </c>
      <c r="Z10" s="37">
        <v>77.806870000000004</v>
      </c>
      <c r="AA10" s="37">
        <v>77.239433000000005</v>
      </c>
      <c r="AB10" s="37">
        <v>76.680190999999994</v>
      </c>
      <c r="AC10" s="37">
        <v>76.081207000000006</v>
      </c>
      <c r="AD10" s="37">
        <v>75.451774999999998</v>
      </c>
      <c r="AE10" s="37">
        <v>74.792136999999997</v>
      </c>
      <c r="AF10" s="37">
        <v>74.117767000000001</v>
      </c>
      <c r="AG10" s="38">
        <v>-8.0000000000000002E-3</v>
      </c>
    </row>
    <row r="11" spans="1:33">
      <c r="A11" t="s">
        <v>1953</v>
      </c>
      <c r="B11" t="s">
        <v>1952</v>
      </c>
      <c r="C11" t="s">
        <v>1951</v>
      </c>
      <c r="D11" t="s">
        <v>1950</v>
      </c>
      <c r="E11" t="s">
        <v>1949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8">
        <v>8.9999999999999993E-3</v>
      </c>
    </row>
    <row r="12" spans="1:33">
      <c r="A12" t="s">
        <v>1948</v>
      </c>
    </row>
    <row r="13" spans="1:33">
      <c r="A13" t="s">
        <v>370</v>
      </c>
      <c r="B13" t="s">
        <v>1947</v>
      </c>
      <c r="C13" t="s">
        <v>1946</v>
      </c>
      <c r="D13" t="s">
        <v>1942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8">
        <v>2E-3</v>
      </c>
    </row>
    <row r="14" spans="1:33" s="1" customFormat="1">
      <c r="A14" s="1" t="s">
        <v>1945</v>
      </c>
      <c r="B14" s="1" t="s">
        <v>1944</v>
      </c>
      <c r="C14" s="1" t="s">
        <v>1943</v>
      </c>
      <c r="D14" s="1" t="s">
        <v>1942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6">
        <v>0.02</v>
      </c>
    </row>
    <row r="15" spans="1:33">
      <c r="A15" t="s">
        <v>1941</v>
      </c>
    </row>
    <row r="16" spans="1:33" s="5" customFormat="1">
      <c r="A16" s="5" t="s">
        <v>157</v>
      </c>
      <c r="B16" s="5" t="s">
        <v>1940</v>
      </c>
      <c r="C16" s="5" t="s">
        <v>1939</v>
      </c>
      <c r="D16" s="5" t="s">
        <v>1938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0">
        <v>1.7999999999999999E-2</v>
      </c>
    </row>
    <row r="17" spans="1:34">
      <c r="A17" t="s">
        <v>1937</v>
      </c>
    </row>
    <row r="18" spans="1:34">
      <c r="A18" t="s">
        <v>162</v>
      </c>
      <c r="B18" t="s">
        <v>1936</v>
      </c>
      <c r="C18" t="s">
        <v>1935</v>
      </c>
      <c r="D18" t="s">
        <v>1932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8">
        <v>-2E-3</v>
      </c>
    </row>
    <row r="19" spans="1:34" s="41" customFormat="1">
      <c r="A19" s="41" t="s">
        <v>139</v>
      </c>
      <c r="B19" s="41" t="s">
        <v>1934</v>
      </c>
      <c r="C19" s="41" t="s">
        <v>1933</v>
      </c>
      <c r="D19" s="41" t="s">
        <v>1932</v>
      </c>
      <c r="F19" s="41">
        <v>458.773346</v>
      </c>
      <c r="G19" s="41">
        <v>464.892853</v>
      </c>
      <c r="H19" s="41">
        <v>462.96167000000003</v>
      </c>
      <c r="I19" s="41">
        <v>460.98571800000002</v>
      </c>
      <c r="J19" s="41">
        <v>459.37042200000002</v>
      </c>
      <c r="K19" s="41">
        <v>457.35058600000002</v>
      </c>
      <c r="L19" s="41">
        <v>454.85974099999999</v>
      </c>
      <c r="M19" s="41">
        <v>451.94982900000002</v>
      </c>
      <c r="N19" s="41">
        <v>448.29049700000002</v>
      </c>
      <c r="O19" s="41">
        <v>446.236603</v>
      </c>
      <c r="P19" s="41">
        <v>444.57028200000002</v>
      </c>
      <c r="Q19" s="41">
        <v>442.67672700000003</v>
      </c>
      <c r="R19" s="41">
        <v>440.63128699999999</v>
      </c>
      <c r="S19" s="41">
        <v>439.09964000000002</v>
      </c>
      <c r="T19" s="41">
        <v>437.71414199999998</v>
      </c>
      <c r="U19" s="41">
        <v>435.98474099999999</v>
      </c>
      <c r="V19" s="41">
        <v>434.76898199999999</v>
      </c>
      <c r="W19" s="41">
        <v>433.49096700000001</v>
      </c>
      <c r="X19" s="41">
        <v>432.22720299999997</v>
      </c>
      <c r="Y19" s="41">
        <v>430.67340100000001</v>
      </c>
      <c r="Z19" s="41">
        <v>428.801331</v>
      </c>
      <c r="AA19" s="41">
        <v>427.06716899999998</v>
      </c>
      <c r="AB19" s="41">
        <v>425.27600100000001</v>
      </c>
      <c r="AC19" s="41">
        <v>424.65441900000002</v>
      </c>
      <c r="AD19" s="41">
        <v>423.51385499999998</v>
      </c>
      <c r="AE19" s="41">
        <v>422.14224200000001</v>
      </c>
      <c r="AF19" s="41">
        <v>420.62109400000003</v>
      </c>
      <c r="AG19" s="42">
        <v>-3.0000000000000001E-3</v>
      </c>
      <c r="AH19" s="43">
        <f>AF19/F19</f>
        <v>0.91683856018958876</v>
      </c>
    </row>
    <row r="20" spans="1:34">
      <c r="A20" t="s">
        <v>86</v>
      </c>
    </row>
    <row r="21" spans="1:34">
      <c r="A21" t="s">
        <v>1931</v>
      </c>
    </row>
    <row r="22" spans="1:34">
      <c r="A22" t="s">
        <v>1930</v>
      </c>
      <c r="B22" t="s">
        <v>1929</v>
      </c>
      <c r="C22" t="s">
        <v>1928</v>
      </c>
      <c r="D22" t="s">
        <v>252</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8">
        <v>7.0000000000000001E-3</v>
      </c>
    </row>
    <row r="23" spans="1:34">
      <c r="A23" t="s">
        <v>1906</v>
      </c>
      <c r="B23" t="s">
        <v>1927</v>
      </c>
      <c r="C23" t="s">
        <v>1926</v>
      </c>
      <c r="D23" t="s">
        <v>252</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8">
        <v>7.0000000000000001E-3</v>
      </c>
    </row>
    <row r="24" spans="1:34">
      <c r="A24" t="s">
        <v>1903</v>
      </c>
      <c r="B24" t="s">
        <v>1925</v>
      </c>
      <c r="C24" t="s">
        <v>1924</v>
      </c>
      <c r="D24" t="s">
        <v>252</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8">
        <v>7.0000000000000001E-3</v>
      </c>
    </row>
    <row r="25" spans="1:34">
      <c r="A25" t="s">
        <v>1923</v>
      </c>
      <c r="B25" t="s">
        <v>1922</v>
      </c>
      <c r="C25" t="s">
        <v>1921</v>
      </c>
      <c r="D25" t="s">
        <v>252</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8">
        <v>1.2E-2</v>
      </c>
    </row>
    <row r="26" spans="1:34">
      <c r="A26" t="s">
        <v>1906</v>
      </c>
      <c r="B26" t="s">
        <v>1920</v>
      </c>
      <c r="C26" t="s">
        <v>1919</v>
      </c>
      <c r="D26" t="s">
        <v>252</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8">
        <v>1.7000000000000001E-2</v>
      </c>
    </row>
    <row r="27" spans="1:34">
      <c r="A27" t="s">
        <v>1903</v>
      </c>
      <c r="B27" t="s">
        <v>1918</v>
      </c>
      <c r="C27" t="s">
        <v>1917</v>
      </c>
      <c r="D27" t="s">
        <v>252</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8">
        <v>8.9999999999999993E-3</v>
      </c>
    </row>
    <row r="28" spans="1:34">
      <c r="A28" t="s">
        <v>1916</v>
      </c>
      <c r="B28" t="s">
        <v>1915</v>
      </c>
      <c r="C28" t="s">
        <v>1914</v>
      </c>
      <c r="D28" t="s">
        <v>252</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8">
        <v>1.2E-2</v>
      </c>
    </row>
    <row r="29" spans="1:34">
      <c r="A29" t="s">
        <v>1906</v>
      </c>
      <c r="B29" t="s">
        <v>1913</v>
      </c>
      <c r="C29" t="s">
        <v>1912</v>
      </c>
      <c r="D29" t="s">
        <v>252</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8">
        <v>1.7999999999999999E-2</v>
      </c>
    </row>
    <row r="30" spans="1:34">
      <c r="A30" t="s">
        <v>1903</v>
      </c>
      <c r="B30" t="s">
        <v>1911</v>
      </c>
      <c r="C30" t="s">
        <v>1910</v>
      </c>
      <c r="D30" t="s">
        <v>252</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8">
        <v>8.9999999999999993E-3</v>
      </c>
    </row>
    <row r="31" spans="1:34">
      <c r="A31" t="s">
        <v>1909</v>
      </c>
      <c r="B31" t="s">
        <v>1908</v>
      </c>
      <c r="C31" t="s">
        <v>1907</v>
      </c>
      <c r="D31" t="s">
        <v>252</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8">
        <v>1.2E-2</v>
      </c>
    </row>
    <row r="32" spans="1:34">
      <c r="A32" t="s">
        <v>1906</v>
      </c>
      <c r="B32" t="s">
        <v>1905</v>
      </c>
      <c r="C32" t="s">
        <v>1904</v>
      </c>
      <c r="D32" t="s">
        <v>252</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8">
        <v>1.7999999999999999E-2</v>
      </c>
    </row>
    <row r="33" spans="1:33">
      <c r="A33" t="s">
        <v>1903</v>
      </c>
      <c r="B33" t="s">
        <v>1902</v>
      </c>
      <c r="C33" t="s">
        <v>1901</v>
      </c>
      <c r="D33" t="s">
        <v>252</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8">
        <v>8.9999999999999993E-3</v>
      </c>
    </row>
    <row r="34" spans="1:33">
      <c r="A34" t="s">
        <v>1900</v>
      </c>
      <c r="B34" t="s">
        <v>1899</v>
      </c>
      <c r="C34" t="s">
        <v>1898</v>
      </c>
      <c r="D34" t="s">
        <v>252</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8">
        <v>1.4999999999999999E-2</v>
      </c>
    </row>
    <row r="35" spans="1:33">
      <c r="A35" t="s">
        <v>1897</v>
      </c>
      <c r="B35" t="s">
        <v>1896</v>
      </c>
      <c r="C35" t="s">
        <v>1895</v>
      </c>
      <c r="D35" t="s">
        <v>252</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8">
        <v>8.9999999999999993E-3</v>
      </c>
    </row>
    <row r="36" spans="1:33">
      <c r="A36" t="s">
        <v>1894</v>
      </c>
      <c r="B36" t="s">
        <v>1893</v>
      </c>
      <c r="C36" t="s">
        <v>1892</v>
      </c>
      <c r="D36" t="s">
        <v>252</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8">
        <v>7.0000000000000001E-3</v>
      </c>
    </row>
    <row r="37" spans="1:33">
      <c r="A37" t="s">
        <v>1891</v>
      </c>
      <c r="B37" t="s">
        <v>1890</v>
      </c>
      <c r="C37" t="s">
        <v>1889</v>
      </c>
      <c r="D37" t="s">
        <v>252</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8">
        <v>8.9999999999999993E-3</v>
      </c>
    </row>
    <row r="38" spans="1:33">
      <c r="A38" t="s">
        <v>1888</v>
      </c>
    </row>
    <row r="39" spans="1:33">
      <c r="A39" t="s">
        <v>1887</v>
      </c>
      <c r="B39" t="s">
        <v>1886</v>
      </c>
      <c r="C39" t="s">
        <v>1885</v>
      </c>
      <c r="D39" t="s">
        <v>215</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8">
        <v>8.0000000000000002E-3</v>
      </c>
    </row>
    <row r="40" spans="1:33">
      <c r="A40" t="s">
        <v>1884</v>
      </c>
    </row>
    <row r="41" spans="1:33">
      <c r="A41" t="s">
        <v>162</v>
      </c>
      <c r="B41" t="s">
        <v>1883</v>
      </c>
      <c r="C41" t="s">
        <v>1882</v>
      </c>
      <c r="D41" t="s">
        <v>1114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8">
        <v>1E-3</v>
      </c>
    </row>
    <row r="42" spans="1:33" s="5" customFormat="1">
      <c r="A42" s="5" t="s">
        <v>139</v>
      </c>
      <c r="B42" s="5" t="s">
        <v>1881</v>
      </c>
      <c r="C42" s="5" t="s">
        <v>1880</v>
      </c>
      <c r="D42" s="5" t="s">
        <v>1114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0">
        <v>4.0000000000000001E-3</v>
      </c>
    </row>
    <row r="43" spans="1:33">
      <c r="A43" t="s">
        <v>44</v>
      </c>
    </row>
    <row r="44" spans="1:33">
      <c r="A44" t="s">
        <v>1879</v>
      </c>
    </row>
    <row r="45" spans="1:33">
      <c r="A45" t="s">
        <v>144</v>
      </c>
      <c r="B45" t="s">
        <v>1861</v>
      </c>
      <c r="C45" t="s">
        <v>1878</v>
      </c>
      <c r="D45" t="s">
        <v>1863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8">
        <v>-8.0000000000000002E-3</v>
      </c>
    </row>
    <row r="46" spans="1:33">
      <c r="A46" t="s">
        <v>148</v>
      </c>
      <c r="B46" t="s">
        <v>1859</v>
      </c>
      <c r="C46" t="s">
        <v>1877</v>
      </c>
      <c r="D46" t="s">
        <v>1863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8">
        <v>-1.4999999999999999E-2</v>
      </c>
    </row>
    <row r="47" spans="1:33">
      <c r="A47" t="s">
        <v>370</v>
      </c>
      <c r="B47" t="s">
        <v>1857</v>
      </c>
      <c r="C47" t="s">
        <v>1876</v>
      </c>
      <c r="D47" t="s">
        <v>1863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8">
        <v>-5.0000000000000001E-3</v>
      </c>
    </row>
    <row r="48" spans="1:33">
      <c r="A48" t="s">
        <v>153</v>
      </c>
      <c r="B48" t="s">
        <v>1855</v>
      </c>
      <c r="C48" t="s">
        <v>1875</v>
      </c>
      <c r="D48" t="s">
        <v>1863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8">
        <v>-1E-3</v>
      </c>
    </row>
    <row r="49" spans="1:34">
      <c r="A49" t="s">
        <v>162</v>
      </c>
      <c r="B49" t="s">
        <v>1853</v>
      </c>
      <c r="C49" t="s">
        <v>1852</v>
      </c>
      <c r="D49" t="s">
        <v>1874</v>
      </c>
      <c r="E49" t="s">
        <v>1863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8">
        <v>1.0999999999999999E-2</v>
      </c>
    </row>
    <row r="50" spans="1:34">
      <c r="A50" t="s">
        <v>162</v>
      </c>
      <c r="B50" t="s">
        <v>1850</v>
      </c>
      <c r="C50" t="s">
        <v>1849</v>
      </c>
      <c r="D50" t="s">
        <v>1873</v>
      </c>
      <c r="E50" t="s">
        <v>1863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8">
        <v>-3.0000000000000001E-3</v>
      </c>
    </row>
    <row r="51" spans="1:34" s="41" customFormat="1">
      <c r="A51" s="41" t="s">
        <v>1844</v>
      </c>
      <c r="B51" s="41" t="s">
        <v>1847</v>
      </c>
      <c r="C51" s="41" t="s">
        <v>1846</v>
      </c>
      <c r="D51" s="41" t="s">
        <v>1872</v>
      </c>
      <c r="E51" s="41" t="s">
        <v>1863</v>
      </c>
      <c r="F51" s="41">
        <v>9.4440999999999997E-2</v>
      </c>
      <c r="G51" s="41">
        <v>9.5329999999999998E-2</v>
      </c>
      <c r="H51" s="41">
        <v>9.4565999999999997E-2</v>
      </c>
      <c r="I51" s="41">
        <v>9.3798000000000006E-2</v>
      </c>
      <c r="J51" s="41">
        <v>9.3107999999999996E-2</v>
      </c>
      <c r="K51" s="41">
        <v>9.2339000000000004E-2</v>
      </c>
      <c r="L51" s="41">
        <v>9.1481000000000007E-2</v>
      </c>
      <c r="M51" s="41">
        <v>9.0542999999999998E-2</v>
      </c>
      <c r="N51" s="41">
        <v>8.9462E-2</v>
      </c>
      <c r="O51" s="41">
        <v>8.8707999999999995E-2</v>
      </c>
      <c r="P51" s="41">
        <v>8.8034000000000001E-2</v>
      </c>
      <c r="Q51" s="41">
        <v>8.7319999999999995E-2</v>
      </c>
      <c r="R51" s="41">
        <v>8.6580000000000004E-2</v>
      </c>
      <c r="S51" s="41">
        <v>8.5944999999999994E-2</v>
      </c>
      <c r="T51" s="41">
        <v>8.5342000000000001E-2</v>
      </c>
      <c r="U51" s="41">
        <v>8.4675E-2</v>
      </c>
      <c r="V51" s="41">
        <v>8.4112000000000006E-2</v>
      </c>
      <c r="W51" s="41">
        <v>8.3540000000000003E-2</v>
      </c>
      <c r="X51" s="41">
        <v>8.2974000000000006E-2</v>
      </c>
      <c r="Y51" s="41">
        <v>8.2354999999999998E-2</v>
      </c>
      <c r="Z51" s="41">
        <v>8.1680000000000003E-2</v>
      </c>
      <c r="AA51" s="41">
        <v>8.1034999999999996E-2</v>
      </c>
      <c r="AB51" s="41">
        <v>8.0381999999999995E-2</v>
      </c>
      <c r="AC51" s="41">
        <v>7.9953999999999997E-2</v>
      </c>
      <c r="AD51" s="41">
        <v>7.9430000000000001E-2</v>
      </c>
      <c r="AE51" s="41">
        <v>7.8866000000000006E-2</v>
      </c>
      <c r="AF51" s="41">
        <v>7.8278E-2</v>
      </c>
      <c r="AG51" s="42">
        <v>-7.0000000000000001E-3</v>
      </c>
      <c r="AH51" s="43">
        <f>AF51/F51</f>
        <v>0.82885611122287994</v>
      </c>
    </row>
    <row r="52" spans="1:34" s="41" customFormat="1">
      <c r="A52" s="41" t="s">
        <v>1844</v>
      </c>
      <c r="B52" s="41" t="s">
        <v>1843</v>
      </c>
      <c r="C52" s="41" t="s">
        <v>1842</v>
      </c>
      <c r="D52" s="41" t="s">
        <v>1871</v>
      </c>
      <c r="E52" s="41" t="s">
        <v>1863</v>
      </c>
      <c r="F52" s="41">
        <v>0.75211899999999998</v>
      </c>
      <c r="G52" s="41">
        <v>0.73338199999999998</v>
      </c>
      <c r="H52" s="41">
        <v>0.74175500000000005</v>
      </c>
      <c r="I52" s="41">
        <v>0.75531999999999999</v>
      </c>
      <c r="J52" s="41">
        <v>0.76629499999999995</v>
      </c>
      <c r="K52" s="41">
        <v>0.778196</v>
      </c>
      <c r="L52" s="41">
        <v>0.78992600000000002</v>
      </c>
      <c r="M52" s="41">
        <v>0.80055600000000005</v>
      </c>
      <c r="N52" s="41">
        <v>0.81212399999999996</v>
      </c>
      <c r="O52" s="41">
        <v>0.82328699999999999</v>
      </c>
      <c r="P52" s="41">
        <v>0.83492999999999995</v>
      </c>
      <c r="Q52" s="41">
        <v>0.84416400000000003</v>
      </c>
      <c r="R52" s="41">
        <v>0.85184199999999999</v>
      </c>
      <c r="S52" s="41">
        <v>0.85928400000000005</v>
      </c>
      <c r="T52" s="41">
        <v>0.86581799999999998</v>
      </c>
      <c r="U52" s="41">
        <v>0.87240700000000004</v>
      </c>
      <c r="V52" s="41">
        <v>0.87826199999999999</v>
      </c>
      <c r="W52" s="41">
        <v>0.88398900000000002</v>
      </c>
      <c r="X52" s="41">
        <v>0.88983500000000004</v>
      </c>
      <c r="Y52" s="41">
        <v>0.89557200000000003</v>
      </c>
      <c r="Z52" s="41">
        <v>0.90109300000000003</v>
      </c>
      <c r="AA52" s="41">
        <v>0.90631600000000001</v>
      </c>
      <c r="AB52" s="41">
        <v>0.91075899999999999</v>
      </c>
      <c r="AC52" s="41">
        <v>0.91678400000000004</v>
      </c>
      <c r="AD52" s="41">
        <v>0.92391900000000005</v>
      </c>
      <c r="AE52" s="41">
        <v>0.93080399999999996</v>
      </c>
      <c r="AF52" s="41">
        <v>0.93727300000000002</v>
      </c>
      <c r="AG52" s="42">
        <v>8.9999999999999993E-3</v>
      </c>
      <c r="AH52" s="43">
        <f>AF52/F52</f>
        <v>1.2461764694150794</v>
      </c>
    </row>
    <row r="53" spans="1:34" s="1" customFormat="1">
      <c r="A53" s="1" t="s">
        <v>161</v>
      </c>
      <c r="B53" s="1" t="s">
        <v>1840</v>
      </c>
      <c r="C53" s="1" t="s">
        <v>1870</v>
      </c>
      <c r="D53" s="1" t="s">
        <v>1863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6">
        <v>-5.0000000000000001E-3</v>
      </c>
    </row>
    <row r="54" spans="1:34" s="34" customFormat="1">
      <c r="A54" s="34" t="s">
        <v>157</v>
      </c>
      <c r="B54" s="34" t="s">
        <v>1838</v>
      </c>
      <c r="C54" s="34" t="s">
        <v>1869</v>
      </c>
      <c r="D54" s="34" t="s">
        <v>1863</v>
      </c>
      <c r="F54" s="34">
        <v>3.2683239999999998</v>
      </c>
      <c r="G54" s="34">
        <v>3.2620330000000002</v>
      </c>
      <c r="H54" s="34">
        <v>3.2887469999999999</v>
      </c>
      <c r="I54" s="34">
        <v>3.3238750000000001</v>
      </c>
      <c r="J54" s="34">
        <v>3.351261</v>
      </c>
      <c r="K54" s="34">
        <v>3.3835480000000002</v>
      </c>
      <c r="L54" s="34">
        <v>3.411572</v>
      </c>
      <c r="M54" s="34">
        <v>3.4309509999999999</v>
      </c>
      <c r="N54" s="34">
        <v>3.4546049999999999</v>
      </c>
      <c r="O54" s="34">
        <v>3.4793050000000001</v>
      </c>
      <c r="P54" s="34">
        <v>3.5032459999999999</v>
      </c>
      <c r="Q54" s="34">
        <v>3.5340240000000001</v>
      </c>
      <c r="R54" s="34">
        <v>3.5675560000000002</v>
      </c>
      <c r="S54" s="34">
        <v>3.6071569999999999</v>
      </c>
      <c r="T54" s="34">
        <v>3.6496209999999998</v>
      </c>
      <c r="U54" s="34">
        <v>3.6931419999999999</v>
      </c>
      <c r="V54" s="34">
        <v>3.735951</v>
      </c>
      <c r="W54" s="34">
        <v>3.776446</v>
      </c>
      <c r="X54" s="34">
        <v>3.821688</v>
      </c>
      <c r="Y54" s="34">
        <v>3.8639779999999999</v>
      </c>
      <c r="Z54" s="34">
        <v>3.9011779999999998</v>
      </c>
      <c r="AA54" s="34">
        <v>3.9369100000000001</v>
      </c>
      <c r="AB54" s="34">
        <v>3.970224</v>
      </c>
      <c r="AC54" s="34">
        <v>4.0111319999999999</v>
      </c>
      <c r="AD54" s="34">
        <v>4.0551300000000001</v>
      </c>
      <c r="AE54" s="34">
        <v>4.0945159999999996</v>
      </c>
      <c r="AF54" s="34">
        <v>4.1335119999999996</v>
      </c>
      <c r="AG54" s="35">
        <v>8.9999999999999993E-3</v>
      </c>
    </row>
    <row r="55" spans="1:34">
      <c r="A55" t="s">
        <v>167</v>
      </c>
      <c r="B55" t="s">
        <v>1836</v>
      </c>
      <c r="C55" t="s">
        <v>1868</v>
      </c>
      <c r="D55" t="s">
        <v>1863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8">
        <v>2E-3</v>
      </c>
    </row>
    <row r="56" spans="1:34">
      <c r="A56" t="s">
        <v>165</v>
      </c>
      <c r="B56" t="s">
        <v>1834</v>
      </c>
      <c r="C56" t="s">
        <v>1867</v>
      </c>
      <c r="D56" t="s">
        <v>1863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8">
        <v>0</v>
      </c>
    </row>
    <row r="57" spans="1:34">
      <c r="A57" t="s">
        <v>1832</v>
      </c>
      <c r="B57" t="s">
        <v>1831</v>
      </c>
      <c r="C57" t="s">
        <v>1866</v>
      </c>
      <c r="D57" t="s">
        <v>1863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8">
        <v>-4.0000000000000001E-3</v>
      </c>
    </row>
    <row r="58" spans="1:34">
      <c r="A58" t="s">
        <v>313</v>
      </c>
      <c r="B58" t="s">
        <v>1829</v>
      </c>
      <c r="C58" t="s">
        <v>1865</v>
      </c>
      <c r="D58" t="s">
        <v>1863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8">
        <v>3.6999999999999998E-2</v>
      </c>
    </row>
    <row r="59" spans="1:34">
      <c r="A59" t="s">
        <v>130</v>
      </c>
      <c r="B59" t="s">
        <v>1827</v>
      </c>
      <c r="C59" t="s">
        <v>1864</v>
      </c>
      <c r="D59" t="s">
        <v>1863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8">
        <v>-3.0000000000000001E-3</v>
      </c>
    </row>
    <row r="60" spans="1:34">
      <c r="A60" t="s">
        <v>1862</v>
      </c>
    </row>
    <row r="61" spans="1:34">
      <c r="A61" t="s">
        <v>144</v>
      </c>
      <c r="B61" t="s">
        <v>1861</v>
      </c>
      <c r="C61" t="s">
        <v>1860</v>
      </c>
      <c r="D61" t="s">
        <v>1825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8">
        <v>-8.9999999999999993E-3</v>
      </c>
    </row>
    <row r="62" spans="1:34">
      <c r="A62" t="s">
        <v>148</v>
      </c>
      <c r="B62" t="s">
        <v>1859</v>
      </c>
      <c r="C62" t="s">
        <v>1858</v>
      </c>
      <c r="D62" t="s">
        <v>1825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8">
        <v>-1.4E-2</v>
      </c>
    </row>
    <row r="63" spans="1:34">
      <c r="A63" t="s">
        <v>370</v>
      </c>
      <c r="B63" t="s">
        <v>1857</v>
      </c>
      <c r="C63" t="s">
        <v>1856</v>
      </c>
      <c r="D63" t="s">
        <v>1825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8">
        <v>-5.0000000000000001E-3</v>
      </c>
    </row>
    <row r="64" spans="1:34">
      <c r="A64" t="s">
        <v>153</v>
      </c>
      <c r="B64" t="s">
        <v>1855</v>
      </c>
      <c r="C64" t="s">
        <v>1854</v>
      </c>
      <c r="D64" t="s">
        <v>1825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8">
        <v>-1E-3</v>
      </c>
    </row>
    <row r="65" spans="1:33">
      <c r="A65" t="s">
        <v>162</v>
      </c>
      <c r="B65" t="s">
        <v>1853</v>
      </c>
      <c r="C65" t="s">
        <v>1852</v>
      </c>
      <c r="D65" t="s">
        <v>1851</v>
      </c>
      <c r="E65" t="s">
        <v>1825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8">
        <v>1.0999999999999999E-2</v>
      </c>
    </row>
    <row r="66" spans="1:33">
      <c r="A66" t="s">
        <v>162</v>
      </c>
      <c r="B66" t="s">
        <v>1850</v>
      </c>
      <c r="C66" t="s">
        <v>1849</v>
      </c>
      <c r="D66" t="s">
        <v>1848</v>
      </c>
      <c r="E66" t="s">
        <v>1825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8">
        <v>-3.0000000000000001E-3</v>
      </c>
    </row>
    <row r="67" spans="1:33">
      <c r="A67" t="s">
        <v>1844</v>
      </c>
      <c r="B67" t="s">
        <v>1847</v>
      </c>
      <c r="C67" t="s">
        <v>1846</v>
      </c>
      <c r="D67" t="s">
        <v>1845</v>
      </c>
      <c r="E67" t="s">
        <v>1825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8">
        <v>-7.0000000000000001E-3</v>
      </c>
    </row>
    <row r="68" spans="1:33">
      <c r="A68" t="s">
        <v>1844</v>
      </c>
      <c r="B68" t="s">
        <v>1843</v>
      </c>
      <c r="C68" t="s">
        <v>1842</v>
      </c>
      <c r="D68" t="s">
        <v>1841</v>
      </c>
      <c r="E68" t="s">
        <v>1825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8">
        <v>8.9999999999999993E-3</v>
      </c>
    </row>
    <row r="69" spans="1:33">
      <c r="A69" t="s">
        <v>161</v>
      </c>
      <c r="B69" t="s">
        <v>1840</v>
      </c>
      <c r="C69" t="s">
        <v>1839</v>
      </c>
      <c r="D69" t="s">
        <v>1825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8">
        <v>-5.0000000000000001E-3</v>
      </c>
    </row>
    <row r="70" spans="1:33">
      <c r="A70" t="s">
        <v>157</v>
      </c>
      <c r="B70" t="s">
        <v>1838</v>
      </c>
      <c r="C70" t="s">
        <v>1837</v>
      </c>
      <c r="D70" t="s">
        <v>1825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8">
        <v>8.9999999999999993E-3</v>
      </c>
    </row>
    <row r="71" spans="1:33">
      <c r="A71" t="s">
        <v>167</v>
      </c>
      <c r="B71" t="s">
        <v>1836</v>
      </c>
      <c r="C71" t="s">
        <v>1835</v>
      </c>
      <c r="D71" t="s">
        <v>1825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8">
        <v>2E-3</v>
      </c>
    </row>
    <row r="72" spans="1:33">
      <c r="A72" t="s">
        <v>165</v>
      </c>
      <c r="B72" t="s">
        <v>1834</v>
      </c>
      <c r="C72" t="s">
        <v>1833</v>
      </c>
      <c r="D72" t="s">
        <v>1825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8">
        <v>0</v>
      </c>
    </row>
    <row r="73" spans="1:33">
      <c r="A73" t="s">
        <v>1832</v>
      </c>
      <c r="B73" t="s">
        <v>1831</v>
      </c>
      <c r="C73" t="s">
        <v>1830</v>
      </c>
      <c r="D73" t="s">
        <v>1825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8">
        <v>-4.0000000000000001E-3</v>
      </c>
    </row>
    <row r="74" spans="1:33">
      <c r="A74" t="s">
        <v>313</v>
      </c>
      <c r="B74" t="s">
        <v>1829</v>
      </c>
      <c r="C74" t="s">
        <v>1828</v>
      </c>
      <c r="D74" t="s">
        <v>1825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8">
        <v>3.6999999999999998E-2</v>
      </c>
    </row>
    <row r="75" spans="1:33">
      <c r="A75" t="s">
        <v>130</v>
      </c>
      <c r="B75" t="s">
        <v>1827</v>
      </c>
      <c r="C75" t="s">
        <v>1826</v>
      </c>
      <c r="D75" t="s">
        <v>1825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8">
        <v>-3.0000000000000001E-3</v>
      </c>
    </row>
    <row r="76" spans="1:33">
      <c r="A76" t="s">
        <v>1824</v>
      </c>
    </row>
    <row r="77" spans="1:33">
      <c r="A77" t="s">
        <v>144</v>
      </c>
    </row>
    <row r="78" spans="1:33">
      <c r="A78" t="s">
        <v>1823</v>
      </c>
      <c r="B78" t="s">
        <v>1822</v>
      </c>
      <c r="C78" t="s">
        <v>1818</v>
      </c>
      <c r="D78" t="s">
        <v>1817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8">
        <v>-1.9E-2</v>
      </c>
    </row>
    <row r="79" spans="1:33">
      <c r="A79" t="s">
        <v>1821</v>
      </c>
      <c r="B79" t="s">
        <v>1820</v>
      </c>
      <c r="C79" t="s">
        <v>1818</v>
      </c>
      <c r="D79" t="s">
        <v>1817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8">
        <v>-2.3E-2</v>
      </c>
    </row>
    <row r="80" spans="1:33">
      <c r="A80" t="s">
        <v>1808</v>
      </c>
      <c r="B80" t="s">
        <v>1819</v>
      </c>
      <c r="C80" t="s">
        <v>1818</v>
      </c>
      <c r="D80" t="s">
        <v>1817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8">
        <v>-2.3E-2</v>
      </c>
    </row>
    <row r="81" spans="1:33">
      <c r="A81" t="s">
        <v>153</v>
      </c>
    </row>
    <row r="82" spans="1:33">
      <c r="A82" t="s">
        <v>1816</v>
      </c>
      <c r="B82" t="s">
        <v>1815</v>
      </c>
      <c r="C82" t="s">
        <v>1806</v>
      </c>
      <c r="D82" t="s">
        <v>1805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8">
        <v>-2.3E-2</v>
      </c>
    </row>
    <row r="83" spans="1:33">
      <c r="A83" t="s">
        <v>1814</v>
      </c>
      <c r="B83" t="s">
        <v>1813</v>
      </c>
      <c r="C83" t="s">
        <v>1806</v>
      </c>
      <c r="D83" t="s">
        <v>1805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8">
        <v>-2.3E-2</v>
      </c>
    </row>
    <row r="84" spans="1:33">
      <c r="A84" t="s">
        <v>1812</v>
      </c>
      <c r="B84" t="s">
        <v>1811</v>
      </c>
      <c r="C84" t="s">
        <v>1806</v>
      </c>
      <c r="D84" t="s">
        <v>1805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8">
        <v>-2.3E-2</v>
      </c>
    </row>
    <row r="85" spans="1:33">
      <c r="A85" t="s">
        <v>1810</v>
      </c>
      <c r="B85" t="s">
        <v>1809</v>
      </c>
      <c r="C85" t="s">
        <v>1806</v>
      </c>
      <c r="D85" t="s">
        <v>1805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8">
        <v>-2.3E-2</v>
      </c>
    </row>
    <row r="86" spans="1:33">
      <c r="A86" t="s">
        <v>1808</v>
      </c>
      <c r="B86" t="s">
        <v>1807</v>
      </c>
      <c r="C86" t="s">
        <v>1806</v>
      </c>
      <c r="D86" t="s">
        <v>1805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8">
        <v>-2.3E-2</v>
      </c>
    </row>
    <row r="87" spans="1:33">
      <c r="A87" t="s">
        <v>1804</v>
      </c>
    </row>
    <row r="88" spans="1:33">
      <c r="A88" t="s">
        <v>1803</v>
      </c>
      <c r="B88" t="s">
        <v>1802</v>
      </c>
      <c r="C88" t="s">
        <v>1801</v>
      </c>
      <c r="D88" t="s">
        <v>1777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8">
        <v>-4.0000000000000001E-3</v>
      </c>
    </row>
    <row r="89" spans="1:33">
      <c r="A89" t="s">
        <v>144</v>
      </c>
      <c r="B89" t="s">
        <v>1800</v>
      </c>
      <c r="C89" t="s">
        <v>1793</v>
      </c>
      <c r="D89" t="s">
        <v>1777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8">
        <v>-5.0000000000000001E-3</v>
      </c>
    </row>
    <row r="90" spans="1:33">
      <c r="A90" t="s">
        <v>1799</v>
      </c>
      <c r="B90" t="s">
        <v>1798</v>
      </c>
      <c r="C90" t="s">
        <v>1793</v>
      </c>
      <c r="D90" t="s">
        <v>1777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8">
        <v>-5.0000000000000001E-3</v>
      </c>
    </row>
    <row r="91" spans="1:33">
      <c r="A91" t="s">
        <v>1797</v>
      </c>
      <c r="B91" t="s">
        <v>1796</v>
      </c>
      <c r="C91" t="s">
        <v>1793</v>
      </c>
      <c r="D91" t="s">
        <v>1777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8">
        <v>-0.01</v>
      </c>
    </row>
    <row r="92" spans="1:33">
      <c r="A92" t="s">
        <v>1795</v>
      </c>
      <c r="B92" t="s">
        <v>1794</v>
      </c>
      <c r="C92" t="s">
        <v>1793</v>
      </c>
      <c r="D92" t="s">
        <v>1777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8">
        <v>-0.01</v>
      </c>
    </row>
    <row r="93" spans="1:33">
      <c r="A93" t="s">
        <v>1792</v>
      </c>
      <c r="B93" t="s">
        <v>1791</v>
      </c>
      <c r="C93" t="s">
        <v>1787</v>
      </c>
      <c r="D93" t="s">
        <v>1777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8">
        <v>-8.0000000000000002E-3</v>
      </c>
    </row>
    <row r="94" spans="1:33">
      <c r="A94" t="s">
        <v>152</v>
      </c>
      <c r="B94" t="s">
        <v>1790</v>
      </c>
      <c r="C94" t="s">
        <v>1787</v>
      </c>
      <c r="D94" t="s">
        <v>1777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8">
        <v>-8.9999999999999993E-3</v>
      </c>
    </row>
    <row r="95" spans="1:33">
      <c r="A95" t="s">
        <v>150</v>
      </c>
      <c r="B95" t="s">
        <v>1789</v>
      </c>
      <c r="C95" t="s">
        <v>1787</v>
      </c>
      <c r="D95" t="s">
        <v>1777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8">
        <v>-8.0000000000000002E-3</v>
      </c>
    </row>
    <row r="96" spans="1:33">
      <c r="A96" t="s">
        <v>151</v>
      </c>
      <c r="B96" t="s">
        <v>1788</v>
      </c>
      <c r="C96" t="s">
        <v>1787</v>
      </c>
      <c r="D96" t="s">
        <v>1777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8">
        <v>-4.0000000000000001E-3</v>
      </c>
    </row>
    <row r="97" spans="1:33">
      <c r="A97" t="s">
        <v>1786</v>
      </c>
      <c r="B97" t="s">
        <v>1785</v>
      </c>
      <c r="C97" t="s">
        <v>1782</v>
      </c>
      <c r="D97" t="s">
        <v>1777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8">
        <v>-1.6E-2</v>
      </c>
    </row>
    <row r="98" spans="1:33">
      <c r="A98" t="s">
        <v>1754</v>
      </c>
      <c r="B98" t="s">
        <v>1784</v>
      </c>
      <c r="C98" t="s">
        <v>1782</v>
      </c>
      <c r="D98" t="s">
        <v>1777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8">
        <v>-4.0000000000000001E-3</v>
      </c>
    </row>
    <row r="99" spans="1:33">
      <c r="A99" t="s">
        <v>1757</v>
      </c>
      <c r="B99" t="s">
        <v>1783</v>
      </c>
      <c r="C99" t="s">
        <v>1782</v>
      </c>
      <c r="D99" t="s">
        <v>1777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8">
        <v>-3.0000000000000001E-3</v>
      </c>
    </row>
    <row r="100" spans="1:33">
      <c r="A100" t="s">
        <v>1781</v>
      </c>
    </row>
    <row r="101" spans="1:33">
      <c r="A101" t="s">
        <v>1754</v>
      </c>
      <c r="B101" t="s">
        <v>1780</v>
      </c>
      <c r="C101" t="s">
        <v>1778</v>
      </c>
      <c r="D101" t="s">
        <v>1777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8">
        <v>-4.0000000000000001E-3</v>
      </c>
    </row>
    <row r="102" spans="1:33">
      <c r="A102" t="s">
        <v>1757</v>
      </c>
      <c r="B102" t="s">
        <v>1779</v>
      </c>
      <c r="C102" t="s">
        <v>1778</v>
      </c>
      <c r="D102" t="s">
        <v>1777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8">
        <v>-3.0000000000000001E-3</v>
      </c>
    </row>
    <row r="103" spans="1:33">
      <c r="A103" t="s">
        <v>1776</v>
      </c>
      <c r="B103" t="s">
        <v>1775</v>
      </c>
      <c r="C103" t="s">
        <v>1774</v>
      </c>
      <c r="D103" t="s">
        <v>1773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8">
        <v>1E-3</v>
      </c>
    </row>
    <row r="104" spans="1:33">
      <c r="A104" t="s">
        <v>1772</v>
      </c>
    </row>
    <row r="105" spans="1:33">
      <c r="A105" t="s">
        <v>243</v>
      </c>
    </row>
    <row r="106" spans="1:33">
      <c r="A106" t="s">
        <v>153</v>
      </c>
      <c r="B106" t="s">
        <v>1771</v>
      </c>
      <c r="C106" t="s">
        <v>1770</v>
      </c>
      <c r="D106" t="s">
        <v>1741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8">
        <v>3.0000000000000001E-3</v>
      </c>
    </row>
    <row r="107" spans="1:33">
      <c r="A107" t="s">
        <v>1757</v>
      </c>
      <c r="B107" t="s">
        <v>1769</v>
      </c>
      <c r="C107" t="s">
        <v>1768</v>
      </c>
      <c r="D107" t="s">
        <v>1741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8">
        <v>1E-3</v>
      </c>
    </row>
    <row r="108" spans="1:33">
      <c r="A108" t="s">
        <v>1754</v>
      </c>
      <c r="B108" t="s">
        <v>1767</v>
      </c>
      <c r="C108" t="s">
        <v>1766</v>
      </c>
      <c r="D108" t="s">
        <v>1741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8">
        <v>1E-3</v>
      </c>
    </row>
    <row r="109" spans="1:33">
      <c r="A109" t="s">
        <v>1748</v>
      </c>
      <c r="B109" t="s">
        <v>1765</v>
      </c>
      <c r="C109" t="s">
        <v>1764</v>
      </c>
      <c r="D109" t="s">
        <v>1741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109</v>
      </c>
    </row>
    <row r="110" spans="1:33">
      <c r="A110" t="s">
        <v>190</v>
      </c>
      <c r="B110" t="s">
        <v>1763</v>
      </c>
      <c r="C110" t="s">
        <v>1762</v>
      </c>
      <c r="D110" t="s">
        <v>1741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8">
        <v>4.0000000000000001E-3</v>
      </c>
    </row>
    <row r="111" spans="1:33">
      <c r="A111" t="s">
        <v>191</v>
      </c>
      <c r="B111" t="s">
        <v>1761</v>
      </c>
      <c r="C111" t="s">
        <v>1760</v>
      </c>
      <c r="D111" t="s">
        <v>1741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8">
        <v>4.0000000000000001E-3</v>
      </c>
    </row>
    <row r="112" spans="1:33">
      <c r="A112" t="s">
        <v>244</v>
      </c>
    </row>
    <row r="113" spans="1:33">
      <c r="A113" t="s">
        <v>153</v>
      </c>
      <c r="B113" t="s">
        <v>1759</v>
      </c>
      <c r="C113" t="s">
        <v>1758</v>
      </c>
      <c r="D113" t="s">
        <v>1741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8">
        <v>2E-3</v>
      </c>
    </row>
    <row r="114" spans="1:33">
      <c r="A114" t="s">
        <v>1757</v>
      </c>
      <c r="B114" t="s">
        <v>1756</v>
      </c>
      <c r="C114" t="s">
        <v>1755</v>
      </c>
      <c r="D114" t="s">
        <v>1741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8">
        <v>3.0000000000000001E-3</v>
      </c>
    </row>
    <row r="115" spans="1:33">
      <c r="A115" t="s">
        <v>1754</v>
      </c>
      <c r="B115" t="s">
        <v>1753</v>
      </c>
      <c r="C115" t="s">
        <v>1752</v>
      </c>
      <c r="D115" t="s">
        <v>1741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8">
        <v>3.0000000000000001E-3</v>
      </c>
    </row>
    <row r="116" spans="1:33">
      <c r="A116" t="s">
        <v>1751</v>
      </c>
      <c r="B116" t="s">
        <v>1750</v>
      </c>
      <c r="C116" t="s">
        <v>1749</v>
      </c>
      <c r="D116" t="s">
        <v>1741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8">
        <v>8.9999999999999993E-3</v>
      </c>
    </row>
    <row r="117" spans="1:33">
      <c r="A117" t="s">
        <v>1748</v>
      </c>
      <c r="B117" t="s">
        <v>1747</v>
      </c>
      <c r="C117" t="s">
        <v>1746</v>
      </c>
      <c r="D117" t="s">
        <v>1741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8">
        <v>8.9999999999999993E-3</v>
      </c>
    </row>
    <row r="118" spans="1:33">
      <c r="A118" t="s">
        <v>190</v>
      </c>
      <c r="B118" t="s">
        <v>1745</v>
      </c>
      <c r="C118" t="s">
        <v>1744</v>
      </c>
      <c r="D118" t="s">
        <v>1741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8">
        <v>6.0000000000000001E-3</v>
      </c>
    </row>
    <row r="119" spans="1:33">
      <c r="A119" t="s">
        <v>191</v>
      </c>
      <c r="B119" t="s">
        <v>1743</v>
      </c>
      <c r="C119" t="s">
        <v>1742</v>
      </c>
      <c r="D119" t="s">
        <v>1741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8">
        <v>8.9999999999999993E-3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5"/>
  <cols>
    <col min="1" max="1" width="22.140625" customWidth="1"/>
  </cols>
  <sheetData>
    <row r="1" spans="1:33">
      <c r="A1" t="s">
        <v>181</v>
      </c>
    </row>
    <row r="2" spans="1:33">
      <c r="A2" t="s">
        <v>1740</v>
      </c>
    </row>
    <row r="3" spans="1:33">
      <c r="A3" t="s">
        <v>1739</v>
      </c>
    </row>
    <row r="4" spans="1:33">
      <c r="A4" t="s">
        <v>135</v>
      </c>
    </row>
    <row r="5" spans="1:33">
      <c r="B5" t="s">
        <v>182</v>
      </c>
      <c r="C5" t="s">
        <v>183</v>
      </c>
      <c r="D5" t="s">
        <v>184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611</v>
      </c>
    </row>
    <row r="6" spans="1:33">
      <c r="A6" t="s">
        <v>44</v>
      </c>
    </row>
    <row r="7" spans="1:33">
      <c r="A7" t="s">
        <v>143</v>
      </c>
    </row>
    <row r="8" spans="1:33">
      <c r="A8" t="s">
        <v>144</v>
      </c>
      <c r="B8" t="s">
        <v>1738</v>
      </c>
      <c r="C8" t="s">
        <v>1737</v>
      </c>
      <c r="D8" t="s">
        <v>185</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8">
        <v>-8.0000000000000002E-3</v>
      </c>
    </row>
    <row r="9" spans="1:33">
      <c r="A9" t="s">
        <v>145</v>
      </c>
      <c r="B9" t="s">
        <v>1736</v>
      </c>
      <c r="C9" t="s">
        <v>1735</v>
      </c>
      <c r="D9" t="s">
        <v>185</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8">
        <v>-2.4E-2</v>
      </c>
    </row>
    <row r="10" spans="1:33">
      <c r="A10" t="s">
        <v>146</v>
      </c>
      <c r="B10" t="s">
        <v>1734</v>
      </c>
      <c r="C10" t="s">
        <v>1733</v>
      </c>
      <c r="D10" t="s">
        <v>185</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8">
        <v>-1E-3</v>
      </c>
    </row>
    <row r="11" spans="1:33">
      <c r="A11" t="s">
        <v>147</v>
      </c>
      <c r="B11" t="s">
        <v>1732</v>
      </c>
      <c r="C11" t="s">
        <v>1731</v>
      </c>
      <c r="D11" t="s">
        <v>185</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8">
        <v>-2.7E-2</v>
      </c>
    </row>
    <row r="12" spans="1:33">
      <c r="A12" t="s">
        <v>148</v>
      </c>
      <c r="B12" t="s">
        <v>1730</v>
      </c>
      <c r="C12" t="s">
        <v>1729</v>
      </c>
      <c r="D12" t="s">
        <v>185</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8">
        <v>-1.4999999999999999E-2</v>
      </c>
    </row>
    <row r="13" spans="1:33">
      <c r="A13" t="s">
        <v>149</v>
      </c>
      <c r="B13" t="s">
        <v>1728</v>
      </c>
      <c r="C13" t="s">
        <v>1727</v>
      </c>
      <c r="D13" t="s">
        <v>185</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8">
        <v>-5.0000000000000001E-3</v>
      </c>
    </row>
    <row r="14" spans="1:33">
      <c r="A14" t="s">
        <v>150</v>
      </c>
      <c r="B14" t="s">
        <v>1726</v>
      </c>
      <c r="C14" t="s">
        <v>1725</v>
      </c>
      <c r="D14" t="s">
        <v>185</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8">
        <v>0</v>
      </c>
    </row>
    <row r="15" spans="1:33">
      <c r="A15" t="s">
        <v>151</v>
      </c>
      <c r="B15" t="s">
        <v>1724</v>
      </c>
      <c r="C15" t="s">
        <v>1723</v>
      </c>
      <c r="D15" t="s">
        <v>185</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8">
        <v>3.0000000000000001E-3</v>
      </c>
    </row>
    <row r="16" spans="1:33">
      <c r="A16" t="s">
        <v>152</v>
      </c>
      <c r="B16" t="s">
        <v>1722</v>
      </c>
      <c r="C16" t="s">
        <v>1721</v>
      </c>
      <c r="D16" t="s">
        <v>185</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8">
        <v>-1.2999999999999999E-2</v>
      </c>
    </row>
    <row r="17" spans="1:33">
      <c r="A17" t="s">
        <v>153</v>
      </c>
      <c r="B17" t="s">
        <v>1720</v>
      </c>
      <c r="C17" t="s">
        <v>1719</v>
      </c>
      <c r="D17" t="s">
        <v>185</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8">
        <v>-1E-3</v>
      </c>
    </row>
    <row r="18" spans="1:33">
      <c r="A18" t="s">
        <v>154</v>
      </c>
      <c r="B18" t="s">
        <v>1718</v>
      </c>
      <c r="C18" t="s">
        <v>1717</v>
      </c>
      <c r="D18" t="s">
        <v>185</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8">
        <v>6.0000000000000001E-3</v>
      </c>
    </row>
    <row r="19" spans="1:33">
      <c r="A19" t="s">
        <v>155</v>
      </c>
      <c r="B19" t="s">
        <v>1716</v>
      </c>
      <c r="C19" t="s">
        <v>1715</v>
      </c>
      <c r="D19" t="s">
        <v>185</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8">
        <v>-7.0000000000000001E-3</v>
      </c>
    </row>
    <row r="20" spans="1:33">
      <c r="A20" t="s">
        <v>226</v>
      </c>
      <c r="B20" t="s">
        <v>1714</v>
      </c>
      <c r="C20" t="s">
        <v>1713</v>
      </c>
      <c r="D20" t="s">
        <v>185</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8">
        <v>-1E-3</v>
      </c>
    </row>
    <row r="21" spans="1:33">
      <c r="A21" t="s">
        <v>156</v>
      </c>
    </row>
    <row r="22" spans="1:33">
      <c r="A22" t="s">
        <v>157</v>
      </c>
      <c r="B22" t="s">
        <v>1712</v>
      </c>
      <c r="C22" t="s">
        <v>1711</v>
      </c>
      <c r="D22" t="s">
        <v>185</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8">
        <v>8.9999999999999993E-3</v>
      </c>
    </row>
    <row r="23" spans="1:33">
      <c r="A23" t="s">
        <v>158</v>
      </c>
      <c r="B23" t="s">
        <v>1710</v>
      </c>
      <c r="C23" t="s">
        <v>1709</v>
      </c>
      <c r="D23" t="s">
        <v>185</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8">
        <v>8.0000000000000002E-3</v>
      </c>
    </row>
    <row r="24" spans="1:33">
      <c r="A24" t="s">
        <v>187</v>
      </c>
      <c r="B24" t="s">
        <v>1708</v>
      </c>
      <c r="C24" t="s">
        <v>1707</v>
      </c>
      <c r="D24" t="s">
        <v>185</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8">
        <v>8.0000000000000002E-3</v>
      </c>
    </row>
    <row r="25" spans="1:33">
      <c r="A25" t="s">
        <v>188</v>
      </c>
      <c r="B25" t="s">
        <v>1706</v>
      </c>
      <c r="C25" t="s">
        <v>1705</v>
      </c>
      <c r="D25" t="s">
        <v>185</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8">
        <v>0.01</v>
      </c>
    </row>
    <row r="26" spans="1:33">
      <c r="A26" t="s">
        <v>189</v>
      </c>
      <c r="B26" t="s">
        <v>1704</v>
      </c>
      <c r="C26" t="s">
        <v>1703</v>
      </c>
      <c r="D26" t="s">
        <v>185</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8">
        <v>0.01</v>
      </c>
    </row>
    <row r="27" spans="1:33">
      <c r="A27" t="s">
        <v>159</v>
      </c>
      <c r="B27" t="s">
        <v>1702</v>
      </c>
      <c r="C27" t="s">
        <v>1701</v>
      </c>
      <c r="D27" t="s">
        <v>185</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8">
        <v>5.0000000000000001E-3</v>
      </c>
    </row>
    <row r="28" spans="1:33">
      <c r="A28" t="s">
        <v>160</v>
      </c>
      <c r="B28" t="s">
        <v>1700</v>
      </c>
      <c r="C28" t="s">
        <v>1699</v>
      </c>
      <c r="D28" t="s">
        <v>185</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8">
        <v>7.0000000000000001E-3</v>
      </c>
    </row>
    <row r="29" spans="1:33">
      <c r="A29" t="s">
        <v>139</v>
      </c>
      <c r="B29" t="s">
        <v>1698</v>
      </c>
      <c r="C29" t="s">
        <v>1697</v>
      </c>
      <c r="D29" t="s">
        <v>185</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8">
        <v>-7.0000000000000001E-3</v>
      </c>
    </row>
    <row r="30" spans="1:33">
      <c r="A30" t="s">
        <v>140</v>
      </c>
      <c r="B30" t="s">
        <v>1696</v>
      </c>
      <c r="C30" t="s">
        <v>1695</v>
      </c>
      <c r="D30" t="s">
        <v>185</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8">
        <v>8.9999999999999993E-3</v>
      </c>
    </row>
    <row r="31" spans="1:33">
      <c r="A31" t="s">
        <v>161</v>
      </c>
      <c r="B31" t="s">
        <v>1694</v>
      </c>
      <c r="C31" t="s">
        <v>1693</v>
      </c>
      <c r="D31" t="s">
        <v>185</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8">
        <v>-5.0000000000000001E-3</v>
      </c>
    </row>
    <row r="32" spans="1:33">
      <c r="A32" t="s">
        <v>162</v>
      </c>
      <c r="B32" t="s">
        <v>1692</v>
      </c>
      <c r="C32" t="s">
        <v>1691</v>
      </c>
      <c r="D32" t="s">
        <v>185</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8">
        <v>-1E-3</v>
      </c>
    </row>
    <row r="33" spans="1:33">
      <c r="A33" t="s">
        <v>160</v>
      </c>
      <c r="B33" t="s">
        <v>1690</v>
      </c>
      <c r="C33" t="s">
        <v>1689</v>
      </c>
      <c r="D33" t="s">
        <v>185</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8">
        <v>-3.0000000000000001E-3</v>
      </c>
    </row>
    <row r="34" spans="1:33">
      <c r="A34" t="s">
        <v>163</v>
      </c>
      <c r="B34" t="s">
        <v>1688</v>
      </c>
      <c r="C34" t="s">
        <v>1687</v>
      </c>
      <c r="D34" t="s">
        <v>185</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8">
        <v>1.0999999999999999E-2</v>
      </c>
    </row>
    <row r="35" spans="1:33">
      <c r="A35" t="s">
        <v>151</v>
      </c>
      <c r="B35" t="s">
        <v>1686</v>
      </c>
      <c r="C35" t="s">
        <v>1685</v>
      </c>
      <c r="D35" t="s">
        <v>185</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8">
        <v>1.2999999999999999E-2</v>
      </c>
    </row>
    <row r="36" spans="1:33">
      <c r="A36" t="s">
        <v>150</v>
      </c>
      <c r="B36" t="s">
        <v>1684</v>
      </c>
      <c r="C36" t="s">
        <v>1683</v>
      </c>
      <c r="D36" t="s">
        <v>185</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8">
        <v>1.2999999999999999E-2</v>
      </c>
    </row>
    <row r="37" spans="1:33">
      <c r="A37" t="s">
        <v>164</v>
      </c>
      <c r="B37" t="s">
        <v>1682</v>
      </c>
      <c r="C37" t="s">
        <v>1681</v>
      </c>
      <c r="D37" t="s">
        <v>185</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8">
        <v>8.9999999999999993E-3</v>
      </c>
    </row>
    <row r="38" spans="1:33">
      <c r="A38" t="s">
        <v>165</v>
      </c>
      <c r="B38" t="s">
        <v>1680</v>
      </c>
      <c r="C38" t="s">
        <v>1679</v>
      </c>
      <c r="D38" t="s">
        <v>185</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8">
        <v>0</v>
      </c>
    </row>
    <row r="39" spans="1:33">
      <c r="A39" t="s">
        <v>166</v>
      </c>
      <c r="B39" t="s">
        <v>1678</v>
      </c>
      <c r="C39" t="s">
        <v>1641</v>
      </c>
      <c r="D39" t="s">
        <v>185</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8">
        <v>-4.0000000000000001E-3</v>
      </c>
    </row>
    <row r="40" spans="1:33">
      <c r="A40" t="s">
        <v>313</v>
      </c>
      <c r="B40" t="s">
        <v>1677</v>
      </c>
      <c r="C40" t="s">
        <v>1639</v>
      </c>
      <c r="D40" t="s">
        <v>185</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8">
        <v>3.6999999999999998E-2</v>
      </c>
    </row>
    <row r="41" spans="1:33">
      <c r="A41" t="s">
        <v>167</v>
      </c>
      <c r="B41" t="s">
        <v>1676</v>
      </c>
      <c r="C41" t="s">
        <v>1675</v>
      </c>
      <c r="D41" t="s">
        <v>185</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8">
        <v>2E-3</v>
      </c>
    </row>
    <row r="42" spans="1:33">
      <c r="A42" t="s">
        <v>168</v>
      </c>
      <c r="B42" t="s">
        <v>1674</v>
      </c>
      <c r="C42" t="s">
        <v>1673</v>
      </c>
      <c r="D42" t="s">
        <v>185</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8">
        <v>2E-3</v>
      </c>
    </row>
    <row r="43" spans="1:33">
      <c r="A43" t="s">
        <v>169</v>
      </c>
      <c r="B43" t="s">
        <v>1672</v>
      </c>
      <c r="C43" t="s">
        <v>1671</v>
      </c>
      <c r="D43" t="s">
        <v>185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109</v>
      </c>
    </row>
    <row r="44" spans="1:33">
      <c r="A44" t="s">
        <v>170</v>
      </c>
      <c r="B44" t="s">
        <v>1670</v>
      </c>
      <c r="C44" t="s">
        <v>1669</v>
      </c>
      <c r="D44" t="s">
        <v>185</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8">
        <v>2E-3</v>
      </c>
    </row>
    <row r="45" spans="1:33">
      <c r="A45" t="s">
        <v>130</v>
      </c>
      <c r="B45" t="s">
        <v>1668</v>
      </c>
      <c r="C45" t="s">
        <v>1667</v>
      </c>
      <c r="D45" t="s">
        <v>185</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8">
        <v>-3.0000000000000001E-3</v>
      </c>
    </row>
    <row r="46" spans="1:33">
      <c r="A46" t="s">
        <v>131</v>
      </c>
    </row>
    <row r="47" spans="1:33">
      <c r="A47" t="s">
        <v>171</v>
      </c>
      <c r="B47" t="s">
        <v>1666</v>
      </c>
      <c r="C47" t="s">
        <v>1665</v>
      </c>
      <c r="D47" t="s">
        <v>185</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8">
        <v>-8.9999999999999993E-3</v>
      </c>
    </row>
    <row r="48" spans="1:33">
      <c r="A48" t="s">
        <v>172</v>
      </c>
      <c r="B48" t="s">
        <v>1664</v>
      </c>
      <c r="C48" t="s">
        <v>1663</v>
      </c>
      <c r="D48" t="s">
        <v>185</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8">
        <v>-4.4999999999999998E-2</v>
      </c>
    </row>
    <row r="49" spans="1:33">
      <c r="A49" t="s">
        <v>173</v>
      </c>
      <c r="B49" t="s">
        <v>1662</v>
      </c>
      <c r="C49" t="s">
        <v>1661</v>
      </c>
      <c r="D49" t="s">
        <v>185</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8">
        <v>-6.0000000000000001E-3</v>
      </c>
    </row>
    <row r="50" spans="1:33">
      <c r="A50" t="s">
        <v>174</v>
      </c>
      <c r="B50" t="s">
        <v>1660</v>
      </c>
      <c r="C50" t="s">
        <v>1659</v>
      </c>
      <c r="D50" t="s">
        <v>185</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8">
        <v>8.0000000000000002E-3</v>
      </c>
    </row>
    <row r="51" spans="1:33">
      <c r="A51" t="s">
        <v>169</v>
      </c>
      <c r="B51" t="s">
        <v>1658</v>
      </c>
      <c r="C51" t="s">
        <v>1657</v>
      </c>
      <c r="D51" t="s">
        <v>185</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8">
        <v>5.0000000000000001E-3</v>
      </c>
    </row>
    <row r="52" spans="1:33">
      <c r="A52" t="s">
        <v>175</v>
      </c>
      <c r="B52" t="s">
        <v>1656</v>
      </c>
      <c r="C52" t="s">
        <v>1655</v>
      </c>
      <c r="D52" t="s">
        <v>185</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8">
        <v>0</v>
      </c>
    </row>
    <row r="53" spans="1:33">
      <c r="A53" t="s">
        <v>176</v>
      </c>
      <c r="B53" t="s">
        <v>1654</v>
      </c>
      <c r="C53" t="s">
        <v>1653</v>
      </c>
      <c r="D53" t="s">
        <v>185</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8">
        <v>-0.01</v>
      </c>
    </row>
    <row r="54" spans="1:33">
      <c r="A54" t="s">
        <v>165</v>
      </c>
      <c r="B54" t="s">
        <v>1652</v>
      </c>
      <c r="C54" t="s">
        <v>1651</v>
      </c>
      <c r="D54" t="s">
        <v>185</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8">
        <v>0</v>
      </c>
    </row>
    <row r="55" spans="1:33">
      <c r="A55" t="s">
        <v>177</v>
      </c>
      <c r="B55" t="s">
        <v>1650</v>
      </c>
      <c r="C55" t="s">
        <v>1649</v>
      </c>
      <c r="D55" t="s">
        <v>185</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8">
        <v>-5.0000000000000001E-3</v>
      </c>
    </row>
    <row r="56" spans="1:33">
      <c r="A56" t="s">
        <v>178</v>
      </c>
      <c r="B56" t="s">
        <v>1648</v>
      </c>
      <c r="C56" t="s">
        <v>1647</v>
      </c>
      <c r="D56" t="s">
        <v>185</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8">
        <v>0.10299999999999999</v>
      </c>
    </row>
    <row r="57" spans="1:33">
      <c r="A57" t="s">
        <v>179</v>
      </c>
      <c r="B57" t="s">
        <v>1646</v>
      </c>
      <c r="C57" t="s">
        <v>1645</v>
      </c>
      <c r="D57" t="s">
        <v>185</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8">
        <v>2.9000000000000001E-2</v>
      </c>
    </row>
    <row r="58" spans="1:33">
      <c r="A58" t="s">
        <v>180</v>
      </c>
      <c r="B58" t="s">
        <v>1644</v>
      </c>
      <c r="C58" t="s">
        <v>1643</v>
      </c>
      <c r="D58" t="s">
        <v>185</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8">
        <v>-4.4999999999999998E-2</v>
      </c>
    </row>
    <row r="59" spans="1:33">
      <c r="A59" t="s">
        <v>166</v>
      </c>
      <c r="B59" t="s">
        <v>1642</v>
      </c>
      <c r="C59" t="s">
        <v>1641</v>
      </c>
      <c r="D59" t="s">
        <v>185</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8">
        <v>-4.0000000000000001E-3</v>
      </c>
    </row>
    <row r="60" spans="1:33">
      <c r="A60" t="s">
        <v>313</v>
      </c>
      <c r="B60" t="s">
        <v>1640</v>
      </c>
      <c r="C60" t="s">
        <v>1639</v>
      </c>
      <c r="D60" t="s">
        <v>185</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8">
        <v>3.6999999999999998E-2</v>
      </c>
    </row>
    <row r="61" spans="1:33">
      <c r="A61" t="s">
        <v>132</v>
      </c>
      <c r="B61" t="s">
        <v>1638</v>
      </c>
      <c r="C61" t="s">
        <v>1637</v>
      </c>
      <c r="D61" t="s">
        <v>185</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8">
        <v>-3.0000000000000001E-3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5"/>
  <sheetData>
    <row r="1" spans="1:33">
      <c r="A1" t="s">
        <v>2174</v>
      </c>
    </row>
    <row r="2" spans="1:33">
      <c r="A2" t="s">
        <v>2280</v>
      </c>
    </row>
    <row r="3" spans="1:33">
      <c r="A3" t="s">
        <v>2279</v>
      </c>
    </row>
    <row r="4" spans="1:33">
      <c r="A4" t="s">
        <v>135</v>
      </c>
    </row>
    <row r="5" spans="1:33">
      <c r="B5" t="s">
        <v>182</v>
      </c>
      <c r="C5" t="s">
        <v>183</v>
      </c>
      <c r="D5" t="s">
        <v>184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611</v>
      </c>
    </row>
    <row r="6" spans="1:33">
      <c r="A6" t="s">
        <v>2170</v>
      </c>
    </row>
    <row r="7" spans="1:33">
      <c r="A7" t="s">
        <v>280</v>
      </c>
    </row>
    <row r="8" spans="1:33">
      <c r="A8" t="s">
        <v>281</v>
      </c>
      <c r="B8" t="s">
        <v>2278</v>
      </c>
      <c r="C8" t="s">
        <v>2277</v>
      </c>
      <c r="D8" t="s">
        <v>253</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8">
        <v>-4.2999999999999997E-2</v>
      </c>
    </row>
    <row r="9" spans="1:33">
      <c r="A9" t="s">
        <v>282</v>
      </c>
      <c r="B9" t="s">
        <v>2276</v>
      </c>
      <c r="C9" t="s">
        <v>2275</v>
      </c>
      <c r="D9" t="s">
        <v>253</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8">
        <v>-0.123</v>
      </c>
    </row>
    <row r="10" spans="1:33">
      <c r="A10" t="s">
        <v>283</v>
      </c>
      <c r="B10" t="s">
        <v>2274</v>
      </c>
      <c r="C10" t="s">
        <v>2273</v>
      </c>
      <c r="D10" t="s">
        <v>253</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8">
        <v>-4.2999999999999997E-2</v>
      </c>
    </row>
    <row r="11" spans="1:33">
      <c r="A11" t="s">
        <v>284</v>
      </c>
    </row>
    <row r="12" spans="1:33">
      <c r="A12" t="s">
        <v>285</v>
      </c>
      <c r="B12" t="s">
        <v>2272</v>
      </c>
      <c r="C12" t="s">
        <v>2271</v>
      </c>
      <c r="D12" t="s">
        <v>253</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8">
        <v>-0.112</v>
      </c>
    </row>
    <row r="13" spans="1:33">
      <c r="A13" t="s">
        <v>314</v>
      </c>
      <c r="B13" t="s">
        <v>2270</v>
      </c>
      <c r="C13" t="s">
        <v>2269</v>
      </c>
      <c r="D13" t="s">
        <v>253</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8">
        <v>-1.0999999999999999E-2</v>
      </c>
    </row>
    <row r="14" spans="1:33">
      <c r="A14" t="s">
        <v>315</v>
      </c>
      <c r="B14" t="s">
        <v>2268</v>
      </c>
      <c r="C14" t="s">
        <v>2267</v>
      </c>
      <c r="D14" t="s">
        <v>253</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8">
        <v>9.7000000000000003E-2</v>
      </c>
    </row>
    <row r="15" spans="1:33">
      <c r="A15" t="s">
        <v>316</v>
      </c>
      <c r="B15" t="s">
        <v>2266</v>
      </c>
      <c r="C15" t="s">
        <v>2265</v>
      </c>
      <c r="D15" t="s">
        <v>253</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8">
        <v>6.0999999999999999E-2</v>
      </c>
    </row>
    <row r="16" spans="1:33">
      <c r="A16" t="s">
        <v>286</v>
      </c>
      <c r="B16" t="s">
        <v>2264</v>
      </c>
      <c r="C16" t="s">
        <v>2263</v>
      </c>
      <c r="D16" t="s">
        <v>253</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8">
        <v>1.4999999999999999E-2</v>
      </c>
    </row>
    <row r="17" spans="1:33">
      <c r="A17" t="s">
        <v>287</v>
      </c>
      <c r="B17" t="s">
        <v>2262</v>
      </c>
      <c r="C17" t="s">
        <v>2261</v>
      </c>
      <c r="D17" t="s">
        <v>253</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8">
        <v>0.03</v>
      </c>
    </row>
    <row r="18" spans="1:33">
      <c r="A18" t="s">
        <v>288</v>
      </c>
      <c r="B18" t="s">
        <v>2260</v>
      </c>
      <c r="C18" t="s">
        <v>2259</v>
      </c>
      <c r="D18" t="s">
        <v>253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109</v>
      </c>
    </row>
    <row r="19" spans="1:33">
      <c r="A19" t="s">
        <v>289</v>
      </c>
      <c r="B19" t="s">
        <v>2258</v>
      </c>
      <c r="C19" t="s">
        <v>2257</v>
      </c>
      <c r="D19" t="s">
        <v>253</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8">
        <v>1.4E-2</v>
      </c>
    </row>
    <row r="20" spans="1:33">
      <c r="A20" t="s">
        <v>290</v>
      </c>
      <c r="B20" t="s">
        <v>2256</v>
      </c>
      <c r="C20" t="s">
        <v>2255</v>
      </c>
      <c r="D20" t="s">
        <v>253</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8">
        <v>-8.6999999999999994E-2</v>
      </c>
    </row>
    <row r="21" spans="1:33">
      <c r="A21" t="s">
        <v>291</v>
      </c>
      <c r="B21" t="s">
        <v>2254</v>
      </c>
      <c r="C21" t="s">
        <v>2253</v>
      </c>
      <c r="D21" t="s">
        <v>253</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8">
        <v>-6.0999999999999999E-2</v>
      </c>
    </row>
    <row r="22" spans="1:33">
      <c r="A22" t="s">
        <v>292</v>
      </c>
      <c r="B22" t="s">
        <v>2252</v>
      </c>
      <c r="C22" t="s">
        <v>2251</v>
      </c>
      <c r="D22" t="s">
        <v>253</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8">
        <v>-6.5000000000000002E-2</v>
      </c>
    </row>
    <row r="23" spans="1:33">
      <c r="A23" t="s">
        <v>293</v>
      </c>
      <c r="B23" t="s">
        <v>2250</v>
      </c>
      <c r="C23" t="s">
        <v>2249</v>
      </c>
      <c r="D23" t="s">
        <v>253</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8">
        <v>-6.7000000000000004E-2</v>
      </c>
    </row>
    <row r="24" spans="1:33">
      <c r="A24" t="s">
        <v>294</v>
      </c>
      <c r="B24" t="s">
        <v>2248</v>
      </c>
      <c r="C24" t="s">
        <v>2247</v>
      </c>
      <c r="D24" t="s">
        <v>253</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109</v>
      </c>
    </row>
    <row r="25" spans="1:33">
      <c r="A25" t="s">
        <v>295</v>
      </c>
      <c r="B25" t="s">
        <v>2246</v>
      </c>
      <c r="C25" t="s">
        <v>2245</v>
      </c>
      <c r="D25" t="s">
        <v>253</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8">
        <v>-0.06</v>
      </c>
    </row>
    <row r="26" spans="1:33">
      <c r="A26" t="s">
        <v>296</v>
      </c>
      <c r="B26" t="s">
        <v>2244</v>
      </c>
      <c r="C26" t="s">
        <v>2243</v>
      </c>
      <c r="D26" t="s">
        <v>253</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8">
        <v>4.2000000000000003E-2</v>
      </c>
    </row>
    <row r="27" spans="1:33">
      <c r="A27" t="s">
        <v>2145</v>
      </c>
      <c r="B27" t="s">
        <v>2242</v>
      </c>
      <c r="C27" t="s">
        <v>2241</v>
      </c>
      <c r="D27" t="s">
        <v>253</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8">
        <v>-1.2999999999999999E-2</v>
      </c>
    </row>
    <row r="28" spans="1:33">
      <c r="A28" t="s">
        <v>2142</v>
      </c>
    </row>
    <row r="29" spans="1:33">
      <c r="A29" t="s">
        <v>298</v>
      </c>
    </row>
    <row r="30" spans="1:33">
      <c r="A30" t="s">
        <v>281</v>
      </c>
      <c r="B30" t="s">
        <v>2240</v>
      </c>
      <c r="C30" t="s">
        <v>2239</v>
      </c>
      <c r="D30" t="s">
        <v>253</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8">
        <v>-8.0000000000000002E-3</v>
      </c>
    </row>
    <row r="31" spans="1:33">
      <c r="A31" t="s">
        <v>282</v>
      </c>
      <c r="B31" t="s">
        <v>2238</v>
      </c>
      <c r="C31" t="s">
        <v>2237</v>
      </c>
      <c r="D31" t="s">
        <v>253</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8">
        <v>2.4E-2</v>
      </c>
    </row>
    <row r="32" spans="1:33">
      <c r="A32" t="s">
        <v>299</v>
      </c>
      <c r="B32" t="s">
        <v>2236</v>
      </c>
      <c r="C32" t="s">
        <v>2235</v>
      </c>
      <c r="D32" t="s">
        <v>253</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8">
        <v>-8.0000000000000002E-3</v>
      </c>
    </row>
    <row r="33" spans="1:33">
      <c r="A33" t="s">
        <v>300</v>
      </c>
    </row>
    <row r="34" spans="1:33">
      <c r="A34" t="s">
        <v>285</v>
      </c>
      <c r="B34" t="s">
        <v>2234</v>
      </c>
      <c r="C34" t="s">
        <v>2233</v>
      </c>
      <c r="D34" t="s">
        <v>253</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8">
        <v>-6.2E-2</v>
      </c>
    </row>
    <row r="35" spans="1:33">
      <c r="A35" t="s">
        <v>314</v>
      </c>
      <c r="B35" t="s">
        <v>2232</v>
      </c>
      <c r="C35" t="s">
        <v>2231</v>
      </c>
      <c r="D35" t="s">
        <v>253</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8">
        <v>-9.6000000000000002E-2</v>
      </c>
    </row>
    <row r="36" spans="1:33">
      <c r="A36" t="s">
        <v>315</v>
      </c>
      <c r="B36" t="s">
        <v>2230</v>
      </c>
      <c r="C36" t="s">
        <v>2229</v>
      </c>
      <c r="D36" t="s">
        <v>253</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8">
        <v>0.105</v>
      </c>
    </row>
    <row r="37" spans="1:33">
      <c r="A37" t="s">
        <v>316</v>
      </c>
      <c r="B37" t="s">
        <v>2228</v>
      </c>
      <c r="C37" t="s">
        <v>2227</v>
      </c>
      <c r="D37" t="s">
        <v>253</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8">
        <v>0.122</v>
      </c>
    </row>
    <row r="38" spans="1:33">
      <c r="A38" t="s">
        <v>286</v>
      </c>
      <c r="B38" t="s">
        <v>2226</v>
      </c>
      <c r="C38" t="s">
        <v>2225</v>
      </c>
      <c r="D38" t="s">
        <v>253</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8">
        <v>6.8000000000000005E-2</v>
      </c>
    </row>
    <row r="39" spans="1:33">
      <c r="A39" t="s">
        <v>287</v>
      </c>
      <c r="B39" t="s">
        <v>2224</v>
      </c>
      <c r="C39" t="s">
        <v>2223</v>
      </c>
      <c r="D39" t="s">
        <v>253</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8">
        <v>0.17599999999999999</v>
      </c>
    </row>
    <row r="40" spans="1:33">
      <c r="A40" t="s">
        <v>288</v>
      </c>
      <c r="B40" t="s">
        <v>2222</v>
      </c>
      <c r="C40" t="s">
        <v>2221</v>
      </c>
      <c r="D40" t="s">
        <v>253</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109</v>
      </c>
    </row>
    <row r="41" spans="1:33">
      <c r="A41" t="s">
        <v>289</v>
      </c>
      <c r="B41" t="s">
        <v>2220</v>
      </c>
      <c r="C41" t="s">
        <v>2219</v>
      </c>
      <c r="D41" t="s">
        <v>253</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8">
        <v>5.6000000000000001E-2</v>
      </c>
    </row>
    <row r="42" spans="1:33">
      <c r="A42" t="s">
        <v>290</v>
      </c>
      <c r="B42" t="s">
        <v>2218</v>
      </c>
      <c r="C42" t="s">
        <v>2217</v>
      </c>
      <c r="D42" t="s">
        <v>253</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8">
        <v>-6.6000000000000003E-2</v>
      </c>
    </row>
    <row r="43" spans="1:33">
      <c r="A43" t="s">
        <v>291</v>
      </c>
      <c r="B43" t="s">
        <v>2216</v>
      </c>
      <c r="C43" t="s">
        <v>2215</v>
      </c>
      <c r="D43" t="s">
        <v>253</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8">
        <v>-6.0999999999999999E-2</v>
      </c>
    </row>
    <row r="44" spans="1:33">
      <c r="A44" t="s">
        <v>292</v>
      </c>
      <c r="B44" t="s">
        <v>2214</v>
      </c>
      <c r="C44" t="s">
        <v>2213</v>
      </c>
      <c r="D44" t="s">
        <v>253</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8">
        <v>-6.3E-2</v>
      </c>
    </row>
    <row r="45" spans="1:33">
      <c r="A45" t="s">
        <v>293</v>
      </c>
      <c r="B45" t="s">
        <v>2212</v>
      </c>
      <c r="C45" t="s">
        <v>2211</v>
      </c>
      <c r="D45" t="s">
        <v>253</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8">
        <v>-6.0999999999999999E-2</v>
      </c>
    </row>
    <row r="46" spans="1:33">
      <c r="A46" t="s">
        <v>294</v>
      </c>
      <c r="B46" t="s">
        <v>2210</v>
      </c>
      <c r="C46" t="s">
        <v>2209</v>
      </c>
      <c r="D46" t="s">
        <v>253</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109</v>
      </c>
    </row>
    <row r="47" spans="1:33">
      <c r="A47" t="s">
        <v>295</v>
      </c>
      <c r="B47" t="s">
        <v>2208</v>
      </c>
      <c r="C47" t="s">
        <v>2207</v>
      </c>
      <c r="D47" t="s">
        <v>253</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109</v>
      </c>
    </row>
    <row r="48" spans="1:33">
      <c r="A48" t="s">
        <v>301</v>
      </c>
      <c r="B48" t="s">
        <v>2206</v>
      </c>
      <c r="C48" t="s">
        <v>2205</v>
      </c>
      <c r="D48" t="s">
        <v>253</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8">
        <v>3.6999999999999998E-2</v>
      </c>
    </row>
    <row r="49" spans="1:33">
      <c r="A49" t="s">
        <v>2117</v>
      </c>
      <c r="B49" t="s">
        <v>2204</v>
      </c>
      <c r="C49" t="s">
        <v>2203</v>
      </c>
      <c r="D49" t="s">
        <v>253</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8">
        <v>4.0000000000000001E-3</v>
      </c>
    </row>
    <row r="50" spans="1:33">
      <c r="A50" t="s">
        <v>271</v>
      </c>
      <c r="B50" t="s">
        <v>2202</v>
      </c>
      <c r="C50" t="s">
        <v>2201</v>
      </c>
      <c r="D50" t="s">
        <v>253</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8">
        <v>-2E-3</v>
      </c>
    </row>
    <row r="51" spans="1:33">
      <c r="A51" t="s">
        <v>218</v>
      </c>
      <c r="B51" t="s">
        <v>2200</v>
      </c>
      <c r="C51" t="s">
        <v>2199</v>
      </c>
      <c r="D51" t="s">
        <v>253</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8">
        <v>-2.1999999999999999E-2</v>
      </c>
    </row>
    <row r="52" spans="1:33">
      <c r="A52" t="s">
        <v>173</v>
      </c>
      <c r="B52" t="s">
        <v>2198</v>
      </c>
      <c r="C52" t="s">
        <v>2197</v>
      </c>
      <c r="D52" t="s">
        <v>253</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8">
        <v>-4.4999999999999998E-2</v>
      </c>
    </row>
    <row r="53" spans="1:33">
      <c r="A53" t="s">
        <v>176</v>
      </c>
      <c r="B53" t="s">
        <v>2196</v>
      </c>
      <c r="C53" t="s">
        <v>2195</v>
      </c>
      <c r="D53" t="s">
        <v>253</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8">
        <v>4.5999999999999999E-2</v>
      </c>
    </row>
    <row r="54" spans="1:33">
      <c r="A54" t="s">
        <v>179</v>
      </c>
      <c r="B54" t="s">
        <v>2194</v>
      </c>
      <c r="C54" t="s">
        <v>2193</v>
      </c>
      <c r="D54" t="s">
        <v>253</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8">
        <v>0.114</v>
      </c>
    </row>
    <row r="55" spans="1:33">
      <c r="A55" t="s">
        <v>219</v>
      </c>
      <c r="B55" t="s">
        <v>2192</v>
      </c>
      <c r="C55" t="s">
        <v>2191</v>
      </c>
      <c r="D55" t="s">
        <v>253</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8">
        <v>2E-3</v>
      </c>
    </row>
    <row r="56" spans="1:33">
      <c r="A56" t="s">
        <v>220</v>
      </c>
      <c r="B56" t="s">
        <v>2190</v>
      </c>
      <c r="C56" t="s">
        <v>2189</v>
      </c>
      <c r="D56" t="s">
        <v>253</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8">
        <v>0.14199999999999999</v>
      </c>
    </row>
    <row r="57" spans="1:33">
      <c r="A57" t="s">
        <v>222</v>
      </c>
      <c r="B57" t="s">
        <v>2188</v>
      </c>
      <c r="C57" t="s">
        <v>2187</v>
      </c>
      <c r="D57" t="s">
        <v>253</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109</v>
      </c>
    </row>
    <row r="58" spans="1:33">
      <c r="A58" t="s">
        <v>221</v>
      </c>
      <c r="B58" t="s">
        <v>2186</v>
      </c>
      <c r="C58" t="s">
        <v>2185</v>
      </c>
      <c r="D58" t="s">
        <v>253</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109</v>
      </c>
    </row>
    <row r="59" spans="1:33">
      <c r="A59" t="s">
        <v>223</v>
      </c>
      <c r="B59" t="s">
        <v>2184</v>
      </c>
      <c r="C59" t="s">
        <v>2183</v>
      </c>
      <c r="D59" t="s">
        <v>253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109</v>
      </c>
    </row>
    <row r="60" spans="1:33">
      <c r="A60" t="s">
        <v>514</v>
      </c>
      <c r="B60" t="s">
        <v>2182</v>
      </c>
      <c r="C60" t="s">
        <v>2181</v>
      </c>
      <c r="D60" t="s">
        <v>253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109</v>
      </c>
    </row>
    <row r="61" spans="1:33">
      <c r="A61" t="s">
        <v>511</v>
      </c>
      <c r="B61" t="s">
        <v>2180</v>
      </c>
      <c r="C61" t="s">
        <v>2179</v>
      </c>
      <c r="D61" t="s">
        <v>253</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109</v>
      </c>
    </row>
    <row r="62" spans="1:33">
      <c r="A62" t="s">
        <v>508</v>
      </c>
      <c r="B62" t="s">
        <v>2178</v>
      </c>
      <c r="C62" t="s">
        <v>2177</v>
      </c>
      <c r="D62" t="s">
        <v>253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109</v>
      </c>
    </row>
    <row r="63" spans="1:33">
      <c r="A63" t="s">
        <v>2088</v>
      </c>
      <c r="B63" t="s">
        <v>2176</v>
      </c>
      <c r="C63" t="s">
        <v>2175</v>
      </c>
      <c r="D63" t="s">
        <v>253</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8">
        <v>-8.9999999999999993E-3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5"/>
  <sheetData>
    <row r="1" spans="1:33">
      <c r="A1" t="s">
        <v>278</v>
      </c>
    </row>
    <row r="2" spans="1:33">
      <c r="A2" t="s">
        <v>613</v>
      </c>
    </row>
    <row r="3" spans="1:33">
      <c r="A3" t="s">
        <v>612</v>
      </c>
    </row>
    <row r="4" spans="1:33">
      <c r="A4" t="s">
        <v>135</v>
      </c>
    </row>
    <row r="5" spans="1:33">
      <c r="B5" t="s">
        <v>182</v>
      </c>
      <c r="C5" t="s">
        <v>183</v>
      </c>
      <c r="D5" t="s">
        <v>184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611</v>
      </c>
    </row>
    <row r="6" spans="1:33">
      <c r="A6" t="s">
        <v>279</v>
      </c>
    </row>
    <row r="7" spans="1:33">
      <c r="A7" t="s">
        <v>280</v>
      </c>
    </row>
    <row r="8" spans="1:33">
      <c r="A8" t="s">
        <v>281</v>
      </c>
      <c r="B8" t="s">
        <v>610</v>
      </c>
      <c r="C8" t="s">
        <v>609</v>
      </c>
      <c r="D8" t="s">
        <v>186</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8">
        <v>-3.3000000000000002E-2</v>
      </c>
    </row>
    <row r="9" spans="1:33">
      <c r="A9" t="s">
        <v>282</v>
      </c>
      <c r="B9" t="s">
        <v>608</v>
      </c>
      <c r="C9" t="s">
        <v>607</v>
      </c>
      <c r="D9" t="s">
        <v>186</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8">
        <v>-0.12</v>
      </c>
    </row>
    <row r="10" spans="1:33">
      <c r="A10" t="s">
        <v>283</v>
      </c>
      <c r="B10" t="s">
        <v>606</v>
      </c>
      <c r="C10" t="s">
        <v>605</v>
      </c>
      <c r="D10" t="s">
        <v>186</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8">
        <v>-3.3000000000000002E-2</v>
      </c>
    </row>
    <row r="11" spans="1:33">
      <c r="A11" t="s">
        <v>284</v>
      </c>
    </row>
    <row r="12" spans="1:33">
      <c r="A12" t="s">
        <v>285</v>
      </c>
      <c r="B12" t="s">
        <v>604</v>
      </c>
      <c r="C12" t="s">
        <v>603</v>
      </c>
      <c r="D12" t="s">
        <v>186</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8">
        <v>-7.5999999999999998E-2</v>
      </c>
    </row>
    <row r="13" spans="1:33">
      <c r="A13" t="s">
        <v>314</v>
      </c>
      <c r="B13" t="s">
        <v>602</v>
      </c>
      <c r="C13" t="s">
        <v>601</v>
      </c>
      <c r="D13" t="s">
        <v>186</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8">
        <v>1E-3</v>
      </c>
    </row>
    <row r="14" spans="1:33">
      <c r="A14" t="s">
        <v>315</v>
      </c>
      <c r="B14" t="s">
        <v>600</v>
      </c>
      <c r="C14" t="s">
        <v>599</v>
      </c>
      <c r="D14" t="s">
        <v>186</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8">
        <v>0.1</v>
      </c>
    </row>
    <row r="15" spans="1:33">
      <c r="A15" t="s">
        <v>316</v>
      </c>
      <c r="B15" t="s">
        <v>598</v>
      </c>
      <c r="C15" t="s">
        <v>597</v>
      </c>
      <c r="D15" t="s">
        <v>186</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8">
        <v>6.2E-2</v>
      </c>
    </row>
    <row r="16" spans="1:33">
      <c r="A16" t="s">
        <v>286</v>
      </c>
      <c r="B16" t="s">
        <v>596</v>
      </c>
      <c r="C16" t="s">
        <v>595</v>
      </c>
      <c r="D16" t="s">
        <v>186</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8">
        <v>2.3E-2</v>
      </c>
    </row>
    <row r="17" spans="1:33">
      <c r="A17" t="s">
        <v>287</v>
      </c>
      <c r="B17" t="s">
        <v>594</v>
      </c>
      <c r="C17" t="s">
        <v>593</v>
      </c>
      <c r="D17" t="s">
        <v>186</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8">
        <v>3.9E-2</v>
      </c>
    </row>
    <row r="18" spans="1:33">
      <c r="A18" t="s">
        <v>288</v>
      </c>
      <c r="B18" t="s">
        <v>592</v>
      </c>
      <c r="C18" t="s">
        <v>591</v>
      </c>
      <c r="D18" t="s">
        <v>186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109</v>
      </c>
    </row>
    <row r="19" spans="1:33">
      <c r="A19" t="s">
        <v>289</v>
      </c>
      <c r="B19" t="s">
        <v>590</v>
      </c>
      <c r="C19" t="s">
        <v>589</v>
      </c>
      <c r="D19" t="s">
        <v>186</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8">
        <v>1.9E-2</v>
      </c>
    </row>
    <row r="20" spans="1:33">
      <c r="A20" t="s">
        <v>290</v>
      </c>
      <c r="B20" t="s">
        <v>588</v>
      </c>
      <c r="C20" t="s">
        <v>587</v>
      </c>
      <c r="D20" t="s">
        <v>186</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8">
        <v>-8.6999999999999994E-2</v>
      </c>
    </row>
    <row r="21" spans="1:33">
      <c r="A21" t="s">
        <v>291</v>
      </c>
      <c r="B21" t="s">
        <v>586</v>
      </c>
      <c r="C21" t="s">
        <v>585</v>
      </c>
      <c r="D21" t="s">
        <v>186</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8">
        <v>-6.0999999999999999E-2</v>
      </c>
    </row>
    <row r="22" spans="1:33">
      <c r="A22" t="s">
        <v>292</v>
      </c>
      <c r="B22" t="s">
        <v>584</v>
      </c>
      <c r="C22" t="s">
        <v>583</v>
      </c>
      <c r="D22" t="s">
        <v>186</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8">
        <v>-6.5000000000000002E-2</v>
      </c>
    </row>
    <row r="23" spans="1:33">
      <c r="A23" t="s">
        <v>293</v>
      </c>
      <c r="B23" t="s">
        <v>582</v>
      </c>
      <c r="C23" t="s">
        <v>581</v>
      </c>
      <c r="D23" t="s">
        <v>186</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8">
        <v>-6.7000000000000004E-2</v>
      </c>
    </row>
    <row r="24" spans="1:33">
      <c r="A24" t="s">
        <v>294</v>
      </c>
      <c r="B24" t="s">
        <v>580</v>
      </c>
      <c r="C24" t="s">
        <v>579</v>
      </c>
      <c r="D24" t="s">
        <v>186</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109</v>
      </c>
    </row>
    <row r="25" spans="1:33">
      <c r="A25" t="s">
        <v>295</v>
      </c>
      <c r="B25" t="s">
        <v>578</v>
      </c>
      <c r="C25" t="s">
        <v>577</v>
      </c>
      <c r="D25" t="s">
        <v>186</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8">
        <v>-0.05</v>
      </c>
    </row>
    <row r="26" spans="1:33">
      <c r="A26" t="s">
        <v>296</v>
      </c>
      <c r="B26" t="s">
        <v>576</v>
      </c>
      <c r="C26" t="s">
        <v>575</v>
      </c>
      <c r="D26" t="s">
        <v>186</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8">
        <v>4.5999999999999999E-2</v>
      </c>
    </row>
    <row r="27" spans="1:33">
      <c r="A27" t="s">
        <v>297</v>
      </c>
      <c r="B27" t="s">
        <v>574</v>
      </c>
      <c r="C27" t="s">
        <v>573</v>
      </c>
      <c r="D27" t="s">
        <v>186</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8">
        <v>-8.0000000000000002E-3</v>
      </c>
    </row>
    <row r="28" spans="1:33">
      <c r="A28" t="s">
        <v>146</v>
      </c>
    </row>
    <row r="29" spans="1:33">
      <c r="A29" t="s">
        <v>298</v>
      </c>
    </row>
    <row r="30" spans="1:33">
      <c r="A30" t="s">
        <v>281</v>
      </c>
      <c r="B30" t="s">
        <v>572</v>
      </c>
      <c r="C30" t="s">
        <v>571</v>
      </c>
      <c r="D30" t="s">
        <v>186</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8">
        <v>-7.0000000000000001E-3</v>
      </c>
    </row>
    <row r="31" spans="1:33">
      <c r="A31" t="s">
        <v>282</v>
      </c>
      <c r="B31" t="s">
        <v>570</v>
      </c>
      <c r="C31" t="s">
        <v>569</v>
      </c>
      <c r="D31" t="s">
        <v>186</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8">
        <v>2.8000000000000001E-2</v>
      </c>
    </row>
    <row r="32" spans="1:33">
      <c r="A32" t="s">
        <v>299</v>
      </c>
      <c r="B32" t="s">
        <v>568</v>
      </c>
      <c r="C32" t="s">
        <v>567</v>
      </c>
      <c r="D32" t="s">
        <v>186</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8">
        <v>-7.0000000000000001E-3</v>
      </c>
    </row>
    <row r="33" spans="1:33">
      <c r="A33" t="s">
        <v>300</v>
      </c>
    </row>
    <row r="34" spans="1:33">
      <c r="A34" t="s">
        <v>285</v>
      </c>
      <c r="B34" t="s">
        <v>566</v>
      </c>
      <c r="C34" t="s">
        <v>565</v>
      </c>
      <c r="D34" t="s">
        <v>186</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8">
        <v>-5.5E-2</v>
      </c>
    </row>
    <row r="35" spans="1:33">
      <c r="A35" t="s">
        <v>314</v>
      </c>
      <c r="B35" t="s">
        <v>564</v>
      </c>
      <c r="C35" t="s">
        <v>563</v>
      </c>
      <c r="D35" t="s">
        <v>186</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8">
        <v>-9.2999999999999999E-2</v>
      </c>
    </row>
    <row r="36" spans="1:33">
      <c r="A36" t="s">
        <v>315</v>
      </c>
      <c r="B36" t="s">
        <v>562</v>
      </c>
      <c r="C36" t="s">
        <v>561</v>
      </c>
      <c r="D36" t="s">
        <v>186</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8">
        <v>0.108</v>
      </c>
    </row>
    <row r="37" spans="1:33">
      <c r="A37" t="s">
        <v>316</v>
      </c>
      <c r="B37" t="s">
        <v>560</v>
      </c>
      <c r="C37" t="s">
        <v>559</v>
      </c>
      <c r="D37" t="s">
        <v>186</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8">
        <v>0.125</v>
      </c>
    </row>
    <row r="38" spans="1:33">
      <c r="A38" t="s">
        <v>286</v>
      </c>
      <c r="B38" t="s">
        <v>558</v>
      </c>
      <c r="C38" t="s">
        <v>557</v>
      </c>
      <c r="D38" t="s">
        <v>186</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8">
        <v>6.5000000000000002E-2</v>
      </c>
    </row>
    <row r="39" spans="1:33">
      <c r="A39" t="s">
        <v>287</v>
      </c>
      <c r="B39" t="s">
        <v>556</v>
      </c>
      <c r="C39" t="s">
        <v>555</v>
      </c>
      <c r="D39" t="s">
        <v>186</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8">
        <v>0.17899999999999999</v>
      </c>
    </row>
    <row r="40" spans="1:33">
      <c r="A40" t="s">
        <v>288</v>
      </c>
      <c r="B40" t="s">
        <v>554</v>
      </c>
      <c r="C40" t="s">
        <v>553</v>
      </c>
      <c r="D40" t="s">
        <v>186</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109</v>
      </c>
    </row>
    <row r="41" spans="1:33">
      <c r="A41" t="s">
        <v>289</v>
      </c>
      <c r="B41" t="s">
        <v>552</v>
      </c>
      <c r="C41" t="s">
        <v>551</v>
      </c>
      <c r="D41" t="s">
        <v>186</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8">
        <v>5.3999999999999999E-2</v>
      </c>
    </row>
    <row r="42" spans="1:33">
      <c r="A42" t="s">
        <v>290</v>
      </c>
      <c r="B42" t="s">
        <v>550</v>
      </c>
      <c r="C42" t="s">
        <v>549</v>
      </c>
      <c r="D42" t="s">
        <v>186</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8">
        <v>-6.6000000000000003E-2</v>
      </c>
    </row>
    <row r="43" spans="1:33">
      <c r="A43" t="s">
        <v>291</v>
      </c>
      <c r="B43" t="s">
        <v>548</v>
      </c>
      <c r="C43" t="s">
        <v>547</v>
      </c>
      <c r="D43" t="s">
        <v>186</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8">
        <v>-6.2E-2</v>
      </c>
    </row>
    <row r="44" spans="1:33">
      <c r="A44" t="s">
        <v>292</v>
      </c>
      <c r="B44" t="s">
        <v>546</v>
      </c>
      <c r="C44" t="s">
        <v>545</v>
      </c>
      <c r="D44" t="s">
        <v>186</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8">
        <v>-6.3E-2</v>
      </c>
    </row>
    <row r="45" spans="1:33">
      <c r="A45" t="s">
        <v>293</v>
      </c>
      <c r="B45" t="s">
        <v>544</v>
      </c>
      <c r="C45" t="s">
        <v>543</v>
      </c>
      <c r="D45" t="s">
        <v>186</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8">
        <v>-6.2E-2</v>
      </c>
    </row>
    <row r="46" spans="1:33">
      <c r="A46" t="s">
        <v>294</v>
      </c>
      <c r="B46" t="s">
        <v>542</v>
      </c>
      <c r="C46" t="s">
        <v>541</v>
      </c>
      <c r="D46" t="s">
        <v>186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109</v>
      </c>
    </row>
    <row r="47" spans="1:33">
      <c r="A47" t="s">
        <v>295</v>
      </c>
      <c r="B47" t="s">
        <v>540</v>
      </c>
      <c r="C47" t="s">
        <v>539</v>
      </c>
      <c r="D47" t="s">
        <v>186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109</v>
      </c>
    </row>
    <row r="48" spans="1:33">
      <c r="A48" t="s">
        <v>301</v>
      </c>
      <c r="B48" t="s">
        <v>538</v>
      </c>
      <c r="C48" t="s">
        <v>537</v>
      </c>
      <c r="D48" t="s">
        <v>186</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8">
        <v>3.7999999999999999E-2</v>
      </c>
    </row>
    <row r="49" spans="1:33">
      <c r="A49" t="s">
        <v>302</v>
      </c>
      <c r="B49" t="s">
        <v>536</v>
      </c>
      <c r="C49" t="s">
        <v>535</v>
      </c>
      <c r="D49" t="s">
        <v>186</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8">
        <v>4.0000000000000001E-3</v>
      </c>
    </row>
    <row r="50" spans="1:33">
      <c r="A50" t="s">
        <v>271</v>
      </c>
      <c r="B50" t="s">
        <v>534</v>
      </c>
      <c r="C50" t="s">
        <v>533</v>
      </c>
      <c r="D50" t="s">
        <v>186</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8">
        <v>1E-3</v>
      </c>
    </row>
    <row r="51" spans="1:33">
      <c r="A51" t="s">
        <v>218</v>
      </c>
      <c r="B51" t="s">
        <v>532</v>
      </c>
      <c r="C51" t="s">
        <v>531</v>
      </c>
      <c r="D51" t="s">
        <v>186</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8">
        <v>-2.7E-2</v>
      </c>
    </row>
    <row r="52" spans="1:33">
      <c r="A52" t="s">
        <v>173</v>
      </c>
      <c r="B52" t="s">
        <v>530</v>
      </c>
      <c r="C52" t="s">
        <v>529</v>
      </c>
      <c r="D52" t="s">
        <v>186</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8">
        <v>-6.0999999999999999E-2</v>
      </c>
    </row>
    <row r="53" spans="1:33">
      <c r="A53" t="s">
        <v>176</v>
      </c>
      <c r="B53" t="s">
        <v>528</v>
      </c>
      <c r="C53" t="s">
        <v>527</v>
      </c>
      <c r="D53" t="s">
        <v>186</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8">
        <v>7.5999999999999998E-2</v>
      </c>
    </row>
    <row r="54" spans="1:33">
      <c r="A54" t="s">
        <v>179</v>
      </c>
      <c r="B54" t="s">
        <v>526</v>
      </c>
      <c r="C54" t="s">
        <v>525</v>
      </c>
      <c r="D54" t="s">
        <v>186</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8">
        <v>0.11899999999999999</v>
      </c>
    </row>
    <row r="55" spans="1:33">
      <c r="A55" t="s">
        <v>219</v>
      </c>
      <c r="B55" t="s">
        <v>524</v>
      </c>
      <c r="C55" t="s">
        <v>523</v>
      </c>
      <c r="D55" t="s">
        <v>186</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8">
        <v>-8.0000000000000002E-3</v>
      </c>
    </row>
    <row r="56" spans="1:33">
      <c r="A56" t="s">
        <v>220</v>
      </c>
      <c r="B56" t="s">
        <v>522</v>
      </c>
      <c r="C56" t="s">
        <v>521</v>
      </c>
      <c r="D56" t="s">
        <v>186</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8">
        <v>0.127</v>
      </c>
    </row>
    <row r="57" spans="1:33">
      <c r="A57" t="s">
        <v>222</v>
      </c>
      <c r="B57" t="s">
        <v>520</v>
      </c>
      <c r="C57" t="s">
        <v>519</v>
      </c>
      <c r="D57" t="s">
        <v>186</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109</v>
      </c>
    </row>
    <row r="58" spans="1:33">
      <c r="A58" t="s">
        <v>221</v>
      </c>
      <c r="B58" t="s">
        <v>518</v>
      </c>
      <c r="C58" t="s">
        <v>517</v>
      </c>
      <c r="D58" t="s">
        <v>186</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109</v>
      </c>
    </row>
    <row r="59" spans="1:33">
      <c r="A59" t="s">
        <v>223</v>
      </c>
      <c r="B59" t="s">
        <v>516</v>
      </c>
      <c r="C59" t="s">
        <v>515</v>
      </c>
      <c r="D59" t="s">
        <v>186</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109</v>
      </c>
    </row>
    <row r="60" spans="1:33">
      <c r="A60" t="s">
        <v>514</v>
      </c>
      <c r="B60" t="s">
        <v>513</v>
      </c>
      <c r="C60" t="s">
        <v>512</v>
      </c>
      <c r="D60" t="s">
        <v>186</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109</v>
      </c>
    </row>
    <row r="61" spans="1:33">
      <c r="A61" t="s">
        <v>511</v>
      </c>
      <c r="B61" t="s">
        <v>510</v>
      </c>
      <c r="C61" t="s">
        <v>509</v>
      </c>
      <c r="D61" t="s">
        <v>186</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109</v>
      </c>
    </row>
    <row r="62" spans="1:33">
      <c r="A62" t="s">
        <v>508</v>
      </c>
      <c r="B62" t="s">
        <v>507</v>
      </c>
      <c r="C62" t="s">
        <v>506</v>
      </c>
      <c r="D62" t="s">
        <v>186</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109</v>
      </c>
    </row>
    <row r="63" spans="1:33">
      <c r="A63" t="s">
        <v>303</v>
      </c>
      <c r="B63" t="s">
        <v>505</v>
      </c>
      <c r="C63" t="s">
        <v>504</v>
      </c>
      <c r="D63" t="s">
        <v>186</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8">
        <v>-8.0000000000000002E-3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5"/>
  <cols>
    <col min="1" max="1" width="35.85546875" customWidth="1"/>
  </cols>
  <sheetData>
    <row r="1" spans="1:33">
      <c r="A1" t="s">
        <v>211</v>
      </c>
    </row>
    <row r="2" spans="1:33">
      <c r="A2" t="s">
        <v>1091</v>
      </c>
    </row>
    <row r="3" spans="1:33">
      <c r="A3" t="s">
        <v>1090</v>
      </c>
    </row>
    <row r="4" spans="1:33">
      <c r="A4" t="s">
        <v>135</v>
      </c>
    </row>
    <row r="5" spans="1:33">
      <c r="B5" t="s">
        <v>182</v>
      </c>
      <c r="C5" t="s">
        <v>183</v>
      </c>
      <c r="D5" t="s">
        <v>184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611</v>
      </c>
    </row>
    <row r="6" spans="1:33">
      <c r="A6" t="s">
        <v>1089</v>
      </c>
      <c r="B6" t="s">
        <v>1088</v>
      </c>
      <c r="C6" t="s">
        <v>1087</v>
      </c>
      <c r="D6" t="s">
        <v>212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8">
        <v>8.0000000000000002E-3</v>
      </c>
    </row>
    <row r="7" spans="1:33">
      <c r="A7" t="s">
        <v>114</v>
      </c>
    </row>
    <row r="8" spans="1:33">
      <c r="A8" t="s">
        <v>192</v>
      </c>
      <c r="B8" t="s">
        <v>1086</v>
      </c>
      <c r="C8" t="s">
        <v>1085</v>
      </c>
      <c r="D8" t="s">
        <v>213</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8">
        <v>1E-3</v>
      </c>
    </row>
    <row r="9" spans="1:33">
      <c r="A9" t="s">
        <v>193</v>
      </c>
      <c r="B9" t="s">
        <v>1084</v>
      </c>
      <c r="C9" t="s">
        <v>1083</v>
      </c>
      <c r="D9" t="s">
        <v>213</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8">
        <v>2E-3</v>
      </c>
    </row>
    <row r="10" spans="1:33">
      <c r="A10" t="s">
        <v>113</v>
      </c>
    </row>
    <row r="11" spans="1:33">
      <c r="A11" t="s">
        <v>194</v>
      </c>
    </row>
    <row r="12" spans="1:33">
      <c r="A12" t="s">
        <v>195</v>
      </c>
      <c r="B12" t="s">
        <v>1082</v>
      </c>
      <c r="C12" t="s">
        <v>1081</v>
      </c>
      <c r="D12" t="s">
        <v>214</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8">
        <v>3.0000000000000001E-3</v>
      </c>
    </row>
    <row r="13" spans="1:33">
      <c r="A13" t="s">
        <v>196</v>
      </c>
      <c r="B13" t="s">
        <v>1080</v>
      </c>
      <c r="C13" t="s">
        <v>1079</v>
      </c>
      <c r="D13" t="s">
        <v>214</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8">
        <v>8.9999999999999993E-3</v>
      </c>
    </row>
    <row r="14" spans="1:33">
      <c r="A14" t="s">
        <v>653</v>
      </c>
      <c r="B14" t="s">
        <v>1078</v>
      </c>
      <c r="C14" t="s">
        <v>1077</v>
      </c>
      <c r="D14" t="s">
        <v>214</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8">
        <v>5.0000000000000001E-3</v>
      </c>
    </row>
    <row r="15" spans="1:33">
      <c r="A15" t="s">
        <v>650</v>
      </c>
      <c r="B15" t="s">
        <v>1076</v>
      </c>
      <c r="C15" t="s">
        <v>1075</v>
      </c>
      <c r="D15" t="s">
        <v>214</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8">
        <v>0</v>
      </c>
    </row>
    <row r="16" spans="1:33">
      <c r="A16" t="s">
        <v>317</v>
      </c>
      <c r="B16" t="s">
        <v>1074</v>
      </c>
      <c r="C16" t="s">
        <v>1073</v>
      </c>
      <c r="D16" t="s">
        <v>214</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8">
        <v>-6.0000000000000001E-3</v>
      </c>
    </row>
    <row r="17" spans="1:33">
      <c r="A17" t="s">
        <v>318</v>
      </c>
      <c r="B17" t="s">
        <v>1072</v>
      </c>
      <c r="C17" t="s">
        <v>1071</v>
      </c>
      <c r="D17" t="s">
        <v>214</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8">
        <v>8.9999999999999993E-3</v>
      </c>
    </row>
    <row r="18" spans="1:33">
      <c r="A18" t="s">
        <v>319</v>
      </c>
      <c r="B18" t="s">
        <v>1070</v>
      </c>
      <c r="C18" t="s">
        <v>1069</v>
      </c>
      <c r="D18" t="s">
        <v>214</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8">
        <v>-5.0000000000000001E-3</v>
      </c>
    </row>
    <row r="19" spans="1:33">
      <c r="A19" t="s">
        <v>320</v>
      </c>
      <c r="B19" t="s">
        <v>1068</v>
      </c>
      <c r="C19" t="s">
        <v>1067</v>
      </c>
      <c r="D19" t="s">
        <v>214</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8">
        <v>-2E-3</v>
      </c>
    </row>
    <row r="20" spans="1:33">
      <c r="A20" t="s">
        <v>639</v>
      </c>
      <c r="B20" t="s">
        <v>1066</v>
      </c>
      <c r="C20" t="s">
        <v>1065</v>
      </c>
      <c r="D20" t="s">
        <v>214</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8">
        <v>6.0000000000000001E-3</v>
      </c>
    </row>
    <row r="21" spans="1:33">
      <c r="A21" t="s">
        <v>198</v>
      </c>
      <c r="B21" t="s">
        <v>1064</v>
      </c>
      <c r="C21" t="s">
        <v>1063</v>
      </c>
      <c r="D21" t="s">
        <v>214</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8">
        <v>-5.0000000000000001E-3</v>
      </c>
    </row>
    <row r="22" spans="1:33">
      <c r="A22" t="s">
        <v>321</v>
      </c>
      <c r="B22" t="s">
        <v>1062</v>
      </c>
      <c r="C22" t="s">
        <v>1061</v>
      </c>
      <c r="D22" t="s">
        <v>214</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8">
        <v>6.0000000000000001E-3</v>
      </c>
    </row>
    <row r="23" spans="1:33">
      <c r="A23" t="s">
        <v>632</v>
      </c>
      <c r="B23" t="s">
        <v>1060</v>
      </c>
      <c r="C23" t="s">
        <v>1059</v>
      </c>
      <c r="D23" t="s">
        <v>214</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8">
        <v>8.0000000000000002E-3</v>
      </c>
    </row>
    <row r="24" spans="1:33">
      <c r="A24" t="s">
        <v>322</v>
      </c>
      <c r="B24" t="s">
        <v>1058</v>
      </c>
      <c r="C24" t="s">
        <v>1057</v>
      </c>
      <c r="D24" t="s">
        <v>214</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8">
        <v>1.2999999999999999E-2</v>
      </c>
    </row>
    <row r="25" spans="1:33">
      <c r="A25" t="s">
        <v>197</v>
      </c>
      <c r="B25" t="s">
        <v>1056</v>
      </c>
      <c r="C25" t="s">
        <v>1055</v>
      </c>
      <c r="D25" t="s">
        <v>214</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8">
        <v>1.9E-2</v>
      </c>
    </row>
    <row r="26" spans="1:33">
      <c r="A26" t="s">
        <v>323</v>
      </c>
      <c r="B26" t="s">
        <v>1054</v>
      </c>
      <c r="C26" t="s">
        <v>1053</v>
      </c>
      <c r="D26" t="s">
        <v>214</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8">
        <v>1E-3</v>
      </c>
    </row>
    <row r="27" spans="1:33">
      <c r="A27" t="s">
        <v>623</v>
      </c>
      <c r="B27" t="s">
        <v>1052</v>
      </c>
      <c r="C27" t="s">
        <v>1051</v>
      </c>
      <c r="D27" t="s">
        <v>214</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8">
        <v>5.0000000000000001E-3</v>
      </c>
    </row>
    <row r="28" spans="1:33">
      <c r="A28" t="s">
        <v>112</v>
      </c>
    </row>
    <row r="29" spans="1:33">
      <c r="A29" t="s">
        <v>199</v>
      </c>
    </row>
    <row r="30" spans="1:33">
      <c r="A30" t="s">
        <v>190</v>
      </c>
    </row>
    <row r="31" spans="1:33">
      <c r="A31" t="s">
        <v>195</v>
      </c>
      <c r="B31" t="s">
        <v>1050</v>
      </c>
      <c r="C31" t="s">
        <v>1049</v>
      </c>
      <c r="D31" t="s">
        <v>186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8">
        <v>1.7999999999999999E-2</v>
      </c>
    </row>
    <row r="32" spans="1:33">
      <c r="A32" t="s">
        <v>196</v>
      </c>
      <c r="B32" t="s">
        <v>1048</v>
      </c>
      <c r="C32" t="s">
        <v>1047</v>
      </c>
      <c r="D32" t="s">
        <v>186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8">
        <v>1.7000000000000001E-2</v>
      </c>
    </row>
    <row r="33" spans="1:33">
      <c r="A33" t="s">
        <v>653</v>
      </c>
      <c r="B33" t="s">
        <v>1046</v>
      </c>
      <c r="C33" t="s">
        <v>1045</v>
      </c>
      <c r="D33" t="s">
        <v>186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8">
        <v>3.5999999999999997E-2</v>
      </c>
    </row>
    <row r="34" spans="1:33">
      <c r="A34" t="s">
        <v>650</v>
      </c>
      <c r="B34" t="s">
        <v>1044</v>
      </c>
      <c r="C34" t="s">
        <v>1043</v>
      </c>
      <c r="D34" t="s">
        <v>186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8">
        <v>2.1000000000000001E-2</v>
      </c>
    </row>
    <row r="35" spans="1:33">
      <c r="A35" t="s">
        <v>317</v>
      </c>
      <c r="B35" t="s">
        <v>1042</v>
      </c>
      <c r="C35" t="s">
        <v>1041</v>
      </c>
      <c r="D35" t="s">
        <v>186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8">
        <v>5.0000000000000001E-3</v>
      </c>
    </row>
    <row r="36" spans="1:33">
      <c r="A36" t="s">
        <v>318</v>
      </c>
      <c r="B36" t="s">
        <v>1040</v>
      </c>
      <c r="C36" t="s">
        <v>1039</v>
      </c>
      <c r="D36" t="s">
        <v>186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8">
        <v>2.3E-2</v>
      </c>
    </row>
    <row r="37" spans="1:33">
      <c r="A37" t="s">
        <v>319</v>
      </c>
      <c r="B37" t="s">
        <v>1038</v>
      </c>
      <c r="C37" t="s">
        <v>1037</v>
      </c>
      <c r="D37" t="s">
        <v>186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8">
        <v>0.01</v>
      </c>
    </row>
    <row r="38" spans="1:33">
      <c r="A38" t="s">
        <v>320</v>
      </c>
      <c r="B38" t="s">
        <v>1036</v>
      </c>
      <c r="C38" t="s">
        <v>1035</v>
      </c>
      <c r="D38" t="s">
        <v>186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8">
        <v>1.2E-2</v>
      </c>
    </row>
    <row r="39" spans="1:33">
      <c r="A39" t="s">
        <v>639</v>
      </c>
      <c r="B39" t="s">
        <v>1034</v>
      </c>
      <c r="C39" t="s">
        <v>1033</v>
      </c>
      <c r="D39" t="s">
        <v>186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8">
        <v>3.2000000000000001E-2</v>
      </c>
    </row>
    <row r="40" spans="1:33">
      <c r="A40" t="s">
        <v>198</v>
      </c>
      <c r="B40" t="s">
        <v>1032</v>
      </c>
      <c r="C40" t="s">
        <v>1031</v>
      </c>
      <c r="D40" t="s">
        <v>186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8">
        <v>4.3999999999999997E-2</v>
      </c>
    </row>
    <row r="41" spans="1:33">
      <c r="A41" t="s">
        <v>321</v>
      </c>
      <c r="B41" t="s">
        <v>1030</v>
      </c>
      <c r="C41" t="s">
        <v>1029</v>
      </c>
      <c r="D41" t="s">
        <v>186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8">
        <v>6.0999999999999999E-2</v>
      </c>
    </row>
    <row r="42" spans="1:33">
      <c r="A42" t="s">
        <v>632</v>
      </c>
      <c r="B42" t="s">
        <v>1028</v>
      </c>
      <c r="C42" t="s">
        <v>1027</v>
      </c>
      <c r="D42" t="s">
        <v>186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8">
        <v>4.2999999999999997E-2</v>
      </c>
    </row>
    <row r="43" spans="1:33">
      <c r="A43" t="s">
        <v>322</v>
      </c>
      <c r="B43" t="s">
        <v>1026</v>
      </c>
      <c r="C43" t="s">
        <v>1025</v>
      </c>
      <c r="D43" t="s">
        <v>186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8">
        <v>3.6999999999999998E-2</v>
      </c>
    </row>
    <row r="44" spans="1:33">
      <c r="A44" t="s">
        <v>197</v>
      </c>
      <c r="B44" t="s">
        <v>1024</v>
      </c>
      <c r="C44" t="s">
        <v>1023</v>
      </c>
      <c r="D44" t="s">
        <v>186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8">
        <v>4.3999999999999997E-2</v>
      </c>
    </row>
    <row r="45" spans="1:33">
      <c r="A45" t="s">
        <v>323</v>
      </c>
      <c r="B45" t="s">
        <v>1022</v>
      </c>
      <c r="C45" t="s">
        <v>1021</v>
      </c>
      <c r="D45" t="s">
        <v>186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8">
        <v>1.6E-2</v>
      </c>
    </row>
    <row r="46" spans="1:33">
      <c r="A46" t="s">
        <v>623</v>
      </c>
      <c r="B46" t="s">
        <v>1020</v>
      </c>
      <c r="C46" t="s">
        <v>1019</v>
      </c>
      <c r="D46" t="s">
        <v>186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8">
        <v>2.5000000000000001E-2</v>
      </c>
    </row>
    <row r="47" spans="1:33">
      <c r="A47" t="s">
        <v>324</v>
      </c>
      <c r="B47" t="s">
        <v>1018</v>
      </c>
      <c r="C47" t="s">
        <v>1017</v>
      </c>
      <c r="D47" t="s">
        <v>186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8">
        <v>0.03</v>
      </c>
    </row>
    <row r="48" spans="1:33">
      <c r="A48" t="s">
        <v>191</v>
      </c>
    </row>
    <row r="49" spans="1:33">
      <c r="A49" t="s">
        <v>195</v>
      </c>
      <c r="B49" t="s">
        <v>1016</v>
      </c>
      <c r="C49" t="s">
        <v>1015</v>
      </c>
      <c r="D49" t="s">
        <v>186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8">
        <v>2.1000000000000001E-2</v>
      </c>
    </row>
    <row r="50" spans="1:33">
      <c r="A50" t="s">
        <v>196</v>
      </c>
      <c r="B50" t="s">
        <v>1014</v>
      </c>
      <c r="C50" t="s">
        <v>1013</v>
      </c>
      <c r="D50" t="s">
        <v>186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8">
        <v>2.5000000000000001E-2</v>
      </c>
    </row>
    <row r="51" spans="1:33">
      <c r="A51" t="s">
        <v>653</v>
      </c>
      <c r="B51" t="s">
        <v>1012</v>
      </c>
      <c r="C51" t="s">
        <v>1011</v>
      </c>
      <c r="D51" t="s">
        <v>186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8">
        <v>0.03</v>
      </c>
    </row>
    <row r="52" spans="1:33">
      <c r="A52" t="s">
        <v>650</v>
      </c>
      <c r="B52" t="s">
        <v>1010</v>
      </c>
      <c r="C52" t="s">
        <v>1009</v>
      </c>
      <c r="D52" t="s">
        <v>186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8">
        <v>1.9E-2</v>
      </c>
    </row>
    <row r="53" spans="1:33">
      <c r="A53" t="s">
        <v>317</v>
      </c>
      <c r="B53" t="s">
        <v>1008</v>
      </c>
      <c r="C53" t="s">
        <v>1007</v>
      </c>
      <c r="D53" t="s">
        <v>186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8">
        <v>1E-3</v>
      </c>
    </row>
    <row r="54" spans="1:33">
      <c r="A54" t="s">
        <v>318</v>
      </c>
      <c r="B54" t="s">
        <v>1006</v>
      </c>
      <c r="C54" t="s">
        <v>1005</v>
      </c>
      <c r="D54" t="s">
        <v>186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8">
        <v>2.9000000000000001E-2</v>
      </c>
    </row>
    <row r="55" spans="1:33">
      <c r="A55" t="s">
        <v>319</v>
      </c>
      <c r="B55" t="s">
        <v>1004</v>
      </c>
      <c r="C55" t="s">
        <v>1003</v>
      </c>
      <c r="D55" t="s">
        <v>186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8">
        <v>3.1E-2</v>
      </c>
    </row>
    <row r="56" spans="1:33">
      <c r="A56" t="s">
        <v>320</v>
      </c>
      <c r="B56" t="s">
        <v>1002</v>
      </c>
      <c r="C56" t="s">
        <v>1001</v>
      </c>
      <c r="D56" t="s">
        <v>186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8">
        <v>5.0999999999999997E-2</v>
      </c>
    </row>
    <row r="57" spans="1:33">
      <c r="A57" t="s">
        <v>639</v>
      </c>
      <c r="B57" t="s">
        <v>1000</v>
      </c>
      <c r="C57" t="s">
        <v>999</v>
      </c>
      <c r="D57" t="s">
        <v>186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8">
        <v>3.5000000000000003E-2</v>
      </c>
    </row>
    <row r="58" spans="1:33">
      <c r="A58" t="s">
        <v>198</v>
      </c>
      <c r="B58" t="s">
        <v>998</v>
      </c>
      <c r="C58" t="s">
        <v>997</v>
      </c>
      <c r="D58" t="s">
        <v>186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8">
        <v>4.3999999999999997E-2</v>
      </c>
    </row>
    <row r="59" spans="1:33">
      <c r="A59" t="s">
        <v>321</v>
      </c>
      <c r="B59" t="s">
        <v>996</v>
      </c>
      <c r="C59" t="s">
        <v>995</v>
      </c>
      <c r="D59" t="s">
        <v>186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8">
        <v>5.2999999999999999E-2</v>
      </c>
    </row>
    <row r="60" spans="1:33">
      <c r="A60" t="s">
        <v>632</v>
      </c>
      <c r="B60" t="s">
        <v>994</v>
      </c>
      <c r="C60" t="s">
        <v>993</v>
      </c>
      <c r="D60" t="s">
        <v>186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8">
        <v>3.9E-2</v>
      </c>
    </row>
    <row r="61" spans="1:33">
      <c r="A61" t="s">
        <v>322</v>
      </c>
      <c r="B61" t="s">
        <v>992</v>
      </c>
      <c r="C61" t="s">
        <v>991</v>
      </c>
      <c r="D61" t="s">
        <v>186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8">
        <v>4.1000000000000002E-2</v>
      </c>
    </row>
    <row r="62" spans="1:33">
      <c r="A62" t="s">
        <v>197</v>
      </c>
      <c r="B62" t="s">
        <v>990</v>
      </c>
      <c r="C62" t="s">
        <v>989</v>
      </c>
      <c r="D62" t="s">
        <v>186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8">
        <v>0.04</v>
      </c>
    </row>
    <row r="63" spans="1:33">
      <c r="A63" t="s">
        <v>323</v>
      </c>
      <c r="B63" t="s">
        <v>988</v>
      </c>
      <c r="C63" t="s">
        <v>987</v>
      </c>
      <c r="D63" t="s">
        <v>186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8">
        <v>1.9E-2</v>
      </c>
    </row>
    <row r="64" spans="1:33">
      <c r="A64" t="s">
        <v>623</v>
      </c>
      <c r="B64" t="s">
        <v>986</v>
      </c>
      <c r="C64" t="s">
        <v>985</v>
      </c>
      <c r="D64" t="s">
        <v>186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8">
        <v>0.03</v>
      </c>
    </row>
    <row r="65" spans="1:33">
      <c r="A65" t="s">
        <v>325</v>
      </c>
      <c r="B65" t="s">
        <v>984</v>
      </c>
      <c r="C65" t="s">
        <v>982</v>
      </c>
      <c r="D65" t="s">
        <v>186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8">
        <v>3.1E-2</v>
      </c>
    </row>
    <row r="66" spans="1:33">
      <c r="A66" t="s">
        <v>110</v>
      </c>
      <c r="B66" t="s">
        <v>983</v>
      </c>
      <c r="C66" t="s">
        <v>982</v>
      </c>
      <c r="D66" t="s">
        <v>186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8">
        <v>0.03</v>
      </c>
    </row>
    <row r="67" spans="1:33" s="5" customFormat="1">
      <c r="A67" s="5" t="s">
        <v>200</v>
      </c>
    </row>
    <row r="68" spans="1:33" s="5" customFormat="1">
      <c r="A68" s="5" t="s">
        <v>195</v>
      </c>
      <c r="B68" s="5" t="s">
        <v>981</v>
      </c>
      <c r="C68" s="5" t="s">
        <v>980</v>
      </c>
      <c r="D68" s="5" t="s">
        <v>186</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0">
        <v>0.02</v>
      </c>
    </row>
    <row r="69" spans="1:33">
      <c r="A69" t="s">
        <v>196</v>
      </c>
      <c r="B69" t="s">
        <v>979</v>
      </c>
      <c r="C69" t="s">
        <v>978</v>
      </c>
      <c r="D69" t="s">
        <v>186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8">
        <v>4.0000000000000001E-3</v>
      </c>
    </row>
    <row r="70" spans="1:33">
      <c r="A70" t="s">
        <v>653</v>
      </c>
      <c r="B70" t="s">
        <v>977</v>
      </c>
      <c r="C70" t="s">
        <v>976</v>
      </c>
      <c r="D70" t="s">
        <v>186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8">
        <v>2.7E-2</v>
      </c>
    </row>
    <row r="71" spans="1:33">
      <c r="A71" t="s">
        <v>650</v>
      </c>
      <c r="B71" t="s">
        <v>975</v>
      </c>
      <c r="C71" t="s">
        <v>974</v>
      </c>
      <c r="D71" t="s">
        <v>186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8">
        <v>0.03</v>
      </c>
    </row>
    <row r="72" spans="1:33">
      <c r="A72" t="s">
        <v>317</v>
      </c>
      <c r="B72" t="s">
        <v>973</v>
      </c>
      <c r="C72" t="s">
        <v>972</v>
      </c>
      <c r="D72" t="s">
        <v>186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8">
        <v>2E-3</v>
      </c>
    </row>
    <row r="73" spans="1:33">
      <c r="A73" t="s">
        <v>318</v>
      </c>
      <c r="B73" t="s">
        <v>971</v>
      </c>
      <c r="C73" t="s">
        <v>970</v>
      </c>
      <c r="D73" t="s">
        <v>186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8">
        <v>1.7999999999999999E-2</v>
      </c>
    </row>
    <row r="74" spans="1:33">
      <c r="A74" t="s">
        <v>319</v>
      </c>
      <c r="B74" t="s">
        <v>969</v>
      </c>
      <c r="C74" t="s">
        <v>968</v>
      </c>
      <c r="D74" t="s">
        <v>186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8">
        <v>1.4999999999999999E-2</v>
      </c>
    </row>
    <row r="75" spans="1:33">
      <c r="A75" t="s">
        <v>320</v>
      </c>
      <c r="B75" t="s">
        <v>967</v>
      </c>
      <c r="C75" t="s">
        <v>966</v>
      </c>
      <c r="D75" t="s">
        <v>186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8">
        <v>1.7999999999999999E-2</v>
      </c>
    </row>
    <row r="76" spans="1:33">
      <c r="A76" t="s">
        <v>639</v>
      </c>
      <c r="B76" t="s">
        <v>965</v>
      </c>
      <c r="C76" t="s">
        <v>964</v>
      </c>
      <c r="D76" t="s">
        <v>186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8">
        <v>-4.2000000000000003E-2</v>
      </c>
    </row>
    <row r="77" spans="1:33">
      <c r="A77" t="s">
        <v>198</v>
      </c>
      <c r="B77" t="s">
        <v>963</v>
      </c>
      <c r="C77" t="s">
        <v>962</v>
      </c>
      <c r="D77" t="s">
        <v>186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8">
        <v>2.5999999999999999E-2</v>
      </c>
    </row>
    <row r="78" spans="1:33">
      <c r="A78" t="s">
        <v>321</v>
      </c>
      <c r="B78" t="s">
        <v>961</v>
      </c>
      <c r="C78" t="s">
        <v>960</v>
      </c>
      <c r="D78" t="s">
        <v>186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8">
        <v>3.5000000000000003E-2</v>
      </c>
    </row>
    <row r="79" spans="1:33">
      <c r="A79" t="s">
        <v>632</v>
      </c>
      <c r="B79" t="s">
        <v>959</v>
      </c>
      <c r="C79" t="s">
        <v>958</v>
      </c>
      <c r="D79" t="s">
        <v>186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8">
        <v>1.2999999999999999E-2</v>
      </c>
    </row>
    <row r="80" spans="1:33">
      <c r="A80" t="s">
        <v>322</v>
      </c>
      <c r="B80" t="s">
        <v>957</v>
      </c>
      <c r="C80" t="s">
        <v>956</v>
      </c>
      <c r="D80" t="s">
        <v>186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8">
        <v>-0.02</v>
      </c>
    </row>
    <row r="81" spans="1:33">
      <c r="A81" t="s">
        <v>197</v>
      </c>
      <c r="B81" t="s">
        <v>955</v>
      </c>
      <c r="C81" t="s">
        <v>954</v>
      </c>
      <c r="D81" t="s">
        <v>186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8">
        <v>3.6999999999999998E-2</v>
      </c>
    </row>
    <row r="82" spans="1:33">
      <c r="A82" t="s">
        <v>323</v>
      </c>
      <c r="B82" t="s">
        <v>953</v>
      </c>
      <c r="C82" t="s">
        <v>952</v>
      </c>
      <c r="D82" t="s">
        <v>186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8">
        <v>8.9999999999999993E-3</v>
      </c>
    </row>
    <row r="83" spans="1:33">
      <c r="A83" t="s">
        <v>623</v>
      </c>
      <c r="B83" t="s">
        <v>951</v>
      </c>
      <c r="C83" t="s">
        <v>950</v>
      </c>
      <c r="D83" t="s">
        <v>186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8">
        <v>3.5000000000000003E-2</v>
      </c>
    </row>
    <row r="84" spans="1:33">
      <c r="A84" t="s">
        <v>324</v>
      </c>
      <c r="B84" t="s">
        <v>949</v>
      </c>
      <c r="C84" t="s">
        <v>946</v>
      </c>
      <c r="D84" t="s">
        <v>186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8">
        <v>1.6E-2</v>
      </c>
    </row>
    <row r="85" spans="1:33">
      <c r="A85" t="s">
        <v>325</v>
      </c>
      <c r="B85" t="s">
        <v>948</v>
      </c>
      <c r="C85" t="s">
        <v>946</v>
      </c>
      <c r="D85" t="s">
        <v>186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8">
        <v>2.1999999999999999E-2</v>
      </c>
    </row>
    <row r="86" spans="1:33">
      <c r="A86" t="s">
        <v>110</v>
      </c>
      <c r="B86" t="s">
        <v>947</v>
      </c>
      <c r="C86" t="s">
        <v>946</v>
      </c>
      <c r="D86" t="s">
        <v>186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8">
        <v>2.1000000000000001E-2</v>
      </c>
    </row>
    <row r="87" spans="1:33">
      <c r="A87" t="s">
        <v>111</v>
      </c>
    </row>
    <row r="88" spans="1:33">
      <c r="A88" t="s">
        <v>195</v>
      </c>
      <c r="B88" t="s">
        <v>945</v>
      </c>
      <c r="C88" t="s">
        <v>944</v>
      </c>
      <c r="D88" t="s">
        <v>186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8">
        <v>1.7999999999999999E-2</v>
      </c>
    </row>
    <row r="89" spans="1:33">
      <c r="A89" t="s">
        <v>201</v>
      </c>
      <c r="B89" t="s">
        <v>943</v>
      </c>
      <c r="C89" t="s">
        <v>942</v>
      </c>
      <c r="D89" t="s">
        <v>186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8">
        <v>1.7000000000000001E-2</v>
      </c>
    </row>
    <row r="90" spans="1:33">
      <c r="A90" t="s">
        <v>202</v>
      </c>
      <c r="B90" t="s">
        <v>941</v>
      </c>
      <c r="C90" t="s">
        <v>940</v>
      </c>
      <c r="D90" t="s">
        <v>186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8">
        <v>1.9E-2</v>
      </c>
    </row>
    <row r="91" spans="1:33">
      <c r="A91" t="s">
        <v>203</v>
      </c>
      <c r="B91" t="s">
        <v>939</v>
      </c>
      <c r="C91" t="s">
        <v>938</v>
      </c>
      <c r="D91" t="s">
        <v>186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8">
        <v>1.7000000000000001E-2</v>
      </c>
    </row>
    <row r="92" spans="1:33">
      <c r="A92" t="s">
        <v>196</v>
      </c>
      <c r="B92" t="s">
        <v>937</v>
      </c>
      <c r="C92" t="s">
        <v>936</v>
      </c>
      <c r="D92" t="s">
        <v>186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8">
        <v>2.1000000000000001E-2</v>
      </c>
    </row>
    <row r="93" spans="1:33">
      <c r="A93" t="s">
        <v>201</v>
      </c>
      <c r="B93" t="s">
        <v>935</v>
      </c>
      <c r="C93" t="s">
        <v>934</v>
      </c>
      <c r="D93" t="s">
        <v>186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8">
        <v>1.9E-2</v>
      </c>
    </row>
    <row r="94" spans="1:33">
      <c r="A94" t="s">
        <v>202</v>
      </c>
      <c r="B94" t="s">
        <v>933</v>
      </c>
      <c r="C94" t="s">
        <v>932</v>
      </c>
      <c r="D94" t="s">
        <v>186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8">
        <v>2.3E-2</v>
      </c>
    </row>
    <row r="95" spans="1:33">
      <c r="A95" t="s">
        <v>203</v>
      </c>
      <c r="B95" t="s">
        <v>931</v>
      </c>
      <c r="C95" t="s">
        <v>930</v>
      </c>
      <c r="D95" t="s">
        <v>186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8">
        <v>1.9E-2</v>
      </c>
    </row>
    <row r="96" spans="1:33">
      <c r="A96" t="s">
        <v>653</v>
      </c>
      <c r="B96" t="s">
        <v>929</v>
      </c>
      <c r="C96" t="s">
        <v>928</v>
      </c>
      <c r="D96" t="s">
        <v>186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8">
        <v>3.2000000000000001E-2</v>
      </c>
    </row>
    <row r="97" spans="1:33">
      <c r="A97" t="s">
        <v>201</v>
      </c>
      <c r="B97" t="s">
        <v>927</v>
      </c>
      <c r="C97" t="s">
        <v>926</v>
      </c>
      <c r="D97" t="s">
        <v>186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8">
        <v>3.2000000000000001E-2</v>
      </c>
    </row>
    <row r="98" spans="1:33">
      <c r="A98" t="s">
        <v>202</v>
      </c>
      <c r="B98" t="s">
        <v>925</v>
      </c>
      <c r="C98" t="s">
        <v>924</v>
      </c>
      <c r="D98" t="s">
        <v>186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8">
        <v>0.03</v>
      </c>
    </row>
    <row r="99" spans="1:33">
      <c r="A99" t="s">
        <v>203</v>
      </c>
      <c r="B99" t="s">
        <v>923</v>
      </c>
      <c r="C99" t="s">
        <v>922</v>
      </c>
      <c r="D99" t="s">
        <v>186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8">
        <v>3.3000000000000002E-2</v>
      </c>
    </row>
    <row r="100" spans="1:33">
      <c r="A100" t="s">
        <v>650</v>
      </c>
      <c r="B100" t="s">
        <v>921</v>
      </c>
      <c r="C100" t="s">
        <v>920</v>
      </c>
      <c r="D100" t="s">
        <v>186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8">
        <v>1.7999999999999999E-2</v>
      </c>
    </row>
    <row r="101" spans="1:33">
      <c r="A101" t="s">
        <v>201</v>
      </c>
      <c r="B101" t="s">
        <v>919</v>
      </c>
      <c r="C101" t="s">
        <v>918</v>
      </c>
      <c r="D101" t="s">
        <v>186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8">
        <v>0.02</v>
      </c>
    </row>
    <row r="102" spans="1:33">
      <c r="A102" t="s">
        <v>202</v>
      </c>
      <c r="B102" t="s">
        <v>917</v>
      </c>
      <c r="C102" t="s">
        <v>916</v>
      </c>
      <c r="D102" t="s">
        <v>186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8">
        <v>1.6E-2</v>
      </c>
    </row>
    <row r="103" spans="1:33">
      <c r="A103" t="s">
        <v>203</v>
      </c>
      <c r="B103" t="s">
        <v>915</v>
      </c>
      <c r="C103" t="s">
        <v>914</v>
      </c>
      <c r="D103" t="s">
        <v>186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8">
        <v>0.02</v>
      </c>
    </row>
    <row r="104" spans="1:33">
      <c r="A104" t="s">
        <v>317</v>
      </c>
      <c r="B104" t="s">
        <v>913</v>
      </c>
      <c r="C104" t="s">
        <v>912</v>
      </c>
      <c r="D104" t="s">
        <v>186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8">
        <v>-1E-3</v>
      </c>
    </row>
    <row r="105" spans="1:33">
      <c r="A105" t="s">
        <v>201</v>
      </c>
      <c r="B105" t="s">
        <v>911</v>
      </c>
      <c r="C105" t="s">
        <v>910</v>
      </c>
      <c r="D105" t="s">
        <v>186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8">
        <v>3.0000000000000001E-3</v>
      </c>
    </row>
    <row r="106" spans="1:33">
      <c r="A106" t="s">
        <v>202</v>
      </c>
      <c r="B106" t="s">
        <v>909</v>
      </c>
      <c r="C106" t="s">
        <v>908</v>
      </c>
      <c r="D106" t="s">
        <v>186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8">
        <v>-4.0000000000000001E-3</v>
      </c>
    </row>
    <row r="107" spans="1:33">
      <c r="A107" t="s">
        <v>203</v>
      </c>
      <c r="B107" t="s">
        <v>907</v>
      </c>
      <c r="C107" t="s">
        <v>906</v>
      </c>
      <c r="D107" t="s">
        <v>186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8">
        <v>4.0000000000000001E-3</v>
      </c>
    </row>
    <row r="108" spans="1:33">
      <c r="A108" t="s">
        <v>318</v>
      </c>
      <c r="B108" t="s">
        <v>905</v>
      </c>
      <c r="C108" t="s">
        <v>904</v>
      </c>
      <c r="D108" t="s">
        <v>186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8">
        <v>2.1999999999999999E-2</v>
      </c>
    </row>
    <row r="109" spans="1:33">
      <c r="A109" t="s">
        <v>201</v>
      </c>
      <c r="B109" t="s">
        <v>903</v>
      </c>
      <c r="C109" t="s">
        <v>902</v>
      </c>
      <c r="D109" t="s">
        <v>186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8">
        <v>2.1999999999999999E-2</v>
      </c>
    </row>
    <row r="110" spans="1:33">
      <c r="A110" t="s">
        <v>202</v>
      </c>
      <c r="B110" t="s">
        <v>901</v>
      </c>
      <c r="C110" t="s">
        <v>900</v>
      </c>
      <c r="D110" t="s">
        <v>186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8">
        <v>2.1999999999999999E-2</v>
      </c>
    </row>
    <row r="111" spans="1:33">
      <c r="A111" t="s">
        <v>203</v>
      </c>
      <c r="B111" t="s">
        <v>899</v>
      </c>
      <c r="C111" t="s">
        <v>898</v>
      </c>
      <c r="D111" t="s">
        <v>186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8">
        <v>2.1999999999999999E-2</v>
      </c>
    </row>
    <row r="112" spans="1:33">
      <c r="A112" t="s">
        <v>319</v>
      </c>
      <c r="B112" t="s">
        <v>897</v>
      </c>
      <c r="C112" t="s">
        <v>896</v>
      </c>
      <c r="D112" t="s">
        <v>186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8">
        <v>2.7E-2</v>
      </c>
    </row>
    <row r="113" spans="1:33">
      <c r="A113" t="s">
        <v>201</v>
      </c>
      <c r="B113" t="s">
        <v>895</v>
      </c>
      <c r="C113" t="s">
        <v>894</v>
      </c>
      <c r="D113" t="s">
        <v>186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8">
        <v>2.1999999999999999E-2</v>
      </c>
    </row>
    <row r="114" spans="1:33">
      <c r="A114" t="s">
        <v>202</v>
      </c>
      <c r="B114" t="s">
        <v>893</v>
      </c>
      <c r="C114" t="s">
        <v>892</v>
      </c>
      <c r="D114" t="s">
        <v>186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8">
        <v>2.8000000000000001E-2</v>
      </c>
    </row>
    <row r="115" spans="1:33">
      <c r="A115" t="s">
        <v>203</v>
      </c>
      <c r="B115" t="s">
        <v>891</v>
      </c>
      <c r="C115" t="s">
        <v>890</v>
      </c>
      <c r="D115" t="s">
        <v>186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8">
        <v>1.7999999999999999E-2</v>
      </c>
    </row>
    <row r="116" spans="1:33">
      <c r="A116" t="s">
        <v>320</v>
      </c>
      <c r="B116" t="s">
        <v>889</v>
      </c>
      <c r="C116" t="s">
        <v>888</v>
      </c>
      <c r="D116" t="s">
        <v>186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8">
        <v>2.7E-2</v>
      </c>
    </row>
    <row r="117" spans="1:33">
      <c r="A117" t="s">
        <v>201</v>
      </c>
      <c r="B117" t="s">
        <v>887</v>
      </c>
      <c r="C117" t="s">
        <v>886</v>
      </c>
      <c r="D117" t="s">
        <v>186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8">
        <v>2.3E-2</v>
      </c>
    </row>
    <row r="118" spans="1:33">
      <c r="A118" t="s">
        <v>202</v>
      </c>
      <c r="B118" t="s">
        <v>885</v>
      </c>
      <c r="C118" t="s">
        <v>884</v>
      </c>
      <c r="D118" t="s">
        <v>186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8">
        <v>0.04</v>
      </c>
    </row>
    <row r="119" spans="1:33">
      <c r="A119" t="s">
        <v>203</v>
      </c>
      <c r="B119" t="s">
        <v>883</v>
      </c>
      <c r="C119" t="s">
        <v>882</v>
      </c>
      <c r="D119" t="s">
        <v>186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8">
        <v>1.7000000000000001E-2</v>
      </c>
    </row>
    <row r="120" spans="1:33">
      <c r="A120" t="s">
        <v>639</v>
      </c>
      <c r="B120" t="s">
        <v>881</v>
      </c>
      <c r="C120" t="s">
        <v>880</v>
      </c>
      <c r="D120" t="s">
        <v>186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8">
        <v>3.3000000000000002E-2</v>
      </c>
    </row>
    <row r="121" spans="1:33">
      <c r="A121" t="s">
        <v>201</v>
      </c>
      <c r="B121" t="s">
        <v>879</v>
      </c>
      <c r="C121" t="s">
        <v>878</v>
      </c>
      <c r="D121" t="s">
        <v>186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8">
        <v>3.3000000000000002E-2</v>
      </c>
    </row>
    <row r="122" spans="1:33">
      <c r="A122" t="s">
        <v>202</v>
      </c>
      <c r="B122" t="s">
        <v>877</v>
      </c>
      <c r="C122" t="s">
        <v>876</v>
      </c>
      <c r="D122" t="s">
        <v>186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8">
        <v>3.3000000000000002E-2</v>
      </c>
    </row>
    <row r="123" spans="1:33">
      <c r="A123" t="s">
        <v>203</v>
      </c>
      <c r="B123" t="s">
        <v>875</v>
      </c>
      <c r="C123" t="s">
        <v>874</v>
      </c>
      <c r="D123" t="s">
        <v>186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8">
        <v>3.2000000000000001E-2</v>
      </c>
    </row>
    <row r="124" spans="1:33">
      <c r="A124" t="s">
        <v>198</v>
      </c>
      <c r="B124" t="s">
        <v>873</v>
      </c>
      <c r="C124" t="s">
        <v>872</v>
      </c>
      <c r="D124" t="s">
        <v>186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8">
        <v>4.2000000000000003E-2</v>
      </c>
    </row>
    <row r="125" spans="1:33">
      <c r="A125" t="s">
        <v>201</v>
      </c>
      <c r="B125" t="s">
        <v>871</v>
      </c>
      <c r="C125" t="s">
        <v>870</v>
      </c>
      <c r="D125" t="s">
        <v>186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8">
        <v>4.2999999999999997E-2</v>
      </c>
    </row>
    <row r="126" spans="1:33">
      <c r="A126" t="s">
        <v>202</v>
      </c>
      <c r="B126" t="s">
        <v>869</v>
      </c>
      <c r="C126" t="s">
        <v>868</v>
      </c>
      <c r="D126" t="s">
        <v>186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8">
        <v>4.1000000000000002E-2</v>
      </c>
    </row>
    <row r="127" spans="1:33">
      <c r="A127" t="s">
        <v>203</v>
      </c>
      <c r="B127" t="s">
        <v>867</v>
      </c>
      <c r="C127" t="s">
        <v>866</v>
      </c>
      <c r="D127" t="s">
        <v>186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8">
        <v>4.2999999999999997E-2</v>
      </c>
    </row>
    <row r="128" spans="1:33">
      <c r="A128" t="s">
        <v>321</v>
      </c>
      <c r="B128" t="s">
        <v>865</v>
      </c>
      <c r="C128" t="s">
        <v>864</v>
      </c>
      <c r="D128" t="s">
        <v>186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8">
        <v>5.5E-2</v>
      </c>
    </row>
    <row r="129" spans="1:33">
      <c r="A129" t="s">
        <v>201</v>
      </c>
      <c r="B129" t="s">
        <v>863</v>
      </c>
      <c r="C129" t="s">
        <v>862</v>
      </c>
      <c r="D129" t="s">
        <v>186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8">
        <v>5.6000000000000001E-2</v>
      </c>
    </row>
    <row r="130" spans="1:33">
      <c r="A130" t="s">
        <v>202</v>
      </c>
      <c r="B130" t="s">
        <v>861</v>
      </c>
      <c r="C130" t="s">
        <v>860</v>
      </c>
      <c r="D130" t="s">
        <v>186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8">
        <v>0.05</v>
      </c>
    </row>
    <row r="131" spans="1:33">
      <c r="A131" t="s">
        <v>203</v>
      </c>
      <c r="B131" t="s">
        <v>859</v>
      </c>
      <c r="C131" t="s">
        <v>858</v>
      </c>
      <c r="D131" t="s">
        <v>186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8">
        <v>0.06</v>
      </c>
    </row>
    <row r="132" spans="1:33">
      <c r="A132" t="s">
        <v>632</v>
      </c>
      <c r="B132" t="s">
        <v>857</v>
      </c>
      <c r="C132" t="s">
        <v>856</v>
      </c>
      <c r="D132" t="s">
        <v>186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8">
        <v>3.9E-2</v>
      </c>
    </row>
    <row r="133" spans="1:33">
      <c r="A133" t="s">
        <v>201</v>
      </c>
      <c r="B133" t="s">
        <v>855</v>
      </c>
      <c r="C133" t="s">
        <v>854</v>
      </c>
      <c r="D133" t="s">
        <v>186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8">
        <v>0.04</v>
      </c>
    </row>
    <row r="134" spans="1:33">
      <c r="A134" t="s">
        <v>202</v>
      </c>
      <c r="B134" t="s">
        <v>853</v>
      </c>
      <c r="C134" t="s">
        <v>852</v>
      </c>
      <c r="D134" t="s">
        <v>186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8">
        <v>3.7999999999999999E-2</v>
      </c>
    </row>
    <row r="135" spans="1:33">
      <c r="A135" t="s">
        <v>203</v>
      </c>
      <c r="B135" t="s">
        <v>851</v>
      </c>
      <c r="C135" t="s">
        <v>850</v>
      </c>
      <c r="D135" t="s">
        <v>186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8">
        <v>4.1000000000000002E-2</v>
      </c>
    </row>
    <row r="136" spans="1:33">
      <c r="A136" t="s">
        <v>322</v>
      </c>
      <c r="B136" t="s">
        <v>849</v>
      </c>
      <c r="C136" t="s">
        <v>848</v>
      </c>
      <c r="D136" t="s">
        <v>186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8">
        <v>3.9E-2</v>
      </c>
    </row>
    <row r="137" spans="1:33">
      <c r="A137" t="s">
        <v>201</v>
      </c>
      <c r="B137" t="s">
        <v>847</v>
      </c>
      <c r="C137" t="s">
        <v>846</v>
      </c>
      <c r="D137" t="s">
        <v>186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8">
        <v>3.7999999999999999E-2</v>
      </c>
    </row>
    <row r="138" spans="1:33">
      <c r="A138" t="s">
        <v>202</v>
      </c>
      <c r="B138" t="s">
        <v>845</v>
      </c>
      <c r="C138" t="s">
        <v>844</v>
      </c>
      <c r="D138" t="s">
        <v>186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8">
        <v>3.9E-2</v>
      </c>
    </row>
    <row r="139" spans="1:33">
      <c r="A139" t="s">
        <v>203</v>
      </c>
      <c r="B139" t="s">
        <v>843</v>
      </c>
      <c r="C139" t="s">
        <v>842</v>
      </c>
      <c r="D139" t="s">
        <v>186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8">
        <v>3.5000000000000003E-2</v>
      </c>
    </row>
    <row r="140" spans="1:33">
      <c r="A140" t="s">
        <v>197</v>
      </c>
      <c r="B140" t="s">
        <v>841</v>
      </c>
      <c r="C140" t="s">
        <v>840</v>
      </c>
      <c r="D140" t="s">
        <v>186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8">
        <v>0.04</v>
      </c>
    </row>
    <row r="141" spans="1:33">
      <c r="A141" t="s">
        <v>201</v>
      </c>
      <c r="B141" t="s">
        <v>839</v>
      </c>
      <c r="C141" t="s">
        <v>838</v>
      </c>
      <c r="D141" t="s">
        <v>186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8">
        <v>4.1000000000000002E-2</v>
      </c>
    </row>
    <row r="142" spans="1:33">
      <c r="A142" t="s">
        <v>202</v>
      </c>
      <c r="B142" t="s">
        <v>837</v>
      </c>
      <c r="C142" t="s">
        <v>836</v>
      </c>
      <c r="D142" t="s">
        <v>186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8">
        <v>3.9E-2</v>
      </c>
    </row>
    <row r="143" spans="1:33">
      <c r="A143" t="s">
        <v>203</v>
      </c>
      <c r="B143" t="s">
        <v>835</v>
      </c>
      <c r="C143" t="s">
        <v>834</v>
      </c>
      <c r="D143" t="s">
        <v>186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8">
        <v>4.2000000000000003E-2</v>
      </c>
    </row>
    <row r="144" spans="1:33">
      <c r="A144" t="s">
        <v>323</v>
      </c>
      <c r="B144" t="s">
        <v>833</v>
      </c>
      <c r="C144" t="s">
        <v>832</v>
      </c>
      <c r="D144" t="s">
        <v>186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8">
        <v>1.4999999999999999E-2</v>
      </c>
    </row>
    <row r="145" spans="1:33">
      <c r="A145" t="s">
        <v>201</v>
      </c>
      <c r="B145" t="s">
        <v>831</v>
      </c>
      <c r="C145" t="s">
        <v>830</v>
      </c>
      <c r="D145" t="s">
        <v>186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8">
        <v>1.4999999999999999E-2</v>
      </c>
    </row>
    <row r="146" spans="1:33">
      <c r="A146" t="s">
        <v>202</v>
      </c>
      <c r="B146" t="s">
        <v>829</v>
      </c>
      <c r="C146" t="s">
        <v>828</v>
      </c>
      <c r="D146" t="s">
        <v>186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8">
        <v>1.4E-2</v>
      </c>
    </row>
    <row r="147" spans="1:33">
      <c r="A147" t="s">
        <v>203</v>
      </c>
      <c r="B147" t="s">
        <v>827</v>
      </c>
      <c r="C147" t="s">
        <v>826</v>
      </c>
      <c r="D147" t="s">
        <v>186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8">
        <v>1.4999999999999999E-2</v>
      </c>
    </row>
    <row r="148" spans="1:33">
      <c r="A148" t="s">
        <v>623</v>
      </c>
      <c r="B148" t="s">
        <v>825</v>
      </c>
      <c r="C148" t="s">
        <v>824</v>
      </c>
      <c r="D148" t="s">
        <v>186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8">
        <v>2.5999999999999999E-2</v>
      </c>
    </row>
    <row r="149" spans="1:33">
      <c r="A149" t="s">
        <v>201</v>
      </c>
      <c r="B149" t="s">
        <v>823</v>
      </c>
      <c r="C149" t="s">
        <v>822</v>
      </c>
      <c r="D149" t="s">
        <v>186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8">
        <v>2.5000000000000001E-2</v>
      </c>
    </row>
    <row r="150" spans="1:33">
      <c r="A150" t="s">
        <v>202</v>
      </c>
      <c r="B150" t="s">
        <v>821</v>
      </c>
      <c r="C150" t="s">
        <v>820</v>
      </c>
      <c r="D150" t="s">
        <v>186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8">
        <v>2.7E-2</v>
      </c>
    </row>
    <row r="151" spans="1:33">
      <c r="A151" t="s">
        <v>203</v>
      </c>
      <c r="B151" t="s">
        <v>819</v>
      </c>
      <c r="C151" t="s">
        <v>818</v>
      </c>
      <c r="D151" t="s">
        <v>186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8">
        <v>2.4E-2</v>
      </c>
    </row>
    <row r="152" spans="1:33">
      <c r="A152" t="s">
        <v>326</v>
      </c>
      <c r="B152" t="s">
        <v>817</v>
      </c>
      <c r="C152" t="s">
        <v>816</v>
      </c>
      <c r="D152" t="s">
        <v>186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8">
        <v>2.9000000000000001E-2</v>
      </c>
    </row>
    <row r="153" spans="1:33">
      <c r="A153" t="s">
        <v>327</v>
      </c>
      <c r="B153" t="s">
        <v>815</v>
      </c>
      <c r="C153" t="s">
        <v>814</v>
      </c>
      <c r="D153" t="s">
        <v>186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8">
        <v>2.9000000000000001E-2</v>
      </c>
    </row>
    <row r="154" spans="1:33">
      <c r="A154" t="s">
        <v>328</v>
      </c>
      <c r="B154" t="s">
        <v>813</v>
      </c>
      <c r="C154" t="s">
        <v>812</v>
      </c>
      <c r="D154" t="s">
        <v>186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8">
        <v>2.8000000000000001E-2</v>
      </c>
    </row>
    <row r="155" spans="1:33">
      <c r="A155" t="s">
        <v>110</v>
      </c>
      <c r="B155" t="s">
        <v>811</v>
      </c>
      <c r="C155" t="s">
        <v>810</v>
      </c>
      <c r="D155" t="s">
        <v>186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8">
        <v>2.9000000000000001E-2</v>
      </c>
    </row>
    <row r="156" spans="1:33">
      <c r="A156" t="s">
        <v>276</v>
      </c>
    </row>
    <row r="157" spans="1:33">
      <c r="A157" t="s">
        <v>195</v>
      </c>
      <c r="B157" t="s">
        <v>809</v>
      </c>
      <c r="C157" t="s">
        <v>808</v>
      </c>
      <c r="D157" t="s">
        <v>184</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8">
        <v>5.0000000000000001E-3</v>
      </c>
    </row>
    <row r="158" spans="1:33">
      <c r="A158" t="s">
        <v>201</v>
      </c>
      <c r="B158" t="s">
        <v>807</v>
      </c>
      <c r="C158" t="s">
        <v>806</v>
      </c>
      <c r="D158" t="s">
        <v>184</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8">
        <v>7.0000000000000001E-3</v>
      </c>
    </row>
    <row r="159" spans="1:33">
      <c r="A159" t="s">
        <v>202</v>
      </c>
      <c r="B159" t="s">
        <v>805</v>
      </c>
      <c r="C159" t="s">
        <v>804</v>
      </c>
      <c r="D159" t="s">
        <v>184</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8">
        <v>-0.01</v>
      </c>
    </row>
    <row r="160" spans="1:33">
      <c r="A160" t="s">
        <v>203</v>
      </c>
      <c r="B160" t="s">
        <v>803</v>
      </c>
      <c r="C160" t="s">
        <v>802</v>
      </c>
      <c r="D160" t="s">
        <v>184</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8">
        <v>1.0999999999999999E-2</v>
      </c>
    </row>
    <row r="161" spans="1:33">
      <c r="A161" t="s">
        <v>196</v>
      </c>
      <c r="B161" t="s">
        <v>801</v>
      </c>
      <c r="C161" t="s">
        <v>800</v>
      </c>
      <c r="D161" t="s">
        <v>184</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8">
        <v>6.0000000000000001E-3</v>
      </c>
    </row>
    <row r="162" spans="1:33">
      <c r="A162" t="s">
        <v>201</v>
      </c>
      <c r="B162" t="s">
        <v>799</v>
      </c>
      <c r="C162" t="s">
        <v>798</v>
      </c>
      <c r="D162" t="s">
        <v>184</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8">
        <v>2.7E-2</v>
      </c>
    </row>
    <row r="163" spans="1:33">
      <c r="A163" t="s">
        <v>202</v>
      </c>
      <c r="B163" t="s">
        <v>797</v>
      </c>
      <c r="C163" t="s">
        <v>796</v>
      </c>
      <c r="D163" t="s">
        <v>184</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8">
        <v>1.2E-2</v>
      </c>
    </row>
    <row r="164" spans="1:33">
      <c r="A164" t="s">
        <v>203</v>
      </c>
      <c r="B164" t="s">
        <v>795</v>
      </c>
      <c r="C164" t="s">
        <v>794</v>
      </c>
      <c r="D164" t="s">
        <v>184</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8">
        <v>-8.9999999999999993E-3</v>
      </c>
    </row>
    <row r="165" spans="1:33">
      <c r="A165" t="s">
        <v>653</v>
      </c>
      <c r="B165" t="s">
        <v>793</v>
      </c>
      <c r="C165" t="s">
        <v>792</v>
      </c>
      <c r="D165" t="s">
        <v>184</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8">
        <v>3.6999999999999998E-2</v>
      </c>
    </row>
    <row r="166" spans="1:33">
      <c r="A166" t="s">
        <v>201</v>
      </c>
      <c r="B166" t="s">
        <v>791</v>
      </c>
      <c r="C166" t="s">
        <v>790</v>
      </c>
      <c r="D166" t="s">
        <v>184</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8">
        <v>0.04</v>
      </c>
    </row>
    <row r="167" spans="1:33">
      <c r="A167" t="s">
        <v>202</v>
      </c>
      <c r="B167" t="s">
        <v>789</v>
      </c>
      <c r="C167" t="s">
        <v>788</v>
      </c>
      <c r="D167" t="s">
        <v>184</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8">
        <v>2.8000000000000001E-2</v>
      </c>
    </row>
    <row r="168" spans="1:33">
      <c r="A168" t="s">
        <v>203</v>
      </c>
      <c r="B168" t="s">
        <v>787</v>
      </c>
      <c r="C168" t="s">
        <v>786</v>
      </c>
      <c r="D168" t="s">
        <v>184</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8">
        <v>3.1E-2</v>
      </c>
    </row>
    <row r="169" spans="1:33">
      <c r="A169" t="s">
        <v>650</v>
      </c>
      <c r="B169" t="s">
        <v>785</v>
      </c>
      <c r="C169" t="s">
        <v>784</v>
      </c>
      <c r="D169" t="s">
        <v>184</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8">
        <v>4.8000000000000001E-2</v>
      </c>
    </row>
    <row r="170" spans="1:33">
      <c r="A170" t="s">
        <v>201</v>
      </c>
      <c r="B170" t="s">
        <v>783</v>
      </c>
      <c r="C170" t="s">
        <v>782</v>
      </c>
      <c r="D170" t="s">
        <v>184</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8">
        <v>6.4000000000000001E-2</v>
      </c>
    </row>
    <row r="171" spans="1:33">
      <c r="A171" t="s">
        <v>202</v>
      </c>
      <c r="B171" t="s">
        <v>781</v>
      </c>
      <c r="C171" t="s">
        <v>780</v>
      </c>
      <c r="D171" t="s">
        <v>184</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8">
        <v>6.4000000000000001E-2</v>
      </c>
    </row>
    <row r="172" spans="1:33">
      <c r="A172" t="s">
        <v>203</v>
      </c>
      <c r="B172" t="s">
        <v>779</v>
      </c>
      <c r="C172" t="s">
        <v>778</v>
      </c>
      <c r="D172" t="s">
        <v>184</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8">
        <v>1.6E-2</v>
      </c>
    </row>
    <row r="173" spans="1:33">
      <c r="A173" t="s">
        <v>317</v>
      </c>
      <c r="B173" t="s">
        <v>777</v>
      </c>
      <c r="C173" t="s">
        <v>776</v>
      </c>
      <c r="D173" t="s">
        <v>184</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8">
        <v>-0.01</v>
      </c>
    </row>
    <row r="174" spans="1:33">
      <c r="A174" t="s">
        <v>201</v>
      </c>
      <c r="B174" t="s">
        <v>775</v>
      </c>
      <c r="C174" t="s">
        <v>774</v>
      </c>
      <c r="D174" t="s">
        <v>184</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8">
        <v>0.08</v>
      </c>
    </row>
    <row r="175" spans="1:33">
      <c r="A175" t="s">
        <v>202</v>
      </c>
      <c r="B175" t="s">
        <v>773</v>
      </c>
      <c r="C175" t="s">
        <v>772</v>
      </c>
      <c r="D175" t="s">
        <v>184</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8">
        <v>-3.6999999999999998E-2</v>
      </c>
    </row>
    <row r="176" spans="1:33">
      <c r="A176" t="s">
        <v>203</v>
      </c>
      <c r="B176" t="s">
        <v>771</v>
      </c>
      <c r="C176" t="s">
        <v>770</v>
      </c>
      <c r="D176" t="s">
        <v>184</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109</v>
      </c>
    </row>
    <row r="177" spans="1:33">
      <c r="A177" t="s">
        <v>318</v>
      </c>
      <c r="B177" t="s">
        <v>769</v>
      </c>
      <c r="C177" t="s">
        <v>768</v>
      </c>
      <c r="D177" t="s">
        <v>184</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8">
        <v>2.4E-2</v>
      </c>
    </row>
    <row r="178" spans="1:33">
      <c r="A178" t="s">
        <v>201</v>
      </c>
      <c r="B178" t="s">
        <v>767</v>
      </c>
      <c r="C178" t="s">
        <v>766</v>
      </c>
      <c r="D178" t="s">
        <v>184</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8">
        <v>1.7999999999999999E-2</v>
      </c>
    </row>
    <row r="179" spans="1:33">
      <c r="A179" t="s">
        <v>202</v>
      </c>
      <c r="B179" t="s">
        <v>765</v>
      </c>
      <c r="C179" t="s">
        <v>764</v>
      </c>
      <c r="D179" t="s">
        <v>184</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8">
        <v>2.4E-2</v>
      </c>
    </row>
    <row r="180" spans="1:33">
      <c r="A180" t="s">
        <v>203</v>
      </c>
      <c r="B180" t="s">
        <v>763</v>
      </c>
      <c r="C180" t="s">
        <v>762</v>
      </c>
      <c r="D180" t="s">
        <v>184</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8">
        <v>3.4000000000000002E-2</v>
      </c>
    </row>
    <row r="181" spans="1:33">
      <c r="A181" t="s">
        <v>319</v>
      </c>
      <c r="B181" t="s">
        <v>761</v>
      </c>
      <c r="C181" t="s">
        <v>760</v>
      </c>
      <c r="D181" t="s">
        <v>184</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8">
        <v>-8.9999999999999993E-3</v>
      </c>
    </row>
    <row r="182" spans="1:33">
      <c r="A182" t="s">
        <v>201</v>
      </c>
      <c r="B182" t="s">
        <v>759</v>
      </c>
      <c r="C182" t="s">
        <v>758</v>
      </c>
      <c r="D182" t="s">
        <v>184</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8">
        <v>3.4000000000000002E-2</v>
      </c>
    </row>
    <row r="183" spans="1:33">
      <c r="A183" t="s">
        <v>202</v>
      </c>
      <c r="B183" t="s">
        <v>757</v>
      </c>
      <c r="C183" t="s">
        <v>756</v>
      </c>
      <c r="D183" t="s">
        <v>184</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8">
        <v>-2.5000000000000001E-2</v>
      </c>
    </row>
    <row r="184" spans="1:33">
      <c r="A184" t="s">
        <v>203</v>
      </c>
      <c r="B184" t="s">
        <v>755</v>
      </c>
      <c r="C184" t="s">
        <v>754</v>
      </c>
      <c r="D184" t="s">
        <v>184</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8">
        <v>7.0000000000000001E-3</v>
      </c>
    </row>
    <row r="185" spans="1:33">
      <c r="A185" t="s">
        <v>320</v>
      </c>
      <c r="B185" t="s">
        <v>753</v>
      </c>
      <c r="C185" t="s">
        <v>752</v>
      </c>
      <c r="D185" t="s">
        <v>184</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8">
        <v>-0.01</v>
      </c>
    </row>
    <row r="186" spans="1:33">
      <c r="A186" t="s">
        <v>201</v>
      </c>
      <c r="B186" t="s">
        <v>751</v>
      </c>
      <c r="C186" t="s">
        <v>750</v>
      </c>
      <c r="D186" t="s">
        <v>184</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8">
        <v>-1.2E-2</v>
      </c>
    </row>
    <row r="187" spans="1:33">
      <c r="A187" t="s">
        <v>202</v>
      </c>
      <c r="B187" t="s">
        <v>749</v>
      </c>
      <c r="C187" t="s">
        <v>748</v>
      </c>
      <c r="D187" t="s">
        <v>184</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8">
        <v>-2E-3</v>
      </c>
    </row>
    <row r="188" spans="1:33">
      <c r="A188" t="s">
        <v>203</v>
      </c>
      <c r="B188" t="s">
        <v>747</v>
      </c>
      <c r="C188" t="s">
        <v>746</v>
      </c>
      <c r="D188" t="s">
        <v>184</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8">
        <v>-6.0000000000000001E-3</v>
      </c>
    </row>
    <row r="189" spans="1:33">
      <c r="A189" t="s">
        <v>639</v>
      </c>
      <c r="B189" t="s">
        <v>745</v>
      </c>
      <c r="C189" t="s">
        <v>744</v>
      </c>
      <c r="D189" t="s">
        <v>184</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8">
        <v>2.1999999999999999E-2</v>
      </c>
    </row>
    <row r="190" spans="1:33">
      <c r="A190" t="s">
        <v>201</v>
      </c>
      <c r="B190" t="s">
        <v>743</v>
      </c>
      <c r="C190" t="s">
        <v>742</v>
      </c>
      <c r="D190" t="s">
        <v>184</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8">
        <v>2.1000000000000001E-2</v>
      </c>
    </row>
    <row r="191" spans="1:33">
      <c r="A191" t="s">
        <v>202</v>
      </c>
      <c r="B191" t="s">
        <v>741</v>
      </c>
      <c r="C191" t="s">
        <v>740</v>
      </c>
      <c r="D191" t="s">
        <v>184</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8">
        <v>2.5999999999999999E-2</v>
      </c>
    </row>
    <row r="192" spans="1:33">
      <c r="A192" t="s">
        <v>203</v>
      </c>
      <c r="B192" t="s">
        <v>739</v>
      </c>
      <c r="C192" t="s">
        <v>738</v>
      </c>
      <c r="D192" t="s">
        <v>184</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8">
        <v>2.1999999999999999E-2</v>
      </c>
    </row>
    <row r="193" spans="1:33">
      <c r="A193" t="s">
        <v>198</v>
      </c>
      <c r="B193" t="s">
        <v>737</v>
      </c>
      <c r="C193" t="s">
        <v>736</v>
      </c>
      <c r="D193" t="s">
        <v>184</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8">
        <v>1.9E-2</v>
      </c>
    </row>
    <row r="194" spans="1:33">
      <c r="A194" t="s">
        <v>201</v>
      </c>
      <c r="B194" t="s">
        <v>735</v>
      </c>
      <c r="C194" t="s">
        <v>734</v>
      </c>
      <c r="D194" t="s">
        <v>184</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8">
        <v>3.1E-2</v>
      </c>
    </row>
    <row r="195" spans="1:33">
      <c r="A195" t="s">
        <v>202</v>
      </c>
      <c r="B195" t="s">
        <v>733</v>
      </c>
      <c r="C195" t="s">
        <v>732</v>
      </c>
      <c r="D195" t="s">
        <v>184</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8">
        <v>-1.2E-2</v>
      </c>
    </row>
    <row r="196" spans="1:33">
      <c r="A196" t="s">
        <v>203</v>
      </c>
      <c r="B196" t="s">
        <v>731</v>
      </c>
      <c r="C196" t="s">
        <v>730</v>
      </c>
      <c r="D196" t="s">
        <v>184</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8">
        <v>0.03</v>
      </c>
    </row>
    <row r="197" spans="1:33">
      <c r="A197" t="s">
        <v>321</v>
      </c>
      <c r="B197" t="s">
        <v>729</v>
      </c>
      <c r="C197" t="s">
        <v>728</v>
      </c>
      <c r="D197" t="s">
        <v>184</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8">
        <v>4.5999999999999999E-2</v>
      </c>
    </row>
    <row r="198" spans="1:33">
      <c r="A198" t="s">
        <v>201</v>
      </c>
      <c r="B198" t="s">
        <v>727</v>
      </c>
      <c r="C198" t="s">
        <v>726</v>
      </c>
      <c r="D198" t="s">
        <v>184</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8">
        <v>4.7E-2</v>
      </c>
    </row>
    <row r="199" spans="1:33">
      <c r="A199" t="s">
        <v>202</v>
      </c>
      <c r="B199" t="s">
        <v>725</v>
      </c>
      <c r="C199" t="s">
        <v>724</v>
      </c>
      <c r="D199" t="s">
        <v>184</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8">
        <v>4.2000000000000003E-2</v>
      </c>
    </row>
    <row r="200" spans="1:33">
      <c r="A200" t="s">
        <v>203</v>
      </c>
      <c r="B200" t="s">
        <v>723</v>
      </c>
      <c r="C200" t="s">
        <v>722</v>
      </c>
      <c r="D200" t="s">
        <v>184</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8">
        <v>4.1000000000000002E-2</v>
      </c>
    </row>
    <row r="201" spans="1:33">
      <c r="A201" t="s">
        <v>632</v>
      </c>
      <c r="B201" t="s">
        <v>721</v>
      </c>
      <c r="C201" t="s">
        <v>720</v>
      </c>
      <c r="D201" t="s">
        <v>184</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8">
        <v>1.9E-2</v>
      </c>
    </row>
    <row r="202" spans="1:33">
      <c r="A202" t="s">
        <v>201</v>
      </c>
      <c r="B202" t="s">
        <v>719</v>
      </c>
      <c r="C202" t="s">
        <v>718</v>
      </c>
      <c r="D202" t="s">
        <v>184</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8">
        <v>5.1999999999999998E-2</v>
      </c>
    </row>
    <row r="203" spans="1:33">
      <c r="A203" t="s">
        <v>202</v>
      </c>
      <c r="B203" t="s">
        <v>717</v>
      </c>
      <c r="C203" t="s">
        <v>716</v>
      </c>
      <c r="D203" t="s">
        <v>184</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8">
        <v>-7.0000000000000001E-3</v>
      </c>
    </row>
    <row r="204" spans="1:33">
      <c r="A204" t="s">
        <v>203</v>
      </c>
      <c r="B204" t="s">
        <v>715</v>
      </c>
      <c r="C204" t="s">
        <v>714</v>
      </c>
      <c r="D204" t="s">
        <v>184</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8">
        <v>0.01</v>
      </c>
    </row>
    <row r="205" spans="1:33">
      <c r="A205" t="s">
        <v>322</v>
      </c>
      <c r="B205" t="s">
        <v>713</v>
      </c>
      <c r="C205" t="s">
        <v>712</v>
      </c>
      <c r="D205" t="s">
        <v>184</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8">
        <v>3.5999999999999997E-2</v>
      </c>
    </row>
    <row r="206" spans="1:33">
      <c r="A206" t="s">
        <v>201</v>
      </c>
      <c r="B206" t="s">
        <v>711</v>
      </c>
      <c r="C206" t="s">
        <v>710</v>
      </c>
      <c r="D206" t="s">
        <v>184</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8">
        <v>3.5000000000000003E-2</v>
      </c>
    </row>
    <row r="207" spans="1:33">
      <c r="A207" t="s">
        <v>202</v>
      </c>
      <c r="B207" t="s">
        <v>709</v>
      </c>
      <c r="C207" t="s">
        <v>708</v>
      </c>
      <c r="D207" t="s">
        <v>184</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8">
        <v>3.5999999999999997E-2</v>
      </c>
    </row>
    <row r="208" spans="1:33">
      <c r="A208" t="s">
        <v>203</v>
      </c>
      <c r="B208" t="s">
        <v>707</v>
      </c>
      <c r="C208" t="s">
        <v>706</v>
      </c>
      <c r="D208" t="s">
        <v>184</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8">
        <v>3.2000000000000001E-2</v>
      </c>
    </row>
    <row r="209" spans="1:33">
      <c r="A209" t="s">
        <v>197</v>
      </c>
      <c r="B209" t="s">
        <v>705</v>
      </c>
      <c r="C209" t="s">
        <v>704</v>
      </c>
      <c r="D209" t="s">
        <v>184</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8">
        <v>4.7E-2</v>
      </c>
    </row>
    <row r="210" spans="1:33">
      <c r="A210" t="s">
        <v>201</v>
      </c>
      <c r="B210" t="s">
        <v>703</v>
      </c>
      <c r="C210" t="s">
        <v>702</v>
      </c>
      <c r="D210" t="s">
        <v>184</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8">
        <v>3.6999999999999998E-2</v>
      </c>
    </row>
    <row r="211" spans="1:33">
      <c r="A211" t="s">
        <v>202</v>
      </c>
      <c r="B211" t="s">
        <v>701</v>
      </c>
      <c r="C211" t="s">
        <v>700</v>
      </c>
      <c r="D211" t="s">
        <v>184</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8">
        <v>4.9000000000000002E-2</v>
      </c>
    </row>
    <row r="212" spans="1:33">
      <c r="A212" t="s">
        <v>203</v>
      </c>
      <c r="B212" t="s">
        <v>699</v>
      </c>
      <c r="C212" t="s">
        <v>698</v>
      </c>
      <c r="D212" t="s">
        <v>184</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8">
        <v>5.8999999999999997E-2</v>
      </c>
    </row>
    <row r="213" spans="1:33">
      <c r="A213" t="s">
        <v>323</v>
      </c>
      <c r="B213" t="s">
        <v>697</v>
      </c>
      <c r="C213" t="s">
        <v>696</v>
      </c>
      <c r="D213" t="s">
        <v>184</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8">
        <v>7.0000000000000001E-3</v>
      </c>
    </row>
    <row r="214" spans="1:33">
      <c r="A214" t="s">
        <v>201</v>
      </c>
      <c r="B214" t="s">
        <v>695</v>
      </c>
      <c r="C214" t="s">
        <v>694</v>
      </c>
      <c r="D214" t="s">
        <v>184</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8">
        <v>6.0000000000000001E-3</v>
      </c>
    </row>
    <row r="215" spans="1:33">
      <c r="A215" t="s">
        <v>202</v>
      </c>
      <c r="B215" t="s">
        <v>693</v>
      </c>
      <c r="C215" t="s">
        <v>692</v>
      </c>
      <c r="D215" t="s">
        <v>184</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8">
        <v>2.8000000000000001E-2</v>
      </c>
    </row>
    <row r="216" spans="1:33">
      <c r="A216" t="s">
        <v>203</v>
      </c>
      <c r="B216" t="s">
        <v>691</v>
      </c>
      <c r="C216" t="s">
        <v>690</v>
      </c>
      <c r="D216" t="s">
        <v>184</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8">
        <v>4.0000000000000001E-3</v>
      </c>
    </row>
    <row r="217" spans="1:33">
      <c r="A217" t="s">
        <v>623</v>
      </c>
      <c r="B217" t="s">
        <v>689</v>
      </c>
      <c r="C217" t="s">
        <v>688</v>
      </c>
      <c r="D217" t="s">
        <v>184</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8">
        <v>4.3999999999999997E-2</v>
      </c>
    </row>
    <row r="218" spans="1:33">
      <c r="A218" t="s">
        <v>201</v>
      </c>
      <c r="B218" t="s">
        <v>687</v>
      </c>
      <c r="C218" t="s">
        <v>686</v>
      </c>
      <c r="D218" t="s">
        <v>184</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8">
        <v>4.5999999999999999E-2</v>
      </c>
    </row>
    <row r="219" spans="1:33">
      <c r="A219" t="s">
        <v>202</v>
      </c>
      <c r="B219" t="s">
        <v>685</v>
      </c>
      <c r="C219" t="s">
        <v>684</v>
      </c>
      <c r="D219" t="s">
        <v>184</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8">
        <v>7.8E-2</v>
      </c>
    </row>
    <row r="220" spans="1:33">
      <c r="A220" t="s">
        <v>203</v>
      </c>
      <c r="B220" t="s">
        <v>683</v>
      </c>
      <c r="C220" t="s">
        <v>682</v>
      </c>
      <c r="D220" t="s">
        <v>184</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8">
        <v>2.5999999999999999E-2</v>
      </c>
    </row>
    <row r="221" spans="1:33">
      <c r="A221" t="s">
        <v>326</v>
      </c>
      <c r="B221" t="s">
        <v>681</v>
      </c>
      <c r="C221" t="s">
        <v>680</v>
      </c>
      <c r="D221" t="s">
        <v>184</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8">
        <v>0.03</v>
      </c>
    </row>
    <row r="222" spans="1:33">
      <c r="A222" t="s">
        <v>327</v>
      </c>
      <c r="B222" t="s">
        <v>679</v>
      </c>
      <c r="C222" t="s">
        <v>678</v>
      </c>
      <c r="D222" t="s">
        <v>184</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8">
        <v>4.0000000000000001E-3</v>
      </c>
    </row>
    <row r="223" spans="1:33">
      <c r="A223" t="s">
        <v>328</v>
      </c>
      <c r="B223" t="s">
        <v>677</v>
      </c>
      <c r="C223" t="s">
        <v>676</v>
      </c>
      <c r="D223" t="s">
        <v>184</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8">
        <v>1.7999999999999999E-2</v>
      </c>
    </row>
    <row r="224" spans="1:33">
      <c r="A224" t="s">
        <v>110</v>
      </c>
      <c r="B224" t="s">
        <v>675</v>
      </c>
      <c r="C224" t="s">
        <v>674</v>
      </c>
      <c r="D224" t="s">
        <v>184</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8">
        <v>2.1000000000000001E-2</v>
      </c>
    </row>
    <row r="225" spans="1:33">
      <c r="A225" t="s">
        <v>204</v>
      </c>
    </row>
    <row r="226" spans="1:33">
      <c r="A226" t="s">
        <v>205</v>
      </c>
    </row>
    <row r="227" spans="1:33">
      <c r="A227" t="s">
        <v>201</v>
      </c>
      <c r="B227" t="s">
        <v>673</v>
      </c>
      <c r="C227" t="s">
        <v>672</v>
      </c>
      <c r="D227" t="s">
        <v>215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8">
        <v>8.0000000000000002E-3</v>
      </c>
    </row>
    <row r="228" spans="1:33">
      <c r="A228" t="s">
        <v>202</v>
      </c>
      <c r="B228" t="s">
        <v>671</v>
      </c>
      <c r="C228" t="s">
        <v>670</v>
      </c>
      <c r="D228" t="s">
        <v>215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8">
        <v>8.0000000000000002E-3</v>
      </c>
    </row>
    <row r="229" spans="1:33">
      <c r="A229" t="s">
        <v>203</v>
      </c>
      <c r="B229" t="s">
        <v>669</v>
      </c>
      <c r="C229" t="s">
        <v>668</v>
      </c>
      <c r="D229" t="s">
        <v>215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8">
        <v>8.9999999999999993E-3</v>
      </c>
    </row>
    <row r="230" spans="1:33">
      <c r="A230" t="s">
        <v>206</v>
      </c>
      <c r="B230" t="s">
        <v>667</v>
      </c>
      <c r="C230" t="s">
        <v>666</v>
      </c>
      <c r="D230" t="s">
        <v>215</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8">
        <v>8.0000000000000002E-3</v>
      </c>
    </row>
    <row r="231" spans="1:33">
      <c r="A231" t="s">
        <v>207</v>
      </c>
    </row>
    <row r="232" spans="1:33">
      <c r="A232" t="s">
        <v>201</v>
      </c>
      <c r="B232" t="s">
        <v>665</v>
      </c>
      <c r="C232" t="s">
        <v>664</v>
      </c>
      <c r="D232" t="s">
        <v>215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8">
        <v>8.0000000000000002E-3</v>
      </c>
    </row>
    <row r="233" spans="1:33">
      <c r="A233" t="s">
        <v>202</v>
      </c>
      <c r="B233" t="s">
        <v>663</v>
      </c>
      <c r="C233" t="s">
        <v>662</v>
      </c>
      <c r="D233" t="s">
        <v>215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8">
        <v>8.0000000000000002E-3</v>
      </c>
    </row>
    <row r="234" spans="1:33">
      <c r="A234" t="s">
        <v>203</v>
      </c>
      <c r="B234" t="s">
        <v>661</v>
      </c>
      <c r="C234" t="s">
        <v>660</v>
      </c>
      <c r="D234" t="s">
        <v>215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8">
        <v>7.0000000000000001E-3</v>
      </c>
    </row>
    <row r="235" spans="1:33">
      <c r="A235" t="s">
        <v>206</v>
      </c>
      <c r="B235" t="s">
        <v>659</v>
      </c>
      <c r="C235" t="s">
        <v>658</v>
      </c>
      <c r="D235" t="s">
        <v>215</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8">
        <v>8.0000000000000002E-3</v>
      </c>
    </row>
    <row r="236" spans="1:33">
      <c r="A236" t="s">
        <v>108</v>
      </c>
    </row>
    <row r="237" spans="1:33">
      <c r="A237" t="s">
        <v>208</v>
      </c>
    </row>
    <row r="238" spans="1:33">
      <c r="A238" t="s">
        <v>195</v>
      </c>
      <c r="B238" t="s">
        <v>657</v>
      </c>
      <c r="C238" t="s">
        <v>656</v>
      </c>
      <c r="D238" t="s">
        <v>185</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8">
        <v>8.9999999999999993E-3</v>
      </c>
    </row>
    <row r="239" spans="1:33">
      <c r="A239" t="s">
        <v>196</v>
      </c>
      <c r="B239" t="s">
        <v>655</v>
      </c>
      <c r="C239" t="s">
        <v>654</v>
      </c>
      <c r="D239" t="s">
        <v>185</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8">
        <v>0.01</v>
      </c>
    </row>
    <row r="240" spans="1:33">
      <c r="A240" t="s">
        <v>653</v>
      </c>
      <c r="B240" t="s">
        <v>652</v>
      </c>
      <c r="C240" t="s">
        <v>651</v>
      </c>
      <c r="D240" t="s">
        <v>185</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8">
        <v>2.4E-2</v>
      </c>
    </row>
    <row r="241" spans="1:33">
      <c r="A241" t="s">
        <v>650</v>
      </c>
      <c r="B241" t="s">
        <v>649</v>
      </c>
      <c r="C241" t="s">
        <v>648</v>
      </c>
      <c r="D241" t="s">
        <v>185</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8">
        <v>1.0999999999999999E-2</v>
      </c>
    </row>
    <row r="242" spans="1:33">
      <c r="A242" t="s">
        <v>317</v>
      </c>
      <c r="B242" t="s">
        <v>647</v>
      </c>
      <c r="C242" t="s">
        <v>646</v>
      </c>
      <c r="D242" t="s">
        <v>185</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8">
        <v>-8.0000000000000002E-3</v>
      </c>
    </row>
    <row r="243" spans="1:33">
      <c r="A243" t="s">
        <v>318</v>
      </c>
      <c r="B243" t="s">
        <v>645</v>
      </c>
      <c r="C243" t="s">
        <v>644</v>
      </c>
      <c r="D243" t="s">
        <v>185</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8">
        <v>1.4E-2</v>
      </c>
    </row>
    <row r="244" spans="1:33">
      <c r="A244" t="s">
        <v>319</v>
      </c>
      <c r="B244" t="s">
        <v>643</v>
      </c>
      <c r="C244" t="s">
        <v>642</v>
      </c>
      <c r="D244" t="s">
        <v>185</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8">
        <v>1.4E-2</v>
      </c>
    </row>
    <row r="245" spans="1:33">
      <c r="A245" t="s">
        <v>320</v>
      </c>
      <c r="B245" t="s">
        <v>641</v>
      </c>
      <c r="C245" t="s">
        <v>640</v>
      </c>
      <c r="D245" t="s">
        <v>185</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8">
        <v>1.7000000000000001E-2</v>
      </c>
    </row>
    <row r="246" spans="1:33">
      <c r="A246" t="s">
        <v>639</v>
      </c>
      <c r="B246" t="s">
        <v>638</v>
      </c>
      <c r="C246" t="s">
        <v>637</v>
      </c>
      <c r="D246" t="s">
        <v>185</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8">
        <v>0.02</v>
      </c>
    </row>
    <row r="247" spans="1:33">
      <c r="A247" t="s">
        <v>198</v>
      </c>
      <c r="B247" t="s">
        <v>636</v>
      </c>
      <c r="C247" t="s">
        <v>635</v>
      </c>
      <c r="D247" t="s">
        <v>185</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8">
        <v>0.03</v>
      </c>
    </row>
    <row r="248" spans="1:33">
      <c r="A248" t="s">
        <v>321</v>
      </c>
      <c r="B248" t="s">
        <v>634</v>
      </c>
      <c r="C248" t="s">
        <v>633</v>
      </c>
      <c r="D248" t="s">
        <v>185</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8">
        <v>4.4999999999999998E-2</v>
      </c>
    </row>
    <row r="249" spans="1:33">
      <c r="A249" t="s">
        <v>632</v>
      </c>
      <c r="B249" t="s">
        <v>631</v>
      </c>
      <c r="C249" t="s">
        <v>630</v>
      </c>
      <c r="D249" t="s">
        <v>185</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8">
        <v>2.5999999999999999E-2</v>
      </c>
    </row>
    <row r="250" spans="1:33">
      <c r="A250" t="s">
        <v>322</v>
      </c>
      <c r="B250" t="s">
        <v>629</v>
      </c>
      <c r="C250" t="s">
        <v>628</v>
      </c>
      <c r="D250" t="s">
        <v>185</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8">
        <v>2.4E-2</v>
      </c>
    </row>
    <row r="251" spans="1:33">
      <c r="A251" t="s">
        <v>197</v>
      </c>
      <c r="B251" t="s">
        <v>627</v>
      </c>
      <c r="C251" t="s">
        <v>626</v>
      </c>
      <c r="D251" t="s">
        <v>185</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8">
        <v>0.03</v>
      </c>
    </row>
    <row r="252" spans="1:33">
      <c r="A252" t="s">
        <v>323</v>
      </c>
      <c r="B252" t="s">
        <v>625</v>
      </c>
      <c r="C252" t="s">
        <v>624</v>
      </c>
      <c r="D252" t="s">
        <v>185</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8">
        <v>7.0000000000000001E-3</v>
      </c>
    </row>
    <row r="253" spans="1:33">
      <c r="A253" t="s">
        <v>623</v>
      </c>
      <c r="B253" t="s">
        <v>622</v>
      </c>
      <c r="C253" t="s">
        <v>621</v>
      </c>
      <c r="D253" t="s">
        <v>185</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8">
        <v>1.7999999999999999E-2</v>
      </c>
    </row>
    <row r="254" spans="1:33">
      <c r="A254" t="s">
        <v>110</v>
      </c>
      <c r="B254" t="s">
        <v>620</v>
      </c>
      <c r="C254" t="s">
        <v>619</v>
      </c>
      <c r="D254" t="s">
        <v>185</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8">
        <v>1.7999999999999999E-2</v>
      </c>
    </row>
    <row r="255" spans="1:33">
      <c r="A255" t="s">
        <v>209</v>
      </c>
      <c r="B255" t="s">
        <v>616</v>
      </c>
      <c r="C255" t="s">
        <v>618</v>
      </c>
      <c r="D255" t="s">
        <v>617</v>
      </c>
      <c r="E255" t="s">
        <v>185</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8">
        <v>0</v>
      </c>
    </row>
    <row r="256" spans="1:33">
      <c r="A256" t="s">
        <v>210</v>
      </c>
      <c r="B256" t="s">
        <v>616</v>
      </c>
      <c r="C256" t="s">
        <v>615</v>
      </c>
      <c r="D256" t="s">
        <v>614</v>
      </c>
      <c r="E256" t="s">
        <v>185</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8">
        <v>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5"/>
  <cols>
    <col min="1" max="1" width="25.28515625" customWidth="1"/>
  </cols>
  <sheetData>
    <row r="1" spans="1:33">
      <c r="A1" t="s">
        <v>216</v>
      </c>
    </row>
    <row r="2" spans="1:33">
      <c r="A2" t="s">
        <v>1636</v>
      </c>
    </row>
    <row r="3" spans="1:33">
      <c r="A3" t="s">
        <v>1635</v>
      </c>
    </row>
    <row r="4" spans="1:33">
      <c r="A4" t="s">
        <v>135</v>
      </c>
    </row>
    <row r="5" spans="1:33">
      <c r="B5" t="s">
        <v>182</v>
      </c>
      <c r="C5" t="s">
        <v>183</v>
      </c>
      <c r="D5" t="s">
        <v>184</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611</v>
      </c>
    </row>
    <row r="6" spans="1:33">
      <c r="A6" t="s">
        <v>136</v>
      </c>
    </row>
    <row r="7" spans="1:33">
      <c r="A7" t="s">
        <v>217</v>
      </c>
    </row>
    <row r="8" spans="1:33">
      <c r="A8" t="s">
        <v>154</v>
      </c>
    </row>
    <row r="9" spans="1:33">
      <c r="A9" t="s">
        <v>173</v>
      </c>
      <c r="B9" t="s">
        <v>1634</v>
      </c>
      <c r="C9" t="s">
        <v>1633</v>
      </c>
      <c r="D9" t="s">
        <v>186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8">
        <v>-4.2000000000000003E-2</v>
      </c>
    </row>
    <row r="10" spans="1:33">
      <c r="A10" t="s">
        <v>218</v>
      </c>
      <c r="B10" t="s">
        <v>1632</v>
      </c>
      <c r="C10" t="s">
        <v>1631</v>
      </c>
      <c r="D10" t="s">
        <v>186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8">
        <v>-1.2E-2</v>
      </c>
    </row>
    <row r="11" spans="1:33">
      <c r="A11" t="s">
        <v>176</v>
      </c>
      <c r="B11" t="s">
        <v>1630</v>
      </c>
      <c r="C11" t="s">
        <v>1629</v>
      </c>
      <c r="D11" t="s">
        <v>186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8">
        <v>1.7999999999999999E-2</v>
      </c>
    </row>
    <row r="12" spans="1:33">
      <c r="A12" t="s">
        <v>179</v>
      </c>
      <c r="B12" t="s">
        <v>1628</v>
      </c>
      <c r="C12" t="s">
        <v>1627</v>
      </c>
      <c r="D12" t="s">
        <v>186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8">
        <v>0.153</v>
      </c>
    </row>
    <row r="13" spans="1:33">
      <c r="A13" t="s">
        <v>219</v>
      </c>
      <c r="B13" t="s">
        <v>1626</v>
      </c>
      <c r="C13" t="s">
        <v>1625</v>
      </c>
      <c r="D13" t="s">
        <v>186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8">
        <v>-0.114</v>
      </c>
    </row>
    <row r="14" spans="1:33">
      <c r="A14" t="s">
        <v>220</v>
      </c>
      <c r="B14" t="s">
        <v>1624</v>
      </c>
      <c r="C14" t="s">
        <v>1623</v>
      </c>
      <c r="D14" t="s">
        <v>186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8">
        <v>0.23100000000000001</v>
      </c>
    </row>
    <row r="15" spans="1:33">
      <c r="A15" t="s">
        <v>221</v>
      </c>
      <c r="B15" t="s">
        <v>1622</v>
      </c>
      <c r="C15" t="s">
        <v>1621</v>
      </c>
      <c r="D15" t="s">
        <v>186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109</v>
      </c>
    </row>
    <row r="16" spans="1:33">
      <c r="A16" t="s">
        <v>222</v>
      </c>
      <c r="B16" t="s">
        <v>1620</v>
      </c>
      <c r="C16" t="s">
        <v>1619</v>
      </c>
      <c r="D16" t="s">
        <v>186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109</v>
      </c>
    </row>
    <row r="17" spans="1:33">
      <c r="A17" t="s">
        <v>223</v>
      </c>
      <c r="B17" t="s">
        <v>1618</v>
      </c>
      <c r="C17" t="s">
        <v>1617</v>
      </c>
      <c r="D17" t="s">
        <v>186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109</v>
      </c>
    </row>
    <row r="18" spans="1:33">
      <c r="A18" t="s">
        <v>514</v>
      </c>
      <c r="B18" t="s">
        <v>1616</v>
      </c>
      <c r="C18" t="s">
        <v>1615</v>
      </c>
      <c r="D18" t="s">
        <v>186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109</v>
      </c>
    </row>
    <row r="19" spans="1:33">
      <c r="A19" t="s">
        <v>511</v>
      </c>
      <c r="B19" t="s">
        <v>1614</v>
      </c>
      <c r="C19" t="s">
        <v>1613</v>
      </c>
      <c r="D19" t="s">
        <v>186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109</v>
      </c>
    </row>
    <row r="20" spans="1:33">
      <c r="A20" t="s">
        <v>508</v>
      </c>
      <c r="B20" t="s">
        <v>1612</v>
      </c>
      <c r="C20" t="s">
        <v>1611</v>
      </c>
      <c r="D20" t="s">
        <v>186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109</v>
      </c>
    </row>
    <row r="21" spans="1:33" s="37" customFormat="1">
      <c r="A21" s="37" t="s">
        <v>224</v>
      </c>
      <c r="B21" s="37" t="s">
        <v>1610</v>
      </c>
      <c r="C21" s="37" t="s">
        <v>1609</v>
      </c>
      <c r="D21" s="37" t="s">
        <v>186</v>
      </c>
      <c r="F21" s="37">
        <v>81.913414000000003</v>
      </c>
      <c r="G21" s="37">
        <v>83.637932000000006</v>
      </c>
      <c r="H21" s="37">
        <v>84.649970999999994</v>
      </c>
      <c r="I21" s="37">
        <v>85.366112000000001</v>
      </c>
      <c r="J21" s="37">
        <v>86.041008000000005</v>
      </c>
      <c r="K21" s="37">
        <v>87.189673999999997</v>
      </c>
      <c r="L21" s="37">
        <v>88.634345999999994</v>
      </c>
      <c r="M21" s="37">
        <v>90.136009000000001</v>
      </c>
      <c r="N21" s="37">
        <v>91.764342999999997</v>
      </c>
      <c r="O21" s="37">
        <v>93.408591999999999</v>
      </c>
      <c r="P21" s="37">
        <v>95.227249</v>
      </c>
      <c r="Q21" s="37">
        <v>97.079216000000002</v>
      </c>
      <c r="R21" s="37">
        <v>99.016814999999994</v>
      </c>
      <c r="S21" s="37">
        <v>100.936539</v>
      </c>
      <c r="T21" s="37">
        <v>102.872658</v>
      </c>
      <c r="U21" s="37">
        <v>104.776962</v>
      </c>
      <c r="V21" s="37">
        <v>106.826088</v>
      </c>
      <c r="W21" s="37">
        <v>108.78827699999999</v>
      </c>
      <c r="X21" s="37">
        <v>110.690437</v>
      </c>
      <c r="Y21" s="37">
        <v>112.395782</v>
      </c>
      <c r="Z21" s="37">
        <v>114.059608</v>
      </c>
      <c r="AA21" s="37">
        <v>115.924751</v>
      </c>
      <c r="AB21" s="37">
        <v>117.859016</v>
      </c>
      <c r="AC21" s="37">
        <v>120.16201</v>
      </c>
      <c r="AD21" s="37">
        <v>122.30836499999999</v>
      </c>
      <c r="AE21" s="37">
        <v>124.313187</v>
      </c>
      <c r="AF21" s="37">
        <v>126.225555</v>
      </c>
      <c r="AG21" s="38">
        <v>1.7000000000000001E-2</v>
      </c>
    </row>
    <row r="22" spans="1:33">
      <c r="A22" t="s">
        <v>155</v>
      </c>
    </row>
    <row r="23" spans="1:33">
      <c r="A23" t="s">
        <v>173</v>
      </c>
      <c r="B23" t="s">
        <v>1608</v>
      </c>
      <c r="C23" t="s">
        <v>1607</v>
      </c>
      <c r="D23" t="s">
        <v>186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8">
        <v>-1.7999999999999999E-2</v>
      </c>
    </row>
    <row r="24" spans="1:33">
      <c r="A24" t="s">
        <v>218</v>
      </c>
      <c r="B24" t="s">
        <v>1606</v>
      </c>
      <c r="C24" t="s">
        <v>1605</v>
      </c>
      <c r="D24" t="s">
        <v>186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8">
        <v>-4.0000000000000001E-3</v>
      </c>
    </row>
    <row r="25" spans="1:33">
      <c r="A25" t="s">
        <v>176</v>
      </c>
      <c r="B25" t="s">
        <v>1604</v>
      </c>
      <c r="C25" t="s">
        <v>1603</v>
      </c>
      <c r="D25" t="s">
        <v>186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8">
        <v>-0.1</v>
      </c>
    </row>
    <row r="26" spans="1:33">
      <c r="A26" t="s">
        <v>179</v>
      </c>
      <c r="B26" t="s">
        <v>1602</v>
      </c>
      <c r="C26" t="s">
        <v>1601</v>
      </c>
      <c r="D26" t="s">
        <v>186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8">
        <v>6.5000000000000002E-2</v>
      </c>
    </row>
    <row r="27" spans="1:33">
      <c r="A27" t="s">
        <v>219</v>
      </c>
      <c r="B27" t="s">
        <v>1600</v>
      </c>
      <c r="C27" t="s">
        <v>1599</v>
      </c>
      <c r="D27" t="s">
        <v>186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8">
        <v>-9.5000000000000001E-2</v>
      </c>
    </row>
    <row r="28" spans="1:33">
      <c r="A28" t="s">
        <v>220</v>
      </c>
      <c r="B28" t="s">
        <v>1598</v>
      </c>
      <c r="C28" t="s">
        <v>1597</v>
      </c>
      <c r="D28" t="s">
        <v>186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8">
        <v>2.1999999999999999E-2</v>
      </c>
    </row>
    <row r="29" spans="1:33">
      <c r="A29" t="s">
        <v>221</v>
      </c>
      <c r="B29" t="s">
        <v>1596</v>
      </c>
      <c r="C29" t="s">
        <v>1595</v>
      </c>
      <c r="D29" t="s">
        <v>186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109</v>
      </c>
    </row>
    <row r="30" spans="1:33">
      <c r="A30" t="s">
        <v>222</v>
      </c>
      <c r="B30" t="s">
        <v>1594</v>
      </c>
      <c r="C30" t="s">
        <v>1593</v>
      </c>
      <c r="D30" t="s">
        <v>186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109</v>
      </c>
    </row>
    <row r="31" spans="1:33">
      <c r="A31" t="s">
        <v>223</v>
      </c>
      <c r="B31" t="s">
        <v>1592</v>
      </c>
      <c r="C31" t="s">
        <v>1591</v>
      </c>
      <c r="D31" t="s">
        <v>186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109</v>
      </c>
    </row>
    <row r="32" spans="1:33">
      <c r="A32" t="s">
        <v>514</v>
      </c>
      <c r="B32" t="s">
        <v>1590</v>
      </c>
      <c r="C32" t="s">
        <v>1589</v>
      </c>
      <c r="D32" t="s">
        <v>186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109</v>
      </c>
    </row>
    <row r="33" spans="1:33">
      <c r="A33" t="s">
        <v>511</v>
      </c>
      <c r="B33" t="s">
        <v>1588</v>
      </c>
      <c r="C33" t="s">
        <v>1587</v>
      </c>
      <c r="D33" t="s">
        <v>186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109</v>
      </c>
    </row>
    <row r="34" spans="1:33">
      <c r="A34" t="s">
        <v>508</v>
      </c>
      <c r="B34" t="s">
        <v>1586</v>
      </c>
      <c r="C34" t="s">
        <v>1585</v>
      </c>
      <c r="D34" t="s">
        <v>186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109</v>
      </c>
    </row>
    <row r="35" spans="1:33" s="37" customFormat="1">
      <c r="A35" s="37" t="s">
        <v>225</v>
      </c>
      <c r="B35" s="37" t="s">
        <v>1584</v>
      </c>
      <c r="C35" s="37" t="s">
        <v>1583</v>
      </c>
      <c r="D35" s="37" t="s">
        <v>186</v>
      </c>
      <c r="F35" s="37">
        <v>62.669761999999999</v>
      </c>
      <c r="G35" s="37">
        <v>62.306469</v>
      </c>
      <c r="H35" s="37">
        <v>61.636169000000002</v>
      </c>
      <c r="I35" s="37">
        <v>61.069248000000002</v>
      </c>
      <c r="J35" s="37">
        <v>60.511715000000002</v>
      </c>
      <c r="K35" s="37">
        <v>60.140095000000002</v>
      </c>
      <c r="L35" s="37">
        <v>59.894455000000001</v>
      </c>
      <c r="M35" s="37">
        <v>59.670211999999999</v>
      </c>
      <c r="N35" s="37">
        <v>59.550327000000003</v>
      </c>
      <c r="O35" s="37">
        <v>59.398045000000003</v>
      </c>
      <c r="P35" s="37">
        <v>59.327106000000001</v>
      </c>
      <c r="Q35" s="37">
        <v>59.290576999999999</v>
      </c>
      <c r="R35" s="37">
        <v>59.361587999999998</v>
      </c>
      <c r="S35" s="37">
        <v>59.521720999999999</v>
      </c>
      <c r="T35" s="37">
        <v>59.692307</v>
      </c>
      <c r="U35" s="37">
        <v>59.831532000000003</v>
      </c>
      <c r="V35" s="37">
        <v>60.013888999999999</v>
      </c>
      <c r="W35" s="37">
        <v>60.179622999999999</v>
      </c>
      <c r="X35" s="37">
        <v>60.380524000000001</v>
      </c>
      <c r="Y35" s="37">
        <v>60.561053999999999</v>
      </c>
      <c r="Z35" s="37">
        <v>60.717669999999998</v>
      </c>
      <c r="AA35" s="37">
        <v>60.904583000000002</v>
      </c>
      <c r="AB35" s="37">
        <v>61.056731999999997</v>
      </c>
      <c r="AC35" s="37">
        <v>61.433689000000001</v>
      </c>
      <c r="AD35" s="37">
        <v>61.823250000000002</v>
      </c>
      <c r="AE35" s="37">
        <v>62.164485999999997</v>
      </c>
      <c r="AF35" s="37">
        <v>62.394100000000002</v>
      </c>
      <c r="AG35" s="38">
        <v>0</v>
      </c>
    </row>
    <row r="36" spans="1:33">
      <c r="A36" t="s">
        <v>226</v>
      </c>
    </row>
    <row r="37" spans="1:33">
      <c r="A37" t="s">
        <v>173</v>
      </c>
      <c r="B37" t="s">
        <v>1582</v>
      </c>
      <c r="C37" t="s">
        <v>1581</v>
      </c>
      <c r="D37" t="s">
        <v>186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8">
        <v>7.0000000000000001E-3</v>
      </c>
    </row>
    <row r="38" spans="1:33">
      <c r="A38" t="s">
        <v>218</v>
      </c>
      <c r="B38" t="s">
        <v>1580</v>
      </c>
      <c r="C38" t="s">
        <v>1579</v>
      </c>
      <c r="D38" t="s">
        <v>186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8">
        <v>-4.5999999999999999E-2</v>
      </c>
    </row>
    <row r="39" spans="1:33">
      <c r="A39" t="s">
        <v>176</v>
      </c>
      <c r="B39" t="s">
        <v>1578</v>
      </c>
      <c r="C39" t="s">
        <v>1577</v>
      </c>
      <c r="D39" t="s">
        <v>186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8">
        <v>3.5999999999999997E-2</v>
      </c>
    </row>
    <row r="40" spans="1:33">
      <c r="A40" t="s">
        <v>179</v>
      </c>
      <c r="B40" t="s">
        <v>1576</v>
      </c>
      <c r="C40" t="s">
        <v>1575</v>
      </c>
      <c r="D40" t="s">
        <v>186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8">
        <v>2.5999999999999999E-2</v>
      </c>
    </row>
    <row r="41" spans="1:33">
      <c r="A41" t="s">
        <v>219</v>
      </c>
      <c r="B41" t="s">
        <v>1574</v>
      </c>
      <c r="C41" t="s">
        <v>1573</v>
      </c>
      <c r="D41" t="s">
        <v>186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109</v>
      </c>
    </row>
    <row r="42" spans="1:33">
      <c r="A42" t="s">
        <v>220</v>
      </c>
      <c r="B42" t="s">
        <v>1572</v>
      </c>
      <c r="C42" t="s">
        <v>1571</v>
      </c>
      <c r="D42" t="s">
        <v>186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8">
        <v>5.1999999999999998E-2</v>
      </c>
    </row>
    <row r="43" spans="1:33">
      <c r="A43" t="s">
        <v>221</v>
      </c>
      <c r="B43" t="s">
        <v>1570</v>
      </c>
      <c r="C43" t="s">
        <v>1569</v>
      </c>
      <c r="D43" t="s">
        <v>186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109</v>
      </c>
    </row>
    <row r="44" spans="1:33">
      <c r="A44" t="s">
        <v>222</v>
      </c>
      <c r="B44" t="s">
        <v>1568</v>
      </c>
      <c r="C44" t="s">
        <v>1567</v>
      </c>
      <c r="D44" t="s">
        <v>186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109</v>
      </c>
    </row>
    <row r="45" spans="1:33">
      <c r="A45" t="s">
        <v>223</v>
      </c>
      <c r="B45" t="s">
        <v>1566</v>
      </c>
      <c r="C45" t="s">
        <v>1565</v>
      </c>
      <c r="D45" t="s">
        <v>186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109</v>
      </c>
    </row>
    <row r="46" spans="1:33">
      <c r="A46" t="s">
        <v>514</v>
      </c>
      <c r="B46" t="s">
        <v>1564</v>
      </c>
      <c r="C46" t="s">
        <v>1563</v>
      </c>
      <c r="D46" t="s">
        <v>186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109</v>
      </c>
    </row>
    <row r="47" spans="1:33">
      <c r="A47" t="s">
        <v>511</v>
      </c>
      <c r="B47" t="s">
        <v>1562</v>
      </c>
      <c r="C47" t="s">
        <v>1561</v>
      </c>
      <c r="D47" t="s">
        <v>186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109</v>
      </c>
    </row>
    <row r="48" spans="1:33">
      <c r="A48" t="s">
        <v>508</v>
      </c>
      <c r="B48" t="s">
        <v>1560</v>
      </c>
      <c r="C48" t="s">
        <v>1559</v>
      </c>
      <c r="D48" t="s">
        <v>186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109</v>
      </c>
    </row>
    <row r="49" spans="1:33" s="55" customFormat="1">
      <c r="A49" s="55" t="s">
        <v>227</v>
      </c>
      <c r="B49" s="55" t="s">
        <v>1558</v>
      </c>
      <c r="C49" s="55" t="s">
        <v>1557</v>
      </c>
      <c r="D49" s="55" t="s">
        <v>186</v>
      </c>
      <c r="F49" s="55">
        <v>195.47178600000001</v>
      </c>
      <c r="G49" s="55">
        <v>200.263214</v>
      </c>
      <c r="H49" s="55">
        <v>203.781387</v>
      </c>
      <c r="I49" s="55">
        <v>207.091309</v>
      </c>
      <c r="J49" s="55">
        <v>209.459946</v>
      </c>
      <c r="K49" s="55">
        <v>211.624908</v>
      </c>
      <c r="L49" s="55">
        <v>213.58685299999999</v>
      </c>
      <c r="M49" s="55">
        <v>215.039703</v>
      </c>
      <c r="N49" s="55">
        <v>216.39988700000001</v>
      </c>
      <c r="O49" s="55">
        <v>217.47335799999999</v>
      </c>
      <c r="P49" s="55">
        <v>218.671783</v>
      </c>
      <c r="Q49" s="55">
        <v>219.823669</v>
      </c>
      <c r="R49" s="55">
        <v>221.246475</v>
      </c>
      <c r="S49" s="55">
        <v>222.829758</v>
      </c>
      <c r="T49" s="55">
        <v>224.413895</v>
      </c>
      <c r="U49" s="55">
        <v>225.715836</v>
      </c>
      <c r="V49" s="55">
        <v>227.05023199999999</v>
      </c>
      <c r="W49" s="55">
        <v>228.286179</v>
      </c>
      <c r="X49" s="55">
        <v>229.52342200000001</v>
      </c>
      <c r="Y49" s="55">
        <v>230.54377700000001</v>
      </c>
      <c r="Z49" s="55">
        <v>231.37148999999999</v>
      </c>
      <c r="AA49" s="55">
        <v>232.25056499999999</v>
      </c>
      <c r="AB49" s="55">
        <v>232.92233300000001</v>
      </c>
      <c r="AC49" s="55">
        <v>234.414322</v>
      </c>
      <c r="AD49" s="55">
        <v>235.96463</v>
      </c>
      <c r="AE49" s="55">
        <v>237.36372399999999</v>
      </c>
      <c r="AF49" s="55">
        <v>238.431488</v>
      </c>
      <c r="AG49" s="56">
        <v>8.0000000000000002E-3</v>
      </c>
    </row>
    <row r="50" spans="1:33">
      <c r="A50" t="s">
        <v>228</v>
      </c>
      <c r="B50" t="s">
        <v>1556</v>
      </c>
      <c r="C50" t="s">
        <v>1555</v>
      </c>
      <c r="D50" t="s">
        <v>186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8">
        <v>8.9999999999999993E-3</v>
      </c>
    </row>
    <row r="51" spans="1:33">
      <c r="A51" t="s">
        <v>229</v>
      </c>
    </row>
    <row r="52" spans="1:33">
      <c r="A52" t="s">
        <v>154</v>
      </c>
    </row>
    <row r="53" spans="1:33">
      <c r="A53" t="s">
        <v>173</v>
      </c>
      <c r="B53" t="s">
        <v>1554</v>
      </c>
      <c r="C53" t="s">
        <v>1553</v>
      </c>
      <c r="D53" t="s">
        <v>185</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8">
        <v>-4.5999999999999999E-2</v>
      </c>
    </row>
    <row r="54" spans="1:33">
      <c r="A54" t="s">
        <v>218</v>
      </c>
      <c r="B54" t="s">
        <v>1552</v>
      </c>
      <c r="C54" t="s">
        <v>1551</v>
      </c>
      <c r="D54" t="s">
        <v>185</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8">
        <v>-1.7000000000000001E-2</v>
      </c>
    </row>
    <row r="55" spans="1:33">
      <c r="A55" t="s">
        <v>176</v>
      </c>
      <c r="B55" t="s">
        <v>1550</v>
      </c>
      <c r="C55" t="s">
        <v>1549</v>
      </c>
      <c r="D55" t="s">
        <v>185</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8">
        <v>7.0000000000000001E-3</v>
      </c>
    </row>
    <row r="56" spans="1:33">
      <c r="A56" t="s">
        <v>179</v>
      </c>
      <c r="B56" t="s">
        <v>1548</v>
      </c>
      <c r="C56" t="s">
        <v>1547</v>
      </c>
      <c r="D56" t="s">
        <v>185</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8">
        <v>0.14799999999999999</v>
      </c>
    </row>
    <row r="57" spans="1:33">
      <c r="A57" t="s">
        <v>219</v>
      </c>
      <c r="B57" t="s">
        <v>1546</v>
      </c>
      <c r="C57" t="s">
        <v>1545</v>
      </c>
      <c r="D57" t="s">
        <v>185</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8">
        <v>-0.114</v>
      </c>
    </row>
    <row r="58" spans="1:33">
      <c r="A58" t="s">
        <v>220</v>
      </c>
      <c r="B58" t="s">
        <v>1544</v>
      </c>
      <c r="C58" t="s">
        <v>1543</v>
      </c>
      <c r="D58" t="s">
        <v>185</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8">
        <v>0.23</v>
      </c>
    </row>
    <row r="59" spans="1:33">
      <c r="A59" t="s">
        <v>221</v>
      </c>
      <c r="B59" t="s">
        <v>1542</v>
      </c>
      <c r="C59" t="s">
        <v>1541</v>
      </c>
      <c r="D59" t="s">
        <v>185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109</v>
      </c>
    </row>
    <row r="60" spans="1:33">
      <c r="A60" t="s">
        <v>222</v>
      </c>
      <c r="B60" t="s">
        <v>1540</v>
      </c>
      <c r="C60" t="s">
        <v>1539</v>
      </c>
      <c r="D60" t="s">
        <v>185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109</v>
      </c>
    </row>
    <row r="61" spans="1:33">
      <c r="A61" t="s">
        <v>223</v>
      </c>
      <c r="B61" t="s">
        <v>1538</v>
      </c>
      <c r="C61" t="s">
        <v>1537</v>
      </c>
      <c r="D61" t="s">
        <v>185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109</v>
      </c>
    </row>
    <row r="62" spans="1:33">
      <c r="A62" t="s">
        <v>514</v>
      </c>
      <c r="B62" t="s">
        <v>1536</v>
      </c>
      <c r="C62" t="s">
        <v>1535</v>
      </c>
      <c r="D62" t="s">
        <v>185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109</v>
      </c>
    </row>
    <row r="63" spans="1:33">
      <c r="A63" t="s">
        <v>511</v>
      </c>
      <c r="B63" t="s">
        <v>1534</v>
      </c>
      <c r="C63" t="s">
        <v>1533</v>
      </c>
      <c r="D63" t="s">
        <v>185</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109</v>
      </c>
    </row>
    <row r="64" spans="1:33">
      <c r="A64" t="s">
        <v>508</v>
      </c>
      <c r="B64" t="s">
        <v>1532</v>
      </c>
      <c r="C64" t="s">
        <v>1531</v>
      </c>
      <c r="D64" t="s">
        <v>185</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109</v>
      </c>
    </row>
    <row r="65" spans="1:33">
      <c r="A65" t="s">
        <v>224</v>
      </c>
      <c r="B65" t="s">
        <v>1530</v>
      </c>
      <c r="C65" t="s">
        <v>1529</v>
      </c>
      <c r="D65" t="s">
        <v>185</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8">
        <v>6.0000000000000001E-3</v>
      </c>
    </row>
    <row r="66" spans="1:33">
      <c r="A66" t="s">
        <v>155</v>
      </c>
    </row>
    <row r="67" spans="1:33">
      <c r="A67" t="s">
        <v>173</v>
      </c>
      <c r="B67" t="s">
        <v>1528</v>
      </c>
      <c r="C67" t="s">
        <v>1527</v>
      </c>
      <c r="D67" t="s">
        <v>185</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8">
        <v>-2.5999999999999999E-2</v>
      </c>
    </row>
    <row r="68" spans="1:33">
      <c r="A68" t="s">
        <v>218</v>
      </c>
      <c r="B68" t="s">
        <v>1526</v>
      </c>
      <c r="C68" t="s">
        <v>1525</v>
      </c>
      <c r="D68" t="s">
        <v>185</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8">
        <v>-8.0000000000000002E-3</v>
      </c>
    </row>
    <row r="69" spans="1:33">
      <c r="A69" t="s">
        <v>176</v>
      </c>
      <c r="B69" t="s">
        <v>1524</v>
      </c>
      <c r="C69" t="s">
        <v>1523</v>
      </c>
      <c r="D69" t="s">
        <v>185</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8">
        <v>-0.104</v>
      </c>
    </row>
    <row r="70" spans="1:33">
      <c r="A70" t="s">
        <v>179</v>
      </c>
      <c r="B70" t="s">
        <v>1522</v>
      </c>
      <c r="C70" t="s">
        <v>1521</v>
      </c>
      <c r="D70" t="s">
        <v>185</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8">
        <v>5.5E-2</v>
      </c>
    </row>
    <row r="71" spans="1:33">
      <c r="A71" t="s">
        <v>219</v>
      </c>
      <c r="B71" t="s">
        <v>1520</v>
      </c>
      <c r="C71" t="s">
        <v>1519</v>
      </c>
      <c r="D71" t="s">
        <v>185</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8">
        <v>-9.5000000000000001E-2</v>
      </c>
    </row>
    <row r="72" spans="1:33">
      <c r="A72" t="s">
        <v>220</v>
      </c>
      <c r="B72" t="s">
        <v>1518</v>
      </c>
      <c r="C72" t="s">
        <v>1517</v>
      </c>
      <c r="D72" t="s">
        <v>185</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8">
        <v>2.7E-2</v>
      </c>
    </row>
    <row r="73" spans="1:33">
      <c r="A73" t="s">
        <v>221</v>
      </c>
      <c r="B73" t="s">
        <v>1516</v>
      </c>
      <c r="C73" t="s">
        <v>1515</v>
      </c>
      <c r="D73" t="s">
        <v>185</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109</v>
      </c>
    </row>
    <row r="74" spans="1:33">
      <c r="A74" t="s">
        <v>222</v>
      </c>
      <c r="B74" t="s">
        <v>1514</v>
      </c>
      <c r="C74" t="s">
        <v>1513</v>
      </c>
      <c r="D74" t="s">
        <v>185</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109</v>
      </c>
    </row>
    <row r="75" spans="1:33">
      <c r="A75" t="s">
        <v>223</v>
      </c>
      <c r="B75" t="s">
        <v>1512</v>
      </c>
      <c r="C75" t="s">
        <v>1511</v>
      </c>
      <c r="D75" t="s">
        <v>185</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109</v>
      </c>
    </row>
    <row r="76" spans="1:33">
      <c r="A76" t="s">
        <v>514</v>
      </c>
      <c r="B76" t="s">
        <v>1510</v>
      </c>
      <c r="C76" t="s">
        <v>1509</v>
      </c>
      <c r="D76" t="s">
        <v>185</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109</v>
      </c>
    </row>
    <row r="77" spans="1:33">
      <c r="A77" t="s">
        <v>511</v>
      </c>
      <c r="B77" t="s">
        <v>1508</v>
      </c>
      <c r="C77" t="s">
        <v>1507</v>
      </c>
      <c r="D77" t="s">
        <v>185</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109</v>
      </c>
    </row>
    <row r="78" spans="1:33">
      <c r="A78" t="s">
        <v>508</v>
      </c>
      <c r="B78" t="s">
        <v>1506</v>
      </c>
      <c r="C78" t="s">
        <v>1505</v>
      </c>
      <c r="D78" t="s">
        <v>185</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109</v>
      </c>
    </row>
    <row r="79" spans="1:33">
      <c r="A79" t="s">
        <v>225</v>
      </c>
      <c r="B79" t="s">
        <v>1504</v>
      </c>
      <c r="C79" t="s">
        <v>1503</v>
      </c>
      <c r="D79" t="s">
        <v>185</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8">
        <v>-7.0000000000000001E-3</v>
      </c>
    </row>
    <row r="80" spans="1:33">
      <c r="A80" t="s">
        <v>226</v>
      </c>
    </row>
    <row r="81" spans="1:33">
      <c r="A81" t="s">
        <v>173</v>
      </c>
      <c r="B81" t="s">
        <v>1502</v>
      </c>
      <c r="C81" t="s">
        <v>1501</v>
      </c>
      <c r="D81" t="s">
        <v>185</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8">
        <v>-1E-3</v>
      </c>
    </row>
    <row r="82" spans="1:33">
      <c r="A82" t="s">
        <v>218</v>
      </c>
      <c r="B82" t="s">
        <v>1500</v>
      </c>
      <c r="C82" t="s">
        <v>1499</v>
      </c>
      <c r="D82" t="s">
        <v>185</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8">
        <v>-5.5E-2</v>
      </c>
    </row>
    <row r="83" spans="1:33">
      <c r="A83" t="s">
        <v>176</v>
      </c>
      <c r="B83" t="s">
        <v>1498</v>
      </c>
      <c r="C83" t="s">
        <v>1497</v>
      </c>
      <c r="D83" t="s">
        <v>185</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8">
        <v>2.7E-2</v>
      </c>
    </row>
    <row r="84" spans="1:33">
      <c r="A84" t="s">
        <v>179</v>
      </c>
      <c r="B84" t="s">
        <v>1496</v>
      </c>
      <c r="C84" t="s">
        <v>1495</v>
      </c>
      <c r="D84" t="s">
        <v>185</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8">
        <v>1.9E-2</v>
      </c>
    </row>
    <row r="85" spans="1:33">
      <c r="A85" t="s">
        <v>219</v>
      </c>
      <c r="B85" t="s">
        <v>1494</v>
      </c>
      <c r="C85" t="s">
        <v>1493</v>
      </c>
      <c r="D85" t="s">
        <v>185</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109</v>
      </c>
    </row>
    <row r="86" spans="1:33">
      <c r="A86" t="s">
        <v>220</v>
      </c>
      <c r="B86" t="s">
        <v>1492</v>
      </c>
      <c r="C86" t="s">
        <v>1491</v>
      </c>
      <c r="D86" t="s">
        <v>185</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8">
        <v>4.8000000000000001E-2</v>
      </c>
    </row>
    <row r="87" spans="1:33">
      <c r="A87" t="s">
        <v>221</v>
      </c>
      <c r="B87" t="s">
        <v>1490</v>
      </c>
      <c r="C87" t="s">
        <v>1489</v>
      </c>
      <c r="D87" t="s">
        <v>185</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109</v>
      </c>
    </row>
    <row r="88" spans="1:33">
      <c r="A88" t="s">
        <v>222</v>
      </c>
      <c r="B88" t="s">
        <v>1488</v>
      </c>
      <c r="C88" t="s">
        <v>1487</v>
      </c>
      <c r="D88" t="s">
        <v>185</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109</v>
      </c>
    </row>
    <row r="89" spans="1:33">
      <c r="A89" t="s">
        <v>223</v>
      </c>
      <c r="B89" t="s">
        <v>1486</v>
      </c>
      <c r="C89" t="s">
        <v>1485</v>
      </c>
      <c r="D89" t="s">
        <v>185</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109</v>
      </c>
    </row>
    <row r="90" spans="1:33">
      <c r="A90" t="s">
        <v>514</v>
      </c>
      <c r="B90" t="s">
        <v>1484</v>
      </c>
      <c r="C90" t="s">
        <v>1483</v>
      </c>
      <c r="D90" t="s">
        <v>185</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109</v>
      </c>
    </row>
    <row r="91" spans="1:33">
      <c r="A91" t="s">
        <v>511</v>
      </c>
      <c r="B91" t="s">
        <v>1482</v>
      </c>
      <c r="C91" t="s">
        <v>1481</v>
      </c>
      <c r="D91" t="s">
        <v>185</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109</v>
      </c>
    </row>
    <row r="92" spans="1:33">
      <c r="A92" t="s">
        <v>508</v>
      </c>
      <c r="B92" t="s">
        <v>1480</v>
      </c>
      <c r="C92" t="s">
        <v>1479</v>
      </c>
      <c r="D92" t="s">
        <v>185</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109</v>
      </c>
    </row>
    <row r="93" spans="1:33">
      <c r="A93" t="s">
        <v>227</v>
      </c>
      <c r="B93" t="s">
        <v>1478</v>
      </c>
      <c r="C93" t="s">
        <v>1477</v>
      </c>
      <c r="D93" t="s">
        <v>185</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8">
        <v>-1E-3</v>
      </c>
    </row>
    <row r="94" spans="1:33">
      <c r="A94" t="s">
        <v>154</v>
      </c>
      <c r="B94" t="s">
        <v>230</v>
      </c>
      <c r="C94" t="s">
        <v>249</v>
      </c>
    </row>
    <row r="95" spans="1:33">
      <c r="A95" t="s">
        <v>173</v>
      </c>
      <c r="B95" t="s">
        <v>1476</v>
      </c>
      <c r="C95" t="s">
        <v>1475</v>
      </c>
      <c r="D95" t="s">
        <v>185</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8">
        <v>-6.0000000000000001E-3</v>
      </c>
    </row>
    <row r="96" spans="1:33">
      <c r="A96" t="s">
        <v>218</v>
      </c>
      <c r="B96" t="s">
        <v>1474</v>
      </c>
      <c r="C96" t="s">
        <v>1473</v>
      </c>
      <c r="D96" t="s">
        <v>185</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8">
        <v>-1.2E-2</v>
      </c>
    </row>
    <row r="97" spans="1:33">
      <c r="A97" t="s">
        <v>176</v>
      </c>
      <c r="B97" t="s">
        <v>1472</v>
      </c>
      <c r="C97" t="s">
        <v>1471</v>
      </c>
      <c r="D97" t="s">
        <v>185</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8">
        <v>1.4E-2</v>
      </c>
    </row>
    <row r="98" spans="1:33">
      <c r="A98" t="s">
        <v>179</v>
      </c>
      <c r="B98" t="s">
        <v>1470</v>
      </c>
      <c r="C98" t="s">
        <v>1469</v>
      </c>
      <c r="D98" t="s">
        <v>185</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8">
        <v>3.4000000000000002E-2</v>
      </c>
    </row>
    <row r="99" spans="1:33">
      <c r="A99" t="s">
        <v>219</v>
      </c>
      <c r="B99" t="s">
        <v>1468</v>
      </c>
      <c r="C99" t="s">
        <v>1467</v>
      </c>
      <c r="D99" t="s">
        <v>185</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8">
        <v>-0.109</v>
      </c>
    </row>
    <row r="100" spans="1:33">
      <c r="A100" t="s">
        <v>220</v>
      </c>
      <c r="B100" t="s">
        <v>1466</v>
      </c>
      <c r="C100" t="s">
        <v>1465</v>
      </c>
      <c r="D100" t="s">
        <v>185</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8">
        <v>0.14099999999999999</v>
      </c>
    </row>
    <row r="101" spans="1:33">
      <c r="A101" t="s">
        <v>221</v>
      </c>
      <c r="B101" t="s">
        <v>1464</v>
      </c>
      <c r="C101" t="s">
        <v>1463</v>
      </c>
      <c r="D101" t="s">
        <v>185</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109</v>
      </c>
    </row>
    <row r="102" spans="1:33">
      <c r="A102" t="s">
        <v>222</v>
      </c>
      <c r="B102" t="s">
        <v>1462</v>
      </c>
      <c r="C102" t="s">
        <v>1461</v>
      </c>
      <c r="D102" t="s">
        <v>185</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109</v>
      </c>
    </row>
    <row r="103" spans="1:33">
      <c r="A103" t="s">
        <v>223</v>
      </c>
      <c r="B103" t="s">
        <v>1460</v>
      </c>
      <c r="C103" t="s">
        <v>1459</v>
      </c>
      <c r="D103" t="s">
        <v>185</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109</v>
      </c>
    </row>
    <row r="104" spans="1:33">
      <c r="A104" t="s">
        <v>514</v>
      </c>
      <c r="B104" t="s">
        <v>1458</v>
      </c>
      <c r="C104" t="s">
        <v>1457</v>
      </c>
      <c r="D104" t="s">
        <v>185</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109</v>
      </c>
    </row>
    <row r="105" spans="1:33">
      <c r="A105" t="s">
        <v>511</v>
      </c>
      <c r="B105" t="s">
        <v>1456</v>
      </c>
      <c r="C105" t="s">
        <v>1455</v>
      </c>
      <c r="D105" t="s">
        <v>185</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109</v>
      </c>
    </row>
    <row r="106" spans="1:33">
      <c r="A106" t="s">
        <v>508</v>
      </c>
      <c r="B106" t="s">
        <v>1454</v>
      </c>
      <c r="C106" t="s">
        <v>1453</v>
      </c>
      <c r="D106" t="s">
        <v>185</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109</v>
      </c>
    </row>
    <row r="107" spans="1:33">
      <c r="A107" t="s">
        <v>132</v>
      </c>
      <c r="B107" t="s">
        <v>1452</v>
      </c>
      <c r="C107" t="s">
        <v>1451</v>
      </c>
      <c r="D107" t="s">
        <v>185</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8">
        <v>-1E-3</v>
      </c>
    </row>
    <row r="108" spans="1:33">
      <c r="A108" t="s">
        <v>231</v>
      </c>
    </row>
    <row r="109" spans="1:33">
      <c r="A109" t="s">
        <v>154</v>
      </c>
    </row>
    <row r="110" spans="1:33">
      <c r="A110" t="s">
        <v>173</v>
      </c>
      <c r="B110" t="s">
        <v>1450</v>
      </c>
      <c r="C110" t="s">
        <v>1449</v>
      </c>
      <c r="D110" t="s">
        <v>250</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8">
        <v>4.0000000000000001E-3</v>
      </c>
    </row>
    <row r="111" spans="1:33">
      <c r="A111" t="s">
        <v>218</v>
      </c>
      <c r="B111" t="s">
        <v>1448</v>
      </c>
      <c r="C111" t="s">
        <v>1447</v>
      </c>
      <c r="D111" t="s">
        <v>251</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8">
        <v>5.0000000000000001E-3</v>
      </c>
    </row>
    <row r="112" spans="1:33">
      <c r="A112" t="s">
        <v>176</v>
      </c>
      <c r="B112" t="s">
        <v>1446</v>
      </c>
      <c r="C112" t="s">
        <v>1445</v>
      </c>
      <c r="D112" t="s">
        <v>251</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8">
        <v>0.01</v>
      </c>
    </row>
    <row r="113" spans="1:33">
      <c r="A113" t="s">
        <v>179</v>
      </c>
      <c r="B113" t="s">
        <v>1444</v>
      </c>
      <c r="C113" t="s">
        <v>1443</v>
      </c>
      <c r="D113" t="s">
        <v>251</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8">
        <v>4.0000000000000001E-3</v>
      </c>
    </row>
    <row r="114" spans="1:33">
      <c r="A114" t="s">
        <v>219</v>
      </c>
      <c r="B114" t="s">
        <v>1442</v>
      </c>
      <c r="C114" t="s">
        <v>1441</v>
      </c>
      <c r="D114" t="s">
        <v>251</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8">
        <v>0</v>
      </c>
    </row>
    <row r="115" spans="1:33">
      <c r="A115" t="s">
        <v>220</v>
      </c>
      <c r="B115" t="s">
        <v>1440</v>
      </c>
      <c r="C115" t="s">
        <v>1439</v>
      </c>
      <c r="D115" t="s">
        <v>250</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8">
        <v>1E-3</v>
      </c>
    </row>
    <row r="116" spans="1:33">
      <c r="A116" t="s">
        <v>221</v>
      </c>
      <c r="B116" t="s">
        <v>1438</v>
      </c>
      <c r="C116" t="s">
        <v>1437</v>
      </c>
      <c r="D116" t="s">
        <v>250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109</v>
      </c>
    </row>
    <row r="117" spans="1:33">
      <c r="A117" t="s">
        <v>222</v>
      </c>
      <c r="B117" t="s">
        <v>1436</v>
      </c>
      <c r="C117" t="s">
        <v>1435</v>
      </c>
      <c r="D117" t="s">
        <v>251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109</v>
      </c>
    </row>
    <row r="118" spans="1:33">
      <c r="A118" t="s">
        <v>223</v>
      </c>
      <c r="B118" t="s">
        <v>1434</v>
      </c>
      <c r="C118" t="s">
        <v>1433</v>
      </c>
      <c r="D118" t="s">
        <v>250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109</v>
      </c>
    </row>
    <row r="119" spans="1:33">
      <c r="A119" t="s">
        <v>514</v>
      </c>
      <c r="B119" t="s">
        <v>1432</v>
      </c>
      <c r="C119" t="s">
        <v>1431</v>
      </c>
      <c r="D119" t="s">
        <v>250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109</v>
      </c>
    </row>
    <row r="120" spans="1:33">
      <c r="A120" t="s">
        <v>511</v>
      </c>
      <c r="B120" t="s">
        <v>1430</v>
      </c>
      <c r="C120" t="s">
        <v>1429</v>
      </c>
      <c r="D120" t="s">
        <v>251</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109</v>
      </c>
    </row>
    <row r="121" spans="1:33">
      <c r="A121" t="s">
        <v>508</v>
      </c>
      <c r="B121" t="s">
        <v>1428</v>
      </c>
      <c r="C121" t="s">
        <v>1427</v>
      </c>
      <c r="D121" t="s">
        <v>250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109</v>
      </c>
    </row>
    <row r="122" spans="1:33">
      <c r="A122" t="s">
        <v>232</v>
      </c>
      <c r="B122" t="s">
        <v>1426</v>
      </c>
      <c r="C122" t="s">
        <v>1425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8">
        <v>8.9999999999999993E-3</v>
      </c>
    </row>
    <row r="123" spans="1:33">
      <c r="A123" t="s">
        <v>155</v>
      </c>
    </row>
    <row r="124" spans="1:33">
      <c r="A124" t="s">
        <v>173</v>
      </c>
      <c r="B124" t="s">
        <v>1424</v>
      </c>
      <c r="C124" t="s">
        <v>1423</v>
      </c>
      <c r="D124" t="s">
        <v>250</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8">
        <v>8.0000000000000002E-3</v>
      </c>
    </row>
    <row r="125" spans="1:33">
      <c r="A125" t="s">
        <v>218</v>
      </c>
      <c r="B125" t="s">
        <v>1422</v>
      </c>
      <c r="C125" t="s">
        <v>1421</v>
      </c>
      <c r="D125" t="s">
        <v>251</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8">
        <v>4.0000000000000001E-3</v>
      </c>
    </row>
    <row r="126" spans="1:33">
      <c r="A126" t="s">
        <v>176</v>
      </c>
      <c r="B126" t="s">
        <v>1420</v>
      </c>
      <c r="C126" t="s">
        <v>1419</v>
      </c>
      <c r="D126" t="s">
        <v>251</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8">
        <v>4.0000000000000001E-3</v>
      </c>
    </row>
    <row r="127" spans="1:33">
      <c r="A127" t="s">
        <v>179</v>
      </c>
      <c r="B127" t="s">
        <v>1418</v>
      </c>
      <c r="C127" t="s">
        <v>1417</v>
      </c>
      <c r="D127" t="s">
        <v>251</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8">
        <v>0.01</v>
      </c>
    </row>
    <row r="128" spans="1:33">
      <c r="A128" t="s">
        <v>219</v>
      </c>
      <c r="B128" t="s">
        <v>1416</v>
      </c>
      <c r="C128" t="s">
        <v>1415</v>
      </c>
      <c r="D128" t="s">
        <v>252</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8">
        <v>0</v>
      </c>
    </row>
    <row r="129" spans="1:33">
      <c r="A129" t="s">
        <v>220</v>
      </c>
      <c r="B129" t="s">
        <v>1414</v>
      </c>
      <c r="C129" t="s">
        <v>1413</v>
      </c>
      <c r="D129" t="s">
        <v>251</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8">
        <v>-5.0000000000000001E-3</v>
      </c>
    </row>
    <row r="130" spans="1:33">
      <c r="A130" t="s">
        <v>221</v>
      </c>
      <c r="B130" t="s">
        <v>1412</v>
      </c>
      <c r="C130" t="s">
        <v>1411</v>
      </c>
      <c r="D130" t="s">
        <v>251</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109</v>
      </c>
    </row>
    <row r="131" spans="1:33">
      <c r="A131" t="s">
        <v>222</v>
      </c>
      <c r="B131" t="s">
        <v>1410</v>
      </c>
      <c r="C131" t="s">
        <v>1409</v>
      </c>
      <c r="D131" t="s">
        <v>251</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109</v>
      </c>
    </row>
    <row r="132" spans="1:33">
      <c r="A132" t="s">
        <v>223</v>
      </c>
      <c r="B132" t="s">
        <v>1408</v>
      </c>
      <c r="C132" t="s">
        <v>1407</v>
      </c>
      <c r="D132" t="s">
        <v>251</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109</v>
      </c>
    </row>
    <row r="133" spans="1:33">
      <c r="A133" t="s">
        <v>514</v>
      </c>
      <c r="B133" t="s">
        <v>1406</v>
      </c>
      <c r="C133" t="s">
        <v>1405</v>
      </c>
      <c r="D133" t="s">
        <v>250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109</v>
      </c>
    </row>
    <row r="134" spans="1:33">
      <c r="A134" t="s">
        <v>511</v>
      </c>
      <c r="B134" t="s">
        <v>1404</v>
      </c>
      <c r="C134" t="s">
        <v>1403</v>
      </c>
      <c r="D134" t="s">
        <v>251</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109</v>
      </c>
    </row>
    <row r="135" spans="1:33">
      <c r="A135" t="s">
        <v>508</v>
      </c>
      <c r="B135" t="s">
        <v>1402</v>
      </c>
      <c r="C135" t="s">
        <v>1401</v>
      </c>
      <c r="D135" t="s">
        <v>250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109</v>
      </c>
    </row>
    <row r="136" spans="1:33">
      <c r="A136" t="s">
        <v>233</v>
      </c>
      <c r="B136" t="s">
        <v>1400</v>
      </c>
      <c r="C136" t="s">
        <v>1399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8">
        <v>6.0000000000000001E-3</v>
      </c>
    </row>
    <row r="137" spans="1:33">
      <c r="A137" t="s">
        <v>226</v>
      </c>
    </row>
    <row r="138" spans="1:33">
      <c r="A138" t="s">
        <v>173</v>
      </c>
      <c r="B138" t="s">
        <v>1398</v>
      </c>
      <c r="C138" t="s">
        <v>1397</v>
      </c>
      <c r="D138" t="s">
        <v>250</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8">
        <v>8.0000000000000002E-3</v>
      </c>
    </row>
    <row r="139" spans="1:33">
      <c r="A139" t="s">
        <v>218</v>
      </c>
      <c r="B139" t="s">
        <v>1396</v>
      </c>
      <c r="C139" t="s">
        <v>1395</v>
      </c>
      <c r="D139" t="s">
        <v>251</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8">
        <v>8.9999999999999993E-3</v>
      </c>
    </row>
    <row r="140" spans="1:33">
      <c r="A140" t="s">
        <v>176</v>
      </c>
      <c r="B140" t="s">
        <v>1394</v>
      </c>
      <c r="C140" t="s">
        <v>1393</v>
      </c>
      <c r="D140" t="s">
        <v>251</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8">
        <v>8.9999999999999993E-3</v>
      </c>
    </row>
    <row r="141" spans="1:33">
      <c r="A141" t="s">
        <v>179</v>
      </c>
      <c r="B141" t="s">
        <v>1392</v>
      </c>
      <c r="C141" t="s">
        <v>1391</v>
      </c>
      <c r="D141" t="s">
        <v>250</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8">
        <v>7.0000000000000001E-3</v>
      </c>
    </row>
    <row r="142" spans="1:33">
      <c r="A142" t="s">
        <v>219</v>
      </c>
      <c r="B142" t="s">
        <v>1390</v>
      </c>
      <c r="C142" t="s">
        <v>1389</v>
      </c>
      <c r="D142" t="s">
        <v>251</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109</v>
      </c>
    </row>
    <row r="143" spans="1:33">
      <c r="A143" t="s">
        <v>220</v>
      </c>
      <c r="B143" t="s">
        <v>1388</v>
      </c>
      <c r="C143" t="s">
        <v>1387</v>
      </c>
      <c r="D143" t="s">
        <v>250</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8">
        <v>3.0000000000000001E-3</v>
      </c>
    </row>
    <row r="144" spans="1:33">
      <c r="A144" t="s">
        <v>221</v>
      </c>
      <c r="B144" t="s">
        <v>1386</v>
      </c>
      <c r="C144" t="s">
        <v>1385</v>
      </c>
      <c r="D144" t="s">
        <v>250</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109</v>
      </c>
    </row>
    <row r="145" spans="1:33">
      <c r="A145" t="s">
        <v>222</v>
      </c>
      <c r="B145" t="s">
        <v>1384</v>
      </c>
      <c r="C145" t="s">
        <v>1383</v>
      </c>
      <c r="D145" t="s">
        <v>251</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109</v>
      </c>
    </row>
    <row r="146" spans="1:33">
      <c r="A146" t="s">
        <v>223</v>
      </c>
      <c r="B146" t="s">
        <v>1382</v>
      </c>
      <c r="C146" t="s">
        <v>1381</v>
      </c>
      <c r="D146" t="s">
        <v>250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109</v>
      </c>
    </row>
    <row r="147" spans="1:33">
      <c r="A147" t="s">
        <v>514</v>
      </c>
      <c r="B147" t="s">
        <v>1380</v>
      </c>
      <c r="C147" t="s">
        <v>1379</v>
      </c>
      <c r="D147" t="s">
        <v>250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109</v>
      </c>
    </row>
    <row r="148" spans="1:33">
      <c r="A148" t="s">
        <v>511</v>
      </c>
      <c r="B148" t="s">
        <v>1378</v>
      </c>
      <c r="C148" t="s">
        <v>1377</v>
      </c>
      <c r="D148" t="s">
        <v>251</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109</v>
      </c>
    </row>
    <row r="149" spans="1:33">
      <c r="A149" t="s">
        <v>508</v>
      </c>
      <c r="B149" t="s">
        <v>1376</v>
      </c>
      <c r="C149" t="s">
        <v>1375</v>
      </c>
      <c r="D149" t="s">
        <v>250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109</v>
      </c>
    </row>
    <row r="150" spans="1:33">
      <c r="A150" t="s">
        <v>234</v>
      </c>
      <c r="B150" t="s">
        <v>1374</v>
      </c>
      <c r="C150" t="s">
        <v>1373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8">
        <v>8.0000000000000002E-3</v>
      </c>
    </row>
    <row r="151" spans="1:33">
      <c r="A151" t="s">
        <v>235</v>
      </c>
      <c r="B151" t="s">
        <v>1372</v>
      </c>
      <c r="C151" t="s">
        <v>1371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8">
        <v>8.9999999999999993E-3</v>
      </c>
    </row>
    <row r="152" spans="1:33">
      <c r="A152" t="s">
        <v>236</v>
      </c>
    </row>
    <row r="153" spans="1:33">
      <c r="A153" t="s">
        <v>154</v>
      </c>
    </row>
    <row r="154" spans="1:33">
      <c r="A154" t="s">
        <v>173</v>
      </c>
      <c r="B154" t="s">
        <v>1370</v>
      </c>
      <c r="C154" t="s">
        <v>1369</v>
      </c>
      <c r="D154" t="s">
        <v>214</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8">
        <v>-1.7000000000000001E-2</v>
      </c>
    </row>
    <row r="155" spans="1:33">
      <c r="A155" t="s">
        <v>218</v>
      </c>
      <c r="B155" t="s">
        <v>1368</v>
      </c>
      <c r="C155" t="s">
        <v>1367</v>
      </c>
      <c r="D155" t="s">
        <v>214</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8">
        <v>7.0000000000000001E-3</v>
      </c>
    </row>
    <row r="156" spans="1:33">
      <c r="A156" t="s">
        <v>176</v>
      </c>
      <c r="B156" t="s">
        <v>1366</v>
      </c>
      <c r="C156" t="s">
        <v>1365</v>
      </c>
      <c r="D156" t="s">
        <v>214</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8">
        <v>-1.0999999999999999E-2</v>
      </c>
    </row>
    <row r="157" spans="1:33">
      <c r="A157" t="s">
        <v>179</v>
      </c>
      <c r="B157" t="s">
        <v>1364</v>
      </c>
      <c r="C157" t="s">
        <v>1363</v>
      </c>
      <c r="D157" t="s">
        <v>214</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8">
        <v>0.17199999999999999</v>
      </c>
    </row>
    <row r="158" spans="1:33">
      <c r="A158" t="s">
        <v>219</v>
      </c>
      <c r="B158" t="s">
        <v>1362</v>
      </c>
      <c r="C158" t="s">
        <v>1361</v>
      </c>
      <c r="D158" t="s">
        <v>214</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8">
        <v>-6.4000000000000001E-2</v>
      </c>
    </row>
    <row r="159" spans="1:33">
      <c r="A159" t="s">
        <v>220</v>
      </c>
      <c r="B159" t="s">
        <v>1360</v>
      </c>
      <c r="C159" t="s">
        <v>1359</v>
      </c>
      <c r="D159" t="s">
        <v>214</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8">
        <v>0.253</v>
      </c>
    </row>
    <row r="160" spans="1:33">
      <c r="A160" t="s">
        <v>221</v>
      </c>
      <c r="B160" t="s">
        <v>1358</v>
      </c>
      <c r="C160" t="s">
        <v>1357</v>
      </c>
      <c r="D160" t="s">
        <v>214</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109</v>
      </c>
    </row>
    <row r="161" spans="1:33">
      <c r="A161" t="s">
        <v>222</v>
      </c>
      <c r="B161" t="s">
        <v>1356</v>
      </c>
      <c r="C161" t="s">
        <v>1355</v>
      </c>
      <c r="D161" t="s">
        <v>214</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109</v>
      </c>
    </row>
    <row r="162" spans="1:33">
      <c r="A162" t="s">
        <v>223</v>
      </c>
      <c r="B162" t="s">
        <v>1354</v>
      </c>
      <c r="C162" t="s">
        <v>1353</v>
      </c>
      <c r="D162" t="s">
        <v>214</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109</v>
      </c>
    </row>
    <row r="163" spans="1:33">
      <c r="A163" t="s">
        <v>514</v>
      </c>
      <c r="B163" t="s">
        <v>1352</v>
      </c>
      <c r="C163" t="s">
        <v>1351</v>
      </c>
      <c r="D163" t="s">
        <v>214</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109</v>
      </c>
    </row>
    <row r="164" spans="1:33">
      <c r="A164" t="s">
        <v>511</v>
      </c>
      <c r="B164" t="s">
        <v>1350</v>
      </c>
      <c r="C164" t="s">
        <v>1349</v>
      </c>
      <c r="D164" t="s">
        <v>214</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109</v>
      </c>
    </row>
    <row r="165" spans="1:33">
      <c r="A165" t="s">
        <v>508</v>
      </c>
      <c r="B165" t="s">
        <v>1348</v>
      </c>
      <c r="C165" t="s">
        <v>1347</v>
      </c>
      <c r="D165" t="s">
        <v>214</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109</v>
      </c>
    </row>
    <row r="166" spans="1:33">
      <c r="A166" t="s">
        <v>224</v>
      </c>
      <c r="B166" t="s">
        <v>1346</v>
      </c>
      <c r="C166" t="s">
        <v>1345</v>
      </c>
      <c r="D166" t="s">
        <v>214</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8">
        <v>2.4E-2</v>
      </c>
    </row>
    <row r="167" spans="1:33">
      <c r="A167" t="s">
        <v>155</v>
      </c>
    </row>
    <row r="168" spans="1:33">
      <c r="A168" t="s">
        <v>173</v>
      </c>
      <c r="B168" t="s">
        <v>1344</v>
      </c>
      <c r="C168" t="s">
        <v>1343</v>
      </c>
      <c r="D168" t="s">
        <v>214</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8">
        <v>-0.01</v>
      </c>
    </row>
    <row r="169" spans="1:33">
      <c r="A169" t="s">
        <v>218</v>
      </c>
      <c r="B169" t="s">
        <v>1342</v>
      </c>
      <c r="C169" t="s">
        <v>1341</v>
      </c>
      <c r="D169" t="s">
        <v>214</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8">
        <v>4.0000000000000001E-3</v>
      </c>
    </row>
    <row r="170" spans="1:33">
      <c r="A170" t="s">
        <v>176</v>
      </c>
      <c r="B170" t="s">
        <v>1340</v>
      </c>
      <c r="C170" t="s">
        <v>1339</v>
      </c>
      <c r="D170" t="s">
        <v>214</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8">
        <v>-0.08</v>
      </c>
    </row>
    <row r="171" spans="1:33">
      <c r="A171" t="s">
        <v>179</v>
      </c>
      <c r="B171" t="s">
        <v>1338</v>
      </c>
      <c r="C171" t="s">
        <v>1337</v>
      </c>
      <c r="D171" t="s">
        <v>214</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8">
        <v>8.6999999999999994E-2</v>
      </c>
    </row>
    <row r="172" spans="1:33">
      <c r="A172" t="s">
        <v>219</v>
      </c>
      <c r="B172" t="s">
        <v>1336</v>
      </c>
      <c r="C172" t="s">
        <v>1335</v>
      </c>
      <c r="D172" t="s">
        <v>214</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8">
        <v>-5.0999999999999997E-2</v>
      </c>
    </row>
    <row r="173" spans="1:33">
      <c r="A173" t="s">
        <v>220</v>
      </c>
      <c r="B173" t="s">
        <v>1334</v>
      </c>
      <c r="C173" t="s">
        <v>1333</v>
      </c>
      <c r="D173" t="s">
        <v>214</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8">
        <v>4.8000000000000001E-2</v>
      </c>
    </row>
    <row r="174" spans="1:33">
      <c r="A174" t="s">
        <v>221</v>
      </c>
      <c r="B174" t="s">
        <v>1332</v>
      </c>
      <c r="C174" t="s">
        <v>1331</v>
      </c>
      <c r="D174" t="s">
        <v>214</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109</v>
      </c>
    </row>
    <row r="175" spans="1:33">
      <c r="A175" t="s">
        <v>222</v>
      </c>
      <c r="B175" t="s">
        <v>1330</v>
      </c>
      <c r="C175" t="s">
        <v>1329</v>
      </c>
      <c r="D175" t="s">
        <v>214</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109</v>
      </c>
    </row>
    <row r="176" spans="1:33">
      <c r="A176" t="s">
        <v>223</v>
      </c>
      <c r="B176" t="s">
        <v>1328</v>
      </c>
      <c r="C176" t="s">
        <v>1327</v>
      </c>
      <c r="D176" t="s">
        <v>214</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109</v>
      </c>
    </row>
    <row r="177" spans="1:33">
      <c r="A177" t="s">
        <v>514</v>
      </c>
      <c r="B177" t="s">
        <v>1326</v>
      </c>
      <c r="C177" t="s">
        <v>1325</v>
      </c>
      <c r="D177" t="s">
        <v>214</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109</v>
      </c>
    </row>
    <row r="178" spans="1:33">
      <c r="A178" t="s">
        <v>511</v>
      </c>
      <c r="B178" t="s">
        <v>1324</v>
      </c>
      <c r="C178" t="s">
        <v>1323</v>
      </c>
      <c r="D178" t="s">
        <v>214</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109</v>
      </c>
    </row>
    <row r="179" spans="1:33">
      <c r="A179" t="s">
        <v>508</v>
      </c>
      <c r="B179" t="s">
        <v>1322</v>
      </c>
      <c r="C179" t="s">
        <v>1321</v>
      </c>
      <c r="D179" t="s">
        <v>214</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109</v>
      </c>
    </row>
    <row r="180" spans="1:33">
      <c r="A180" t="s">
        <v>225</v>
      </c>
      <c r="B180" t="s">
        <v>1320</v>
      </c>
      <c r="C180" t="s">
        <v>1319</v>
      </c>
      <c r="D180" t="s">
        <v>214</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8">
        <v>6.0000000000000001E-3</v>
      </c>
    </row>
    <row r="181" spans="1:33">
      <c r="A181" t="s">
        <v>226</v>
      </c>
    </row>
    <row r="182" spans="1:33">
      <c r="A182" t="s">
        <v>173</v>
      </c>
      <c r="B182" t="s">
        <v>1318</v>
      </c>
      <c r="C182" t="s">
        <v>1317</v>
      </c>
      <c r="D182" t="s">
        <v>214</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8">
        <v>1.0999999999999999E-2</v>
      </c>
    </row>
    <row r="183" spans="1:33">
      <c r="A183" t="s">
        <v>218</v>
      </c>
      <c r="B183" t="s">
        <v>1316</v>
      </c>
      <c r="C183" t="s">
        <v>1315</v>
      </c>
      <c r="D183" t="s">
        <v>214</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8">
        <v>-6.3E-2</v>
      </c>
    </row>
    <row r="184" spans="1:33">
      <c r="A184" t="s">
        <v>176</v>
      </c>
      <c r="B184" t="s">
        <v>1314</v>
      </c>
      <c r="C184" t="s">
        <v>1313</v>
      </c>
      <c r="D184" t="s">
        <v>214</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8">
        <v>0.01</v>
      </c>
    </row>
    <row r="185" spans="1:33">
      <c r="A185" t="s">
        <v>179</v>
      </c>
      <c r="B185" t="s">
        <v>1312</v>
      </c>
      <c r="C185" t="s">
        <v>1311</v>
      </c>
      <c r="D185" t="s">
        <v>214</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8">
        <v>3.4000000000000002E-2</v>
      </c>
    </row>
    <row r="186" spans="1:33">
      <c r="A186" t="s">
        <v>219</v>
      </c>
      <c r="B186" t="s">
        <v>1310</v>
      </c>
      <c r="C186" t="s">
        <v>1309</v>
      </c>
      <c r="D186" t="s">
        <v>214</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109</v>
      </c>
    </row>
    <row r="187" spans="1:33">
      <c r="A187" t="s">
        <v>220</v>
      </c>
      <c r="B187" t="s">
        <v>1308</v>
      </c>
      <c r="C187" t="s">
        <v>1307</v>
      </c>
      <c r="D187" t="s">
        <v>214</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8">
        <v>8.5000000000000006E-2</v>
      </c>
    </row>
    <row r="188" spans="1:33">
      <c r="A188" t="s">
        <v>221</v>
      </c>
      <c r="B188" t="s">
        <v>1306</v>
      </c>
      <c r="C188" t="s">
        <v>1305</v>
      </c>
      <c r="D188" t="s">
        <v>214</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109</v>
      </c>
    </row>
    <row r="189" spans="1:33">
      <c r="A189" t="s">
        <v>222</v>
      </c>
      <c r="B189" t="s">
        <v>1304</v>
      </c>
      <c r="C189" t="s">
        <v>1303</v>
      </c>
      <c r="D189" t="s">
        <v>214</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109</v>
      </c>
    </row>
    <row r="190" spans="1:33">
      <c r="A190" t="s">
        <v>223</v>
      </c>
      <c r="B190" t="s">
        <v>1302</v>
      </c>
      <c r="C190" t="s">
        <v>1301</v>
      </c>
      <c r="D190" t="s">
        <v>214</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109</v>
      </c>
    </row>
    <row r="191" spans="1:33">
      <c r="A191" t="s">
        <v>514</v>
      </c>
      <c r="B191" t="s">
        <v>1300</v>
      </c>
      <c r="C191" t="s">
        <v>1299</v>
      </c>
      <c r="D191" t="s">
        <v>214</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109</v>
      </c>
    </row>
    <row r="192" spans="1:33">
      <c r="A192" t="s">
        <v>511</v>
      </c>
      <c r="B192" t="s">
        <v>1298</v>
      </c>
      <c r="C192" t="s">
        <v>1297</v>
      </c>
      <c r="D192" t="s">
        <v>214</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109</v>
      </c>
    </row>
    <row r="193" spans="1:33">
      <c r="A193" t="s">
        <v>508</v>
      </c>
      <c r="B193" t="s">
        <v>1296</v>
      </c>
      <c r="C193" t="s">
        <v>1295</v>
      </c>
      <c r="D193" t="s">
        <v>214</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109</v>
      </c>
    </row>
    <row r="194" spans="1:33">
      <c r="A194" t="s">
        <v>227</v>
      </c>
      <c r="B194" t="s">
        <v>1294</v>
      </c>
      <c r="C194" t="s">
        <v>1293</v>
      </c>
      <c r="D194" t="s">
        <v>214</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8">
        <v>1.0999999999999999E-2</v>
      </c>
    </row>
    <row r="195" spans="1:33">
      <c r="A195" t="s">
        <v>237</v>
      </c>
      <c r="B195" t="s">
        <v>1292</v>
      </c>
      <c r="C195" t="s">
        <v>1291</v>
      </c>
      <c r="D195" t="s">
        <v>214</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8">
        <v>1.4999999999999999E-2</v>
      </c>
    </row>
    <row r="196" spans="1:33">
      <c r="A196" t="s">
        <v>137</v>
      </c>
    </row>
    <row r="197" spans="1:33">
      <c r="A197" t="s">
        <v>231</v>
      </c>
    </row>
    <row r="198" spans="1:33">
      <c r="A198" t="s">
        <v>154</v>
      </c>
    </row>
    <row r="199" spans="1:33">
      <c r="A199" t="s">
        <v>173</v>
      </c>
      <c r="B199" t="s">
        <v>1290</v>
      </c>
      <c r="C199" t="s">
        <v>1289</v>
      </c>
      <c r="D199" t="s">
        <v>250</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8">
        <v>5.0000000000000001E-3</v>
      </c>
    </row>
    <row r="200" spans="1:33">
      <c r="A200" t="s">
        <v>218</v>
      </c>
      <c r="B200" t="s">
        <v>1288</v>
      </c>
      <c r="C200" t="s">
        <v>1287</v>
      </c>
      <c r="D200" t="s">
        <v>251</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8">
        <v>4.0000000000000001E-3</v>
      </c>
    </row>
    <row r="201" spans="1:33">
      <c r="A201" t="s">
        <v>176</v>
      </c>
      <c r="B201" t="s">
        <v>1286</v>
      </c>
      <c r="C201" t="s">
        <v>1285</v>
      </c>
      <c r="D201" t="s">
        <v>251</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8">
        <v>4.0000000000000001E-3</v>
      </c>
    </row>
    <row r="202" spans="1:33">
      <c r="A202" t="s">
        <v>179</v>
      </c>
      <c r="B202" t="s">
        <v>1284</v>
      </c>
      <c r="C202" t="s">
        <v>1283</v>
      </c>
      <c r="D202" t="s">
        <v>251</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8">
        <v>4.0000000000000001E-3</v>
      </c>
    </row>
    <row r="203" spans="1:33">
      <c r="A203" t="s">
        <v>219</v>
      </c>
      <c r="B203" t="s">
        <v>1282</v>
      </c>
      <c r="C203" t="s">
        <v>1281</v>
      </c>
      <c r="D203" t="s">
        <v>251</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8">
        <v>2E-3</v>
      </c>
    </row>
    <row r="204" spans="1:33">
      <c r="A204" t="s">
        <v>220</v>
      </c>
      <c r="B204" t="s">
        <v>1280</v>
      </c>
      <c r="C204" t="s">
        <v>1279</v>
      </c>
      <c r="D204" t="s">
        <v>250</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8">
        <v>0</v>
      </c>
    </row>
    <row r="205" spans="1:33">
      <c r="A205" t="s">
        <v>221</v>
      </c>
      <c r="B205" t="s">
        <v>1278</v>
      </c>
      <c r="C205" t="s">
        <v>1277</v>
      </c>
      <c r="D205" t="s">
        <v>250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109</v>
      </c>
    </row>
    <row r="206" spans="1:33">
      <c r="A206" t="s">
        <v>222</v>
      </c>
      <c r="B206" t="s">
        <v>1276</v>
      </c>
      <c r="C206" t="s">
        <v>1275</v>
      </c>
      <c r="D206" t="s">
        <v>251</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109</v>
      </c>
    </row>
    <row r="207" spans="1:33">
      <c r="A207" t="s">
        <v>223</v>
      </c>
      <c r="B207" t="s">
        <v>1274</v>
      </c>
      <c r="C207" t="s">
        <v>1273</v>
      </c>
      <c r="D207" t="s">
        <v>250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109</v>
      </c>
    </row>
    <row r="208" spans="1:33">
      <c r="A208" t="s">
        <v>514</v>
      </c>
      <c r="B208" t="s">
        <v>1272</v>
      </c>
      <c r="C208" t="s">
        <v>1271</v>
      </c>
      <c r="D208" t="s">
        <v>250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109</v>
      </c>
    </row>
    <row r="209" spans="1:33">
      <c r="A209" t="s">
        <v>511</v>
      </c>
      <c r="B209" t="s">
        <v>1270</v>
      </c>
      <c r="C209" t="s">
        <v>1269</v>
      </c>
      <c r="D209" t="s">
        <v>251</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109</v>
      </c>
    </row>
    <row r="210" spans="1:33">
      <c r="A210" t="s">
        <v>508</v>
      </c>
      <c r="B210" t="s">
        <v>1268</v>
      </c>
      <c r="C210" t="s">
        <v>1267</v>
      </c>
      <c r="D210" t="s">
        <v>250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109</v>
      </c>
    </row>
    <row r="211" spans="1:33">
      <c r="A211" t="s">
        <v>232</v>
      </c>
      <c r="B211" t="s">
        <v>1266</v>
      </c>
      <c r="C211" t="s">
        <v>1265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8">
        <v>1.2E-2</v>
      </c>
    </row>
    <row r="212" spans="1:33">
      <c r="A212" t="s">
        <v>155</v>
      </c>
    </row>
    <row r="213" spans="1:33">
      <c r="A213" t="s">
        <v>173</v>
      </c>
      <c r="B213" t="s">
        <v>1264</v>
      </c>
      <c r="C213" t="s">
        <v>1263</v>
      </c>
      <c r="D213" t="s">
        <v>250</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8">
        <v>5.0000000000000001E-3</v>
      </c>
    </row>
    <row r="214" spans="1:33">
      <c r="A214" t="s">
        <v>218</v>
      </c>
      <c r="B214" t="s">
        <v>1262</v>
      </c>
      <c r="C214" t="s">
        <v>1261</v>
      </c>
      <c r="D214" t="s">
        <v>251</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8">
        <v>5.0000000000000001E-3</v>
      </c>
    </row>
    <row r="215" spans="1:33">
      <c r="A215" t="s">
        <v>176</v>
      </c>
      <c r="B215" t="s">
        <v>1260</v>
      </c>
      <c r="C215" t="s">
        <v>1259</v>
      </c>
      <c r="D215" t="s">
        <v>251</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8">
        <v>1.0999999999999999E-2</v>
      </c>
    </row>
    <row r="216" spans="1:33">
      <c r="A216" t="s">
        <v>179</v>
      </c>
      <c r="B216" t="s">
        <v>1258</v>
      </c>
      <c r="C216" t="s">
        <v>1257</v>
      </c>
      <c r="D216" t="s">
        <v>251</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8">
        <v>8.9999999999999993E-3</v>
      </c>
    </row>
    <row r="217" spans="1:33">
      <c r="A217" t="s">
        <v>219</v>
      </c>
      <c r="B217" t="s">
        <v>1256</v>
      </c>
      <c r="C217" t="s">
        <v>1255</v>
      </c>
      <c r="D217" t="s">
        <v>252</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8">
        <v>8.0000000000000002E-3</v>
      </c>
    </row>
    <row r="218" spans="1:33">
      <c r="A218" t="s">
        <v>220</v>
      </c>
      <c r="B218" t="s">
        <v>1254</v>
      </c>
      <c r="C218" t="s">
        <v>1253</v>
      </c>
      <c r="D218" t="s">
        <v>251</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8">
        <v>2E-3</v>
      </c>
    </row>
    <row r="219" spans="1:33">
      <c r="A219" t="s">
        <v>221</v>
      </c>
      <c r="B219" t="s">
        <v>1252</v>
      </c>
      <c r="C219" t="s">
        <v>1251</v>
      </c>
      <c r="D219" t="s">
        <v>251</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109</v>
      </c>
    </row>
    <row r="220" spans="1:33">
      <c r="A220" t="s">
        <v>222</v>
      </c>
      <c r="B220" t="s">
        <v>1250</v>
      </c>
      <c r="C220" t="s">
        <v>1249</v>
      </c>
      <c r="D220" t="s">
        <v>251</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109</v>
      </c>
    </row>
    <row r="221" spans="1:33">
      <c r="A221" t="s">
        <v>223</v>
      </c>
      <c r="B221" t="s">
        <v>1248</v>
      </c>
      <c r="C221" t="s">
        <v>1247</v>
      </c>
      <c r="D221" t="s">
        <v>251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109</v>
      </c>
    </row>
    <row r="222" spans="1:33">
      <c r="A222" t="s">
        <v>514</v>
      </c>
      <c r="B222" t="s">
        <v>1246</v>
      </c>
      <c r="C222" t="s">
        <v>1245</v>
      </c>
      <c r="D222" t="s">
        <v>250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109</v>
      </c>
    </row>
    <row r="223" spans="1:33">
      <c r="A223" t="s">
        <v>511</v>
      </c>
      <c r="B223" t="s">
        <v>1244</v>
      </c>
      <c r="C223" t="s">
        <v>1243</v>
      </c>
      <c r="D223" t="s">
        <v>251</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109</v>
      </c>
    </row>
    <row r="224" spans="1:33">
      <c r="A224" t="s">
        <v>508</v>
      </c>
      <c r="B224" t="s">
        <v>1242</v>
      </c>
      <c r="C224" t="s">
        <v>1241</v>
      </c>
      <c r="D224" t="s">
        <v>250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109</v>
      </c>
    </row>
    <row r="225" spans="1:33">
      <c r="A225" t="s">
        <v>233</v>
      </c>
      <c r="B225" t="s">
        <v>1240</v>
      </c>
      <c r="C225" t="s">
        <v>1239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8">
        <v>5.0000000000000001E-3</v>
      </c>
    </row>
    <row r="226" spans="1:33">
      <c r="A226" t="s">
        <v>226</v>
      </c>
    </row>
    <row r="227" spans="1:33">
      <c r="A227" t="s">
        <v>173</v>
      </c>
      <c r="B227" t="s">
        <v>1238</v>
      </c>
      <c r="C227" t="s">
        <v>1237</v>
      </c>
      <c r="D227" t="s">
        <v>250</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8">
        <v>7.0000000000000001E-3</v>
      </c>
    </row>
    <row r="228" spans="1:33">
      <c r="A228" t="s">
        <v>218</v>
      </c>
      <c r="B228" t="s">
        <v>1236</v>
      </c>
      <c r="C228" t="s">
        <v>1235</v>
      </c>
      <c r="D228" t="s">
        <v>251</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8">
        <v>7.0000000000000001E-3</v>
      </c>
    </row>
    <row r="229" spans="1:33">
      <c r="A229" t="s">
        <v>176</v>
      </c>
      <c r="B229" t="s">
        <v>1234</v>
      </c>
      <c r="C229" t="s">
        <v>1233</v>
      </c>
      <c r="D229" t="s">
        <v>251</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8">
        <v>8.0000000000000002E-3</v>
      </c>
    </row>
    <row r="230" spans="1:33">
      <c r="A230" t="s">
        <v>179</v>
      </c>
      <c r="B230" t="s">
        <v>1232</v>
      </c>
      <c r="C230" t="s">
        <v>1231</v>
      </c>
      <c r="D230" t="s">
        <v>250</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8">
        <v>8.9999999999999993E-3</v>
      </c>
    </row>
    <row r="231" spans="1:33">
      <c r="A231" t="s">
        <v>219</v>
      </c>
      <c r="B231" t="s">
        <v>1230</v>
      </c>
      <c r="C231" t="s">
        <v>1229</v>
      </c>
      <c r="D231" t="s">
        <v>251</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109</v>
      </c>
    </row>
    <row r="232" spans="1:33">
      <c r="A232" t="s">
        <v>220</v>
      </c>
      <c r="B232" t="s">
        <v>1228</v>
      </c>
      <c r="C232" t="s">
        <v>1227</v>
      </c>
      <c r="D232" t="s">
        <v>250</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8">
        <v>5.0000000000000001E-3</v>
      </c>
    </row>
    <row r="233" spans="1:33">
      <c r="A233" t="s">
        <v>221</v>
      </c>
      <c r="B233" t="s">
        <v>1226</v>
      </c>
      <c r="C233" t="s">
        <v>1225</v>
      </c>
      <c r="D233" t="s">
        <v>250</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109</v>
      </c>
    </row>
    <row r="234" spans="1:33">
      <c r="A234" t="s">
        <v>222</v>
      </c>
      <c r="B234" t="s">
        <v>1224</v>
      </c>
      <c r="C234" t="s">
        <v>1223</v>
      </c>
      <c r="D234" t="s">
        <v>251</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109</v>
      </c>
    </row>
    <row r="235" spans="1:33">
      <c r="A235" t="s">
        <v>223</v>
      </c>
      <c r="B235" t="s">
        <v>1222</v>
      </c>
      <c r="C235" t="s">
        <v>1221</v>
      </c>
      <c r="D235" t="s">
        <v>250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109</v>
      </c>
    </row>
    <row r="236" spans="1:33">
      <c r="A236" t="s">
        <v>514</v>
      </c>
      <c r="B236" t="s">
        <v>1220</v>
      </c>
      <c r="C236" t="s">
        <v>1219</v>
      </c>
      <c r="D236" t="s">
        <v>250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109</v>
      </c>
    </row>
    <row r="237" spans="1:33">
      <c r="A237" t="s">
        <v>511</v>
      </c>
      <c r="B237" t="s">
        <v>1218</v>
      </c>
      <c r="C237" t="s">
        <v>1217</v>
      </c>
      <c r="D237" t="s">
        <v>251</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109</v>
      </c>
    </row>
    <row r="238" spans="1:33">
      <c r="A238" t="s">
        <v>508</v>
      </c>
      <c r="B238" t="s">
        <v>1216</v>
      </c>
      <c r="C238" t="s">
        <v>1215</v>
      </c>
      <c r="D238" t="s">
        <v>250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109</v>
      </c>
    </row>
    <row r="239" spans="1:33">
      <c r="A239" t="s">
        <v>234</v>
      </c>
      <c r="B239" t="s">
        <v>1214</v>
      </c>
      <c r="C239" t="s">
        <v>1213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8">
        <v>7.0000000000000001E-3</v>
      </c>
    </row>
    <row r="240" spans="1:33">
      <c r="A240" t="s">
        <v>235</v>
      </c>
      <c r="B240" t="s">
        <v>1212</v>
      </c>
      <c r="C240" t="s">
        <v>1211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8">
        <v>8.9999999999999993E-3</v>
      </c>
    </row>
    <row r="241" spans="1:33">
      <c r="A241" t="s">
        <v>238</v>
      </c>
    </row>
    <row r="242" spans="1:33">
      <c r="A242" t="s">
        <v>154</v>
      </c>
    </row>
    <row r="243" spans="1:33">
      <c r="A243" t="s">
        <v>173</v>
      </c>
      <c r="B243" t="s">
        <v>1210</v>
      </c>
      <c r="C243" t="s">
        <v>1209</v>
      </c>
      <c r="D243" t="s">
        <v>253</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8">
        <v>-7.8E-2</v>
      </c>
    </row>
    <row r="244" spans="1:33">
      <c r="A244" t="s">
        <v>218</v>
      </c>
      <c r="B244" t="s">
        <v>1208</v>
      </c>
      <c r="C244" t="s">
        <v>1207</v>
      </c>
      <c r="D244" t="s">
        <v>253</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8">
        <v>-6.2E-2</v>
      </c>
    </row>
    <row r="245" spans="1:33">
      <c r="A245" t="s">
        <v>176</v>
      </c>
      <c r="B245" t="s">
        <v>1206</v>
      </c>
      <c r="C245" t="s">
        <v>1205</v>
      </c>
      <c r="D245" t="s">
        <v>253</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8">
        <v>1.7999999999999999E-2</v>
      </c>
    </row>
    <row r="246" spans="1:33">
      <c r="A246" t="s">
        <v>179</v>
      </c>
      <c r="B246" t="s">
        <v>1204</v>
      </c>
      <c r="C246" t="s">
        <v>1203</v>
      </c>
      <c r="D246" t="s">
        <v>253</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8">
        <v>8.3000000000000004E-2</v>
      </c>
    </row>
    <row r="247" spans="1:33">
      <c r="A247" t="s">
        <v>219</v>
      </c>
      <c r="B247" t="s">
        <v>1202</v>
      </c>
      <c r="C247" t="s">
        <v>1201</v>
      </c>
      <c r="D247" t="s">
        <v>253</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8">
        <v>1.7999999999999999E-2</v>
      </c>
    </row>
    <row r="248" spans="1:33">
      <c r="A248" t="s">
        <v>220</v>
      </c>
      <c r="B248" t="s">
        <v>1200</v>
      </c>
      <c r="C248" t="s">
        <v>1199</v>
      </c>
      <c r="D248" t="s">
        <v>253</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8">
        <v>0.20399999999999999</v>
      </c>
    </row>
    <row r="249" spans="1:33">
      <c r="A249" t="s">
        <v>221</v>
      </c>
      <c r="B249" t="s">
        <v>1198</v>
      </c>
      <c r="C249" t="s">
        <v>1197</v>
      </c>
      <c r="D249" t="s">
        <v>253</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109</v>
      </c>
    </row>
    <row r="250" spans="1:33">
      <c r="A250" t="s">
        <v>222</v>
      </c>
      <c r="B250" t="s">
        <v>1196</v>
      </c>
      <c r="C250" t="s">
        <v>1195</v>
      </c>
      <c r="D250" t="s">
        <v>253</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109</v>
      </c>
    </row>
    <row r="251" spans="1:33">
      <c r="A251" t="s">
        <v>223</v>
      </c>
      <c r="B251" t="s">
        <v>1194</v>
      </c>
      <c r="C251" t="s">
        <v>1193</v>
      </c>
      <c r="D251" t="s">
        <v>253</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109</v>
      </c>
    </row>
    <row r="252" spans="1:33">
      <c r="A252" t="s">
        <v>514</v>
      </c>
      <c r="B252" t="s">
        <v>1192</v>
      </c>
      <c r="C252" t="s">
        <v>1191</v>
      </c>
      <c r="D252" t="s">
        <v>253</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109</v>
      </c>
    </row>
    <row r="253" spans="1:33">
      <c r="A253" t="s">
        <v>511</v>
      </c>
      <c r="B253" t="s">
        <v>1190</v>
      </c>
      <c r="C253" t="s">
        <v>1189</v>
      </c>
      <c r="D253" t="s">
        <v>253</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109</v>
      </c>
    </row>
    <row r="254" spans="1:33">
      <c r="A254" t="s">
        <v>508</v>
      </c>
      <c r="B254" t="s">
        <v>1188</v>
      </c>
      <c r="C254" t="s">
        <v>1187</v>
      </c>
      <c r="D254" t="s">
        <v>253</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109</v>
      </c>
    </row>
    <row r="255" spans="1:33">
      <c r="A255" t="s">
        <v>224</v>
      </c>
      <c r="B255" t="s">
        <v>1186</v>
      </c>
      <c r="C255" t="s">
        <v>1185</v>
      </c>
      <c r="D255" t="s">
        <v>253</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8">
        <v>2.3E-2</v>
      </c>
    </row>
    <row r="256" spans="1:33">
      <c r="A256" t="s">
        <v>155</v>
      </c>
    </row>
    <row r="257" spans="1:33">
      <c r="A257" t="s">
        <v>173</v>
      </c>
      <c r="B257" t="s">
        <v>1184</v>
      </c>
      <c r="C257" t="s">
        <v>1183</v>
      </c>
      <c r="D257" t="s">
        <v>253</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8">
        <v>-2.3E-2</v>
      </c>
    </row>
    <row r="258" spans="1:33">
      <c r="A258" t="s">
        <v>218</v>
      </c>
      <c r="B258" t="s">
        <v>1182</v>
      </c>
      <c r="C258" t="s">
        <v>1181</v>
      </c>
      <c r="D258" t="s">
        <v>253</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8">
        <v>-1.4999999999999999E-2</v>
      </c>
    </row>
    <row r="259" spans="1:33">
      <c r="A259" t="s">
        <v>176</v>
      </c>
      <c r="B259" t="s">
        <v>1180</v>
      </c>
      <c r="C259" t="s">
        <v>1179</v>
      </c>
      <c r="D259" t="s">
        <v>253</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8">
        <v>-2E-3</v>
      </c>
    </row>
    <row r="260" spans="1:33">
      <c r="A260" t="s">
        <v>179</v>
      </c>
      <c r="B260" t="s">
        <v>1178</v>
      </c>
      <c r="C260" t="s">
        <v>1177</v>
      </c>
      <c r="D260" t="s">
        <v>253</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8">
        <v>3.0000000000000001E-3</v>
      </c>
    </row>
    <row r="261" spans="1:33">
      <c r="A261" t="s">
        <v>219</v>
      </c>
      <c r="B261" t="s">
        <v>1176</v>
      </c>
      <c r="C261" t="s">
        <v>1175</v>
      </c>
      <c r="D261" t="s">
        <v>253</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8">
        <v>-2E-3</v>
      </c>
    </row>
    <row r="262" spans="1:33">
      <c r="A262" t="s">
        <v>220</v>
      </c>
      <c r="B262" t="s">
        <v>1174</v>
      </c>
      <c r="C262" t="s">
        <v>1173</v>
      </c>
      <c r="D262" t="s">
        <v>253</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8">
        <v>-2E-3</v>
      </c>
    </row>
    <row r="263" spans="1:33">
      <c r="A263" t="s">
        <v>221</v>
      </c>
      <c r="B263" t="s">
        <v>1172</v>
      </c>
      <c r="C263" t="s">
        <v>1171</v>
      </c>
      <c r="D263" t="s">
        <v>253</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109</v>
      </c>
    </row>
    <row r="264" spans="1:33">
      <c r="A264" t="s">
        <v>222</v>
      </c>
      <c r="B264" t="s">
        <v>1170</v>
      </c>
      <c r="C264" t="s">
        <v>1169</v>
      </c>
      <c r="D264" t="s">
        <v>253</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109</v>
      </c>
    </row>
    <row r="265" spans="1:33">
      <c r="A265" t="s">
        <v>223</v>
      </c>
      <c r="B265" t="s">
        <v>1168</v>
      </c>
      <c r="C265" t="s">
        <v>1167</v>
      </c>
      <c r="D265" t="s">
        <v>253</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109</v>
      </c>
    </row>
    <row r="266" spans="1:33">
      <c r="A266" t="s">
        <v>514</v>
      </c>
      <c r="B266" t="s">
        <v>1166</v>
      </c>
      <c r="C266" t="s">
        <v>1165</v>
      </c>
      <c r="D266" t="s">
        <v>253</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109</v>
      </c>
    </row>
    <row r="267" spans="1:33">
      <c r="A267" t="s">
        <v>511</v>
      </c>
      <c r="B267" t="s">
        <v>1164</v>
      </c>
      <c r="C267" t="s">
        <v>1163</v>
      </c>
      <c r="D267" t="s">
        <v>253</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109</v>
      </c>
    </row>
    <row r="268" spans="1:33">
      <c r="A268" t="s">
        <v>508</v>
      </c>
      <c r="B268" t="s">
        <v>1162</v>
      </c>
      <c r="C268" t="s">
        <v>1161</v>
      </c>
      <c r="D268" t="s">
        <v>253</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109</v>
      </c>
    </row>
    <row r="269" spans="1:33">
      <c r="A269" t="s">
        <v>225</v>
      </c>
      <c r="B269" t="s">
        <v>1160</v>
      </c>
      <c r="C269" t="s">
        <v>1159</v>
      </c>
      <c r="D269" t="s">
        <v>253</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8">
        <v>-2E-3</v>
      </c>
    </row>
    <row r="270" spans="1:33">
      <c r="A270" t="s">
        <v>226</v>
      </c>
    </row>
    <row r="271" spans="1:33">
      <c r="A271" t="s">
        <v>173</v>
      </c>
      <c r="B271" t="s">
        <v>1158</v>
      </c>
      <c r="C271" t="s">
        <v>1157</v>
      </c>
      <c r="D271" t="s">
        <v>253</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8">
        <v>-2E-3</v>
      </c>
    </row>
    <row r="272" spans="1:33">
      <c r="A272" t="s">
        <v>218</v>
      </c>
      <c r="B272" t="s">
        <v>1156</v>
      </c>
      <c r="C272" t="s">
        <v>1155</v>
      </c>
      <c r="D272" t="s">
        <v>253</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8">
        <v>-1E-3</v>
      </c>
    </row>
    <row r="273" spans="1:33">
      <c r="A273" t="s">
        <v>176</v>
      </c>
      <c r="B273" t="s">
        <v>1154</v>
      </c>
      <c r="C273" t="s">
        <v>1153</v>
      </c>
      <c r="D273" t="s">
        <v>253</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8">
        <v>-2E-3</v>
      </c>
    </row>
    <row r="274" spans="1:33">
      <c r="A274" t="s">
        <v>179</v>
      </c>
      <c r="B274" t="s">
        <v>1152</v>
      </c>
      <c r="C274" t="s">
        <v>1151</v>
      </c>
      <c r="D274" t="s">
        <v>253</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8">
        <v>1.9E-2</v>
      </c>
    </row>
    <row r="275" spans="1:33">
      <c r="A275" t="s">
        <v>219</v>
      </c>
      <c r="B275" t="s">
        <v>1150</v>
      </c>
      <c r="C275" t="s">
        <v>1149</v>
      </c>
      <c r="D275" t="s">
        <v>253</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109</v>
      </c>
    </row>
    <row r="276" spans="1:33">
      <c r="A276" t="s">
        <v>220</v>
      </c>
      <c r="B276" t="s">
        <v>1148</v>
      </c>
      <c r="C276" t="s">
        <v>1147</v>
      </c>
      <c r="D276" t="s">
        <v>253</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8">
        <v>-2E-3</v>
      </c>
    </row>
    <row r="277" spans="1:33">
      <c r="A277" t="s">
        <v>221</v>
      </c>
      <c r="B277" t="s">
        <v>1146</v>
      </c>
      <c r="C277" t="s">
        <v>1145</v>
      </c>
      <c r="D277" t="s">
        <v>253</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109</v>
      </c>
    </row>
    <row r="278" spans="1:33">
      <c r="A278" t="s">
        <v>222</v>
      </c>
      <c r="B278" t="s">
        <v>1144</v>
      </c>
      <c r="C278" t="s">
        <v>1143</v>
      </c>
      <c r="D278" t="s">
        <v>253</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109</v>
      </c>
    </row>
    <row r="279" spans="1:33">
      <c r="A279" t="s">
        <v>223</v>
      </c>
      <c r="B279" t="s">
        <v>1142</v>
      </c>
      <c r="C279" t="s">
        <v>1141</v>
      </c>
      <c r="D279" t="s">
        <v>253</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109</v>
      </c>
    </row>
    <row r="280" spans="1:33">
      <c r="A280" t="s">
        <v>514</v>
      </c>
      <c r="B280" t="s">
        <v>1140</v>
      </c>
      <c r="C280" t="s">
        <v>1139</v>
      </c>
      <c r="D280" t="s">
        <v>253</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109</v>
      </c>
    </row>
    <row r="281" spans="1:33">
      <c r="A281" t="s">
        <v>511</v>
      </c>
      <c r="B281" t="s">
        <v>1138</v>
      </c>
      <c r="C281" t="s">
        <v>1137</v>
      </c>
      <c r="D281" t="s">
        <v>253</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109</v>
      </c>
    </row>
    <row r="282" spans="1:33">
      <c r="A282" t="s">
        <v>508</v>
      </c>
      <c r="B282" t="s">
        <v>1136</v>
      </c>
      <c r="C282" t="s">
        <v>1135</v>
      </c>
      <c r="D282" t="s">
        <v>253</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109</v>
      </c>
    </row>
    <row r="283" spans="1:33">
      <c r="A283" t="s">
        <v>227</v>
      </c>
      <c r="B283" t="s">
        <v>1134</v>
      </c>
      <c r="C283" t="s">
        <v>1133</v>
      </c>
      <c r="D283" t="s">
        <v>253</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8">
        <v>-2E-3</v>
      </c>
    </row>
    <row r="284" spans="1:33">
      <c r="A284" t="s">
        <v>239</v>
      </c>
      <c r="B284" t="s">
        <v>1132</v>
      </c>
      <c r="C284" t="s">
        <v>1131</v>
      </c>
      <c r="D284" t="s">
        <v>253</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8">
        <v>8.0000000000000002E-3</v>
      </c>
    </row>
    <row r="285" spans="1:33">
      <c r="A285" t="s">
        <v>138</v>
      </c>
    </row>
    <row r="286" spans="1:33">
      <c r="A286" t="s">
        <v>240</v>
      </c>
      <c r="B286" t="s">
        <v>1130</v>
      </c>
      <c r="C286" t="s">
        <v>1129</v>
      </c>
      <c r="D286" t="s">
        <v>254</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8">
        <v>-2E-3</v>
      </c>
    </row>
    <row r="287" spans="1:33">
      <c r="A287" t="s">
        <v>241</v>
      </c>
      <c r="B287" t="s">
        <v>1128</v>
      </c>
      <c r="C287" t="s">
        <v>1127</v>
      </c>
      <c r="D287" t="s">
        <v>1114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8">
        <v>1E-3</v>
      </c>
    </row>
    <row r="288" spans="1:33">
      <c r="A288" t="s">
        <v>108</v>
      </c>
    </row>
    <row r="289" spans="1:33">
      <c r="A289" t="s">
        <v>242</v>
      </c>
      <c r="B289" t="s">
        <v>1126</v>
      </c>
      <c r="C289" t="s">
        <v>1125</v>
      </c>
      <c r="D289" t="s">
        <v>185</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8">
        <v>-3.0000000000000001E-3</v>
      </c>
    </row>
    <row r="290" spans="1:33">
      <c r="A290" t="s">
        <v>169</v>
      </c>
      <c r="B290" t="s">
        <v>1124</v>
      </c>
      <c r="C290" t="s">
        <v>1123</v>
      </c>
      <c r="D290" t="s">
        <v>185</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109</v>
      </c>
    </row>
    <row r="291" spans="1:33">
      <c r="A291" t="s">
        <v>243</v>
      </c>
      <c r="B291" t="s">
        <v>1122</v>
      </c>
      <c r="C291" t="s">
        <v>1121</v>
      </c>
      <c r="D291" t="s">
        <v>185</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109</v>
      </c>
    </row>
    <row r="292" spans="1:33">
      <c r="A292" t="s">
        <v>244</v>
      </c>
      <c r="B292" t="s">
        <v>1120</v>
      </c>
      <c r="C292" t="s">
        <v>1119</v>
      </c>
      <c r="D292" t="s">
        <v>185</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109</v>
      </c>
    </row>
    <row r="293" spans="1:33">
      <c r="A293" t="s">
        <v>139</v>
      </c>
    </row>
    <row r="294" spans="1:33">
      <c r="A294" t="s">
        <v>245</v>
      </c>
      <c r="B294" t="s">
        <v>1118</v>
      </c>
      <c r="C294" t="s">
        <v>1117</v>
      </c>
      <c r="D294" t="s">
        <v>254</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8">
        <v>-3.0000000000000001E-3</v>
      </c>
    </row>
    <row r="295" spans="1:33">
      <c r="A295" t="s">
        <v>241</v>
      </c>
      <c r="B295" t="s">
        <v>1116</v>
      </c>
      <c r="C295" t="s">
        <v>1115</v>
      </c>
      <c r="D295" t="s">
        <v>1114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8">
        <v>4.0000000000000001E-3</v>
      </c>
    </row>
    <row r="296" spans="1:33">
      <c r="A296" t="s">
        <v>108</v>
      </c>
    </row>
    <row r="297" spans="1:33">
      <c r="A297" t="s">
        <v>242</v>
      </c>
      <c r="B297" t="s">
        <v>1113</v>
      </c>
      <c r="C297" t="s">
        <v>1112</v>
      </c>
      <c r="D297" t="s">
        <v>185</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8">
        <v>-8.0000000000000002E-3</v>
      </c>
    </row>
    <row r="298" spans="1:33">
      <c r="A298" t="s">
        <v>169</v>
      </c>
      <c r="B298" t="s">
        <v>1111</v>
      </c>
      <c r="C298" t="s">
        <v>1110</v>
      </c>
      <c r="D298" t="s">
        <v>185</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8">
        <v>-5.7000000000000002E-2</v>
      </c>
    </row>
    <row r="299" spans="1:33">
      <c r="A299" t="s">
        <v>243</v>
      </c>
      <c r="B299" t="s">
        <v>1109</v>
      </c>
      <c r="C299" t="s">
        <v>1108</v>
      </c>
      <c r="D299" t="s">
        <v>185</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109</v>
      </c>
    </row>
    <row r="300" spans="1:33">
      <c r="A300" t="s">
        <v>244</v>
      </c>
      <c r="B300" t="s">
        <v>1107</v>
      </c>
      <c r="C300" t="s">
        <v>1106</v>
      </c>
      <c r="D300" t="s">
        <v>185</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8">
        <v>0.05</v>
      </c>
    </row>
    <row r="301" spans="1:33">
      <c r="A301" t="s">
        <v>140</v>
      </c>
    </row>
    <row r="302" spans="1:33">
      <c r="A302" t="s">
        <v>246</v>
      </c>
      <c r="B302" t="s">
        <v>1105</v>
      </c>
      <c r="C302" t="s">
        <v>1104</v>
      </c>
      <c r="D302" t="s">
        <v>255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8">
        <v>2.1000000000000001E-2</v>
      </c>
    </row>
    <row r="303" spans="1:33">
      <c r="A303" t="s">
        <v>247</v>
      </c>
      <c r="B303" t="s">
        <v>1103</v>
      </c>
      <c r="C303" t="s">
        <v>1102</v>
      </c>
      <c r="D303" t="s">
        <v>255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8">
        <v>2.3E-2</v>
      </c>
    </row>
    <row r="304" spans="1:33">
      <c r="A304" t="s">
        <v>248</v>
      </c>
      <c r="B304" t="s">
        <v>1101</v>
      </c>
      <c r="C304" t="s">
        <v>1100</v>
      </c>
      <c r="D304" t="s">
        <v>255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8">
        <v>2.1000000000000001E-2</v>
      </c>
    </row>
    <row r="305" spans="1:33">
      <c r="A305" t="s">
        <v>108</v>
      </c>
    </row>
    <row r="306" spans="1:33">
      <c r="A306" t="s">
        <v>242</v>
      </c>
      <c r="B306" t="s">
        <v>1099</v>
      </c>
      <c r="C306" t="s">
        <v>1098</v>
      </c>
      <c r="D306" t="s">
        <v>185</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8">
        <v>1.6E-2</v>
      </c>
    </row>
    <row r="307" spans="1:33">
      <c r="A307" t="s">
        <v>169</v>
      </c>
      <c r="B307" t="s">
        <v>1097</v>
      </c>
      <c r="C307" t="s">
        <v>1096</v>
      </c>
      <c r="D307" t="s">
        <v>185</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8">
        <v>5.0000000000000001E-3</v>
      </c>
    </row>
    <row r="308" spans="1:33">
      <c r="A308" t="s">
        <v>243</v>
      </c>
      <c r="B308" t="s">
        <v>1095</v>
      </c>
      <c r="C308" t="s">
        <v>1094</v>
      </c>
      <c r="D308" t="s">
        <v>185</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109</v>
      </c>
    </row>
    <row r="309" spans="1:33">
      <c r="A309" t="s">
        <v>244</v>
      </c>
      <c r="B309" t="s">
        <v>1093</v>
      </c>
      <c r="C309" t="s">
        <v>1092</v>
      </c>
      <c r="D309" t="s">
        <v>185</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8">
        <v>2.5999999999999999E-2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5"/>
  <cols>
    <col min="1" max="1" width="0" hidden="1" customWidth="1"/>
    <col min="2" max="2" width="40.7109375" customWidth="1"/>
  </cols>
  <sheetData>
    <row r="1" spans="1:29" s="44" customFormat="1" ht="15.75">
      <c r="B1" s="44" t="s">
        <v>1966</v>
      </c>
    </row>
    <row r="2" spans="1:29" s="45" customFormat="1" ht="12"/>
    <row r="3" spans="1:29" s="45" customFormat="1" ht="12">
      <c r="C3" s="45" t="s">
        <v>107</v>
      </c>
      <c r="D3" s="45" t="s">
        <v>1967</v>
      </c>
    </row>
    <row r="4" spans="1:29" s="45" customFormat="1" ht="12">
      <c r="C4" s="45" t="s">
        <v>106</v>
      </c>
      <c r="D4" s="45" t="s">
        <v>1968</v>
      </c>
      <c r="F4" s="45" t="s">
        <v>1969</v>
      </c>
    </row>
    <row r="5" spans="1:29" s="45" customFormat="1" ht="12">
      <c r="C5" s="45" t="s">
        <v>105</v>
      </c>
      <c r="D5" s="45" t="s">
        <v>1970</v>
      </c>
    </row>
    <row r="6" spans="1:29" s="45" customFormat="1" ht="12">
      <c r="C6" s="45" t="s">
        <v>104</v>
      </c>
      <c r="E6" s="45" t="s">
        <v>1971</v>
      </c>
    </row>
    <row r="7" spans="1:29" s="46" customFormat="1" ht="15.75">
      <c r="B7" s="46" t="s">
        <v>103</v>
      </c>
    </row>
    <row r="8" spans="1:29" s="45" customFormat="1" ht="12"/>
    <row r="9" spans="1:29" s="45" customFormat="1" ht="12">
      <c r="AC9" s="45" t="s">
        <v>1972</v>
      </c>
    </row>
    <row r="10" spans="1:29" s="47" customFormat="1" ht="12">
      <c r="B10" s="47" t="s">
        <v>102</v>
      </c>
      <c r="C10" s="47">
        <v>2025</v>
      </c>
      <c r="D10" s="47">
        <v>2026</v>
      </c>
      <c r="E10" s="47">
        <v>2027</v>
      </c>
      <c r="F10" s="47">
        <v>2028</v>
      </c>
      <c r="G10" s="47">
        <v>2029</v>
      </c>
      <c r="H10" s="47">
        <v>2030</v>
      </c>
      <c r="I10" s="47">
        <v>2031</v>
      </c>
      <c r="J10" s="47">
        <v>2032</v>
      </c>
      <c r="K10" s="47">
        <v>2033</v>
      </c>
      <c r="L10" s="47">
        <v>2034</v>
      </c>
      <c r="M10" s="47">
        <v>2035</v>
      </c>
      <c r="N10" s="47">
        <v>2036</v>
      </c>
      <c r="O10" s="47">
        <v>2037</v>
      </c>
      <c r="P10" s="47">
        <v>2038</v>
      </c>
      <c r="Q10" s="47">
        <v>2039</v>
      </c>
      <c r="R10" s="47">
        <v>2040</v>
      </c>
      <c r="S10" s="47">
        <v>2041</v>
      </c>
      <c r="T10" s="47">
        <v>2042</v>
      </c>
      <c r="U10" s="47">
        <v>2043</v>
      </c>
      <c r="V10" s="47">
        <v>2044</v>
      </c>
      <c r="W10" s="47">
        <v>2045</v>
      </c>
      <c r="X10" s="47">
        <v>2046</v>
      </c>
      <c r="Y10" s="47">
        <v>2047</v>
      </c>
      <c r="Z10" s="47">
        <v>2048</v>
      </c>
      <c r="AA10" s="47">
        <v>2049</v>
      </c>
      <c r="AB10" s="47">
        <v>2050</v>
      </c>
      <c r="AC10" s="47" t="s">
        <v>1973</v>
      </c>
    </row>
    <row r="11" spans="1:29" s="48" customFormat="1" ht="12"/>
    <row r="12" spans="1:29" s="49" customFormat="1" ht="12">
      <c r="B12" s="49" t="s">
        <v>101</v>
      </c>
    </row>
    <row r="13" spans="1:29" s="49" customFormat="1" ht="12">
      <c r="B13" s="49" t="s">
        <v>100</v>
      </c>
    </row>
    <row r="14" spans="1:29" s="48" customFormat="1" ht="12">
      <c r="B14" s="48" t="s">
        <v>99</v>
      </c>
    </row>
    <row r="15" spans="1:29" s="45" customFormat="1" ht="12">
      <c r="A15" s="45" t="s">
        <v>98</v>
      </c>
      <c r="B15" s="45" t="s">
        <v>97</v>
      </c>
      <c r="C15" s="45">
        <v>2843.032470703125</v>
      </c>
      <c r="D15" s="45">
        <v>2863.568603515625</v>
      </c>
      <c r="E15" s="45">
        <v>2888.1982421875</v>
      </c>
      <c r="F15" s="45">
        <v>2904.077880859375</v>
      </c>
      <c r="G15" s="45">
        <v>2918.809814453125</v>
      </c>
      <c r="H15" s="45">
        <v>2931.43701171875</v>
      </c>
      <c r="I15" s="45">
        <v>2942.604736328125</v>
      </c>
      <c r="J15" s="45">
        <v>2954.25146484375</v>
      </c>
      <c r="K15" s="45">
        <v>2961.902587890625</v>
      </c>
      <c r="L15" s="45">
        <v>2971.275390625</v>
      </c>
      <c r="M15" s="45">
        <v>2978.21337890625</v>
      </c>
      <c r="N15" s="45">
        <v>2987.159423828125</v>
      </c>
      <c r="O15" s="45">
        <v>2997.356689453125</v>
      </c>
      <c r="P15" s="45">
        <v>3007.72119140625</v>
      </c>
      <c r="Q15" s="45">
        <v>3016.349609375</v>
      </c>
      <c r="R15" s="45">
        <v>3025.5615234375</v>
      </c>
      <c r="S15" s="45">
        <v>3032.341552734375</v>
      </c>
      <c r="T15" s="45">
        <v>3038.7626953125</v>
      </c>
      <c r="U15" s="45">
        <v>3044.19921875</v>
      </c>
      <c r="V15" s="45">
        <v>3050.29150390625</v>
      </c>
      <c r="W15" s="45">
        <v>3055.739013671875</v>
      </c>
      <c r="X15" s="45">
        <v>3060.400146484375</v>
      </c>
      <c r="Y15" s="45">
        <v>3062.75341796875</v>
      </c>
      <c r="Z15" s="45">
        <v>3065.465087890625</v>
      </c>
      <c r="AA15" s="45">
        <v>3067.484130859375</v>
      </c>
      <c r="AB15" s="45">
        <v>3070.65380859375</v>
      </c>
      <c r="AC15" s="45">
        <v>3.085520529575891E-3</v>
      </c>
    </row>
    <row r="16" spans="1:29" s="54" customFormat="1" ht="12">
      <c r="A16" s="54" t="s">
        <v>96</v>
      </c>
      <c r="B16" s="54" t="s">
        <v>95</v>
      </c>
      <c r="C16" s="54">
        <v>91.398139953613281</v>
      </c>
      <c r="D16" s="54">
        <v>91.77899169921875</v>
      </c>
      <c r="E16" s="54">
        <v>93.221343994140625</v>
      </c>
      <c r="F16" s="54">
        <v>94.140220642089844</v>
      </c>
      <c r="G16" s="54">
        <v>95.009811401367188</v>
      </c>
      <c r="H16" s="54">
        <v>96.16619873046875</v>
      </c>
      <c r="I16" s="54">
        <v>97.196952819824219</v>
      </c>
      <c r="J16" s="54">
        <v>98.315582275390625</v>
      </c>
      <c r="K16" s="54">
        <v>99.238601684570313</v>
      </c>
      <c r="L16" s="54">
        <v>100.2435302734375</v>
      </c>
      <c r="M16" s="54">
        <v>101.301887512207</v>
      </c>
      <c r="N16" s="54">
        <v>102.37855529785161</v>
      </c>
      <c r="O16" s="54">
        <v>103.55357360839839</v>
      </c>
      <c r="P16" s="54">
        <v>104.8410949707031</v>
      </c>
      <c r="Q16" s="54">
        <v>106.0973587036133</v>
      </c>
      <c r="R16" s="54">
        <v>107.2861328125</v>
      </c>
      <c r="S16" s="54">
        <v>108.35975646972661</v>
      </c>
      <c r="T16" s="54">
        <v>109.3723526000977</v>
      </c>
      <c r="U16" s="54">
        <v>110.0073318481445</v>
      </c>
      <c r="V16" s="54">
        <v>110.59620666503911</v>
      </c>
      <c r="W16" s="54">
        <v>111.266227722168</v>
      </c>
      <c r="X16" s="54">
        <v>111.90553283691411</v>
      </c>
      <c r="Y16" s="54">
        <v>112.5038757324219</v>
      </c>
      <c r="Z16" s="54">
        <v>112.94837951660161</v>
      </c>
      <c r="AA16" s="54">
        <v>113.4931335449219</v>
      </c>
      <c r="AB16" s="54">
        <v>114.0365829467773</v>
      </c>
      <c r="AC16" s="54">
        <v>8.8910596325935121E-3</v>
      </c>
    </row>
    <row r="17" spans="1:31" s="45" customFormat="1" ht="12">
      <c r="A17" s="45" t="s">
        <v>94</v>
      </c>
      <c r="B17" s="45" t="s">
        <v>93</v>
      </c>
      <c r="C17" s="45">
        <v>341.0439453125</v>
      </c>
      <c r="D17" s="45">
        <v>342.36895751953119</v>
      </c>
      <c r="E17" s="45">
        <v>344.61602783203119</v>
      </c>
      <c r="F17" s="45">
        <v>347.24554443359381</v>
      </c>
      <c r="G17" s="45">
        <v>349.67584228515619</v>
      </c>
      <c r="H17" s="45">
        <v>353.39605712890619</v>
      </c>
      <c r="I17" s="45">
        <v>356.18081665039063</v>
      </c>
      <c r="J17" s="45">
        <v>359.42282104492188</v>
      </c>
      <c r="K17" s="45">
        <v>362.12158203125</v>
      </c>
      <c r="L17" s="45">
        <v>365.4989013671875</v>
      </c>
      <c r="M17" s="45">
        <v>368.98001098632813</v>
      </c>
      <c r="N17" s="45">
        <v>372.3712158203125</v>
      </c>
      <c r="O17" s="45">
        <v>375.8531494140625</v>
      </c>
      <c r="P17" s="45">
        <v>379.344482421875</v>
      </c>
      <c r="Q17" s="45">
        <v>382.85479736328119</v>
      </c>
      <c r="R17" s="45">
        <v>386.62579345703119</v>
      </c>
      <c r="S17" s="45">
        <v>390.24111938476563</v>
      </c>
      <c r="T17" s="45">
        <v>393.69708251953119</v>
      </c>
      <c r="U17" s="45">
        <v>396.7333984375</v>
      </c>
      <c r="V17" s="45">
        <v>399.79425048828119</v>
      </c>
      <c r="W17" s="45">
        <v>403.50802612304688</v>
      </c>
      <c r="X17" s="45">
        <v>407.4259033203125</v>
      </c>
      <c r="Y17" s="45">
        <v>411.55572509765619</v>
      </c>
      <c r="Z17" s="45">
        <v>415.1253662109375</v>
      </c>
      <c r="AA17" s="45">
        <v>418.81106567382813</v>
      </c>
      <c r="AB17" s="45">
        <v>422.203369140625</v>
      </c>
      <c r="AC17" s="45">
        <v>8.5755924968438091E-3</v>
      </c>
    </row>
    <row r="18" spans="1:31" s="45" customFormat="1" ht="12">
      <c r="B18" s="45" t="s">
        <v>128</v>
      </c>
    </row>
    <row r="19" spans="1:31" s="45" customFormat="1" ht="12">
      <c r="A19" s="45" t="s">
        <v>124</v>
      </c>
      <c r="B19" s="45" t="s">
        <v>125</v>
      </c>
      <c r="C19" s="45">
        <v>174.6474304199219</v>
      </c>
      <c r="D19" s="45">
        <v>177.97358703613281</v>
      </c>
      <c r="E19" s="45">
        <v>180.291259765625</v>
      </c>
      <c r="F19" s="45">
        <v>182.00543212890619</v>
      </c>
      <c r="G19" s="45">
        <v>183.50909423828119</v>
      </c>
      <c r="H19" s="45">
        <v>184.76763916015619</v>
      </c>
      <c r="I19" s="45">
        <v>185.7530517578125</v>
      </c>
      <c r="J19" s="45">
        <v>186.66607666015619</v>
      </c>
      <c r="K19" s="45">
        <v>187.6656188964844</v>
      </c>
      <c r="L19" s="45">
        <v>188.5844421386719</v>
      </c>
      <c r="M19" s="45">
        <v>189.56187438964841</v>
      </c>
      <c r="N19" s="45">
        <v>190.4032287597656</v>
      </c>
      <c r="O19" s="45">
        <v>191.26893615722659</v>
      </c>
      <c r="P19" s="45">
        <v>192.0475769042969</v>
      </c>
      <c r="Q19" s="45">
        <v>192.823486328125</v>
      </c>
      <c r="R19" s="45">
        <v>193.59111022949219</v>
      </c>
      <c r="S19" s="45">
        <v>194.22509765625</v>
      </c>
      <c r="T19" s="45">
        <v>194.85151672363281</v>
      </c>
      <c r="U19" s="45">
        <v>195.41944885253909</v>
      </c>
      <c r="V19" s="45">
        <v>195.9666748046875</v>
      </c>
      <c r="W19" s="45">
        <v>196.49443054199219</v>
      </c>
      <c r="X19" s="45">
        <v>196.95390319824219</v>
      </c>
      <c r="Y19" s="45">
        <v>197.39341735839841</v>
      </c>
      <c r="Z19" s="45">
        <v>197.76531982421881</v>
      </c>
      <c r="AA19" s="45">
        <v>198.1057434082031</v>
      </c>
      <c r="AB19" s="45">
        <v>198.43330383300781</v>
      </c>
      <c r="AC19" s="45">
        <v>5.1204161284919003E-3</v>
      </c>
    </row>
    <row r="20" spans="1:31" s="48" customFormat="1" ht="12">
      <c r="A20" s="48" t="s">
        <v>126</v>
      </c>
      <c r="B20" s="48" t="s">
        <v>127</v>
      </c>
      <c r="C20" s="48">
        <v>32.872634887695313</v>
      </c>
      <c r="D20" s="48">
        <v>35.005195617675781</v>
      </c>
      <c r="E20" s="48">
        <v>36.603187561035163</v>
      </c>
      <c r="F20" s="48">
        <v>37.824775695800781</v>
      </c>
      <c r="G20" s="48">
        <v>38.890262603759773</v>
      </c>
      <c r="H20" s="48">
        <v>39.805248260498047</v>
      </c>
      <c r="I20" s="48">
        <v>40.582107543945313</v>
      </c>
      <c r="J20" s="48">
        <v>41.288425445556641</v>
      </c>
      <c r="K20" s="48">
        <v>42.025203704833977</v>
      </c>
      <c r="L20" s="48">
        <v>42.59625244140625</v>
      </c>
      <c r="M20" s="48">
        <v>43.167667388916023</v>
      </c>
      <c r="N20" s="48">
        <v>43.616798400878913</v>
      </c>
      <c r="O20" s="48">
        <v>44.095943450927727</v>
      </c>
      <c r="P20" s="48">
        <v>44.532913208007813</v>
      </c>
      <c r="Q20" s="48">
        <v>44.880611419677727</v>
      </c>
      <c r="R20" s="48">
        <v>45.240985870361328</v>
      </c>
      <c r="S20" s="48">
        <v>45.551727294921882</v>
      </c>
      <c r="T20" s="48">
        <v>45.864059448242188</v>
      </c>
      <c r="U20" s="48">
        <v>46.124858856201172</v>
      </c>
      <c r="V20" s="48">
        <v>46.413585662841797</v>
      </c>
      <c r="W20" s="48">
        <v>46.725051879882813</v>
      </c>
      <c r="X20" s="48">
        <v>46.982158660888672</v>
      </c>
      <c r="Y20" s="48">
        <v>47.2642822265625</v>
      </c>
      <c r="Z20" s="48">
        <v>47.468818664550781</v>
      </c>
      <c r="AA20" s="48">
        <v>47.659671783447273</v>
      </c>
      <c r="AB20" s="48">
        <v>47.8404541015625</v>
      </c>
      <c r="AC20" s="48">
        <v>1.5122446592120699E-2</v>
      </c>
    </row>
    <row r="21" spans="1:31" s="45" customFormat="1" ht="12">
      <c r="B21" s="45" t="s">
        <v>92</v>
      </c>
    </row>
    <row r="22" spans="1:31" s="45" customFormat="1" ht="12">
      <c r="A22" s="45" t="s">
        <v>91</v>
      </c>
      <c r="B22" s="45" t="s">
        <v>90</v>
      </c>
      <c r="C22" s="45">
        <v>1422.048828125</v>
      </c>
      <c r="D22" s="45">
        <v>1468.233276367188</v>
      </c>
      <c r="E22" s="45">
        <v>1496.577758789062</v>
      </c>
      <c r="F22" s="45">
        <v>1509.595947265625</v>
      </c>
      <c r="G22" s="45">
        <v>1529.526977539062</v>
      </c>
      <c r="H22" s="45">
        <v>1555.413208007812</v>
      </c>
      <c r="I22" s="45">
        <v>1580.10107421875</v>
      </c>
      <c r="J22" s="45">
        <v>1611.122802734375</v>
      </c>
      <c r="K22" s="45">
        <v>1644.945556640625</v>
      </c>
      <c r="L22" s="45">
        <v>1682.24560546875</v>
      </c>
      <c r="M22" s="45">
        <v>1723.319946289062</v>
      </c>
      <c r="N22" s="45">
        <v>1754.506225585938</v>
      </c>
      <c r="O22" s="45">
        <v>1785.8876953125</v>
      </c>
      <c r="P22" s="45">
        <v>1816.998168945312</v>
      </c>
      <c r="Q22" s="45">
        <v>1846.76318359375</v>
      </c>
      <c r="R22" s="45">
        <v>1877.26171875</v>
      </c>
      <c r="S22" s="45">
        <v>1905.85595703125</v>
      </c>
      <c r="T22" s="45">
        <v>1936.10791015625</v>
      </c>
      <c r="U22" s="45">
        <v>1968.376220703125</v>
      </c>
      <c r="V22" s="45">
        <v>2000.615234375</v>
      </c>
      <c r="W22" s="45">
        <v>2033.136840820312</v>
      </c>
      <c r="X22" s="45">
        <v>2064.265380859375</v>
      </c>
      <c r="Y22" s="45">
        <v>2092.60302734375</v>
      </c>
      <c r="Z22" s="45">
        <v>2121.28271484375</v>
      </c>
      <c r="AA22" s="45">
        <v>2148.480712890625</v>
      </c>
      <c r="AB22" s="45">
        <v>2176.472900390625</v>
      </c>
      <c r="AC22" s="45">
        <v>1.7170017387601488E-2</v>
      </c>
      <c r="AE22" s="59">
        <f>AB22/C22</f>
        <v>1.5305191054939713</v>
      </c>
    </row>
    <row r="23" spans="1:31" s="48" customFormat="1" ht="12">
      <c r="B23" s="48" t="s">
        <v>89</v>
      </c>
    </row>
    <row r="24" spans="1:31" s="45" customFormat="1" ht="12">
      <c r="A24" s="45" t="s">
        <v>88</v>
      </c>
      <c r="B24" s="45" t="s">
        <v>47</v>
      </c>
      <c r="C24" s="45">
        <v>1583.566650390625</v>
      </c>
      <c r="D24" s="45">
        <v>1549.21875</v>
      </c>
      <c r="E24" s="45">
        <v>1600.833740234375</v>
      </c>
      <c r="F24" s="45">
        <v>1569.623779296875</v>
      </c>
      <c r="G24" s="45">
        <v>1558.830322265625</v>
      </c>
      <c r="H24" s="45">
        <v>1570.807006835938</v>
      </c>
      <c r="I24" s="45">
        <v>1532.160278320312</v>
      </c>
      <c r="J24" s="45">
        <v>1540.232299804688</v>
      </c>
      <c r="K24" s="45">
        <v>1548.554565429688</v>
      </c>
      <c r="L24" s="45">
        <v>1545.79833984375</v>
      </c>
      <c r="M24" s="45">
        <v>1552.487915039062</v>
      </c>
      <c r="N24" s="45">
        <v>1557.807006835938</v>
      </c>
      <c r="O24" s="45">
        <v>1565.347290039062</v>
      </c>
      <c r="P24" s="45">
        <v>1567.623046875</v>
      </c>
      <c r="Q24" s="45">
        <v>1572.42333984375</v>
      </c>
      <c r="R24" s="45">
        <v>1575.623657226562</v>
      </c>
      <c r="S24" s="45">
        <v>1575.8466796875</v>
      </c>
      <c r="T24" s="45">
        <v>1572.62451171875</v>
      </c>
      <c r="U24" s="45">
        <v>1570.42138671875</v>
      </c>
      <c r="V24" s="45">
        <v>1572.224975585938</v>
      </c>
      <c r="W24" s="45">
        <v>1573.056396484375</v>
      </c>
      <c r="X24" s="45">
        <v>1577.98876953125</v>
      </c>
      <c r="Y24" s="45">
        <v>1588.934326171875</v>
      </c>
      <c r="Z24" s="45">
        <v>1595.622314453125</v>
      </c>
      <c r="AA24" s="45">
        <v>1592.72509765625</v>
      </c>
      <c r="AB24" s="45">
        <v>1590.90673828125</v>
      </c>
      <c r="AC24" s="45">
        <v>1.84995216369721E-4</v>
      </c>
    </row>
    <row r="25" spans="1:31" s="48" customFormat="1" ht="12">
      <c r="A25" s="48" t="s">
        <v>87</v>
      </c>
      <c r="B25" s="48" t="s">
        <v>45</v>
      </c>
      <c r="C25" s="48">
        <v>481.83203125</v>
      </c>
      <c r="D25" s="48">
        <v>486.21575927734381</v>
      </c>
      <c r="E25" s="48">
        <v>483.39910888671881</v>
      </c>
      <c r="F25" s="48">
        <v>481.59878540039063</v>
      </c>
      <c r="G25" s="48">
        <v>478.747802734375</v>
      </c>
      <c r="H25" s="48">
        <v>479.1705322265625</v>
      </c>
      <c r="I25" s="48">
        <v>477.212158203125</v>
      </c>
      <c r="J25" s="48">
        <v>476.96957397460938</v>
      </c>
      <c r="K25" s="48">
        <v>475.5133056640625</v>
      </c>
      <c r="L25" s="48">
        <v>475.26553344726563</v>
      </c>
      <c r="M25" s="48">
        <v>474.76629638671881</v>
      </c>
      <c r="N25" s="48">
        <v>473.51058959960938</v>
      </c>
      <c r="O25" s="48">
        <v>471.99932861328119</v>
      </c>
      <c r="P25" s="48">
        <v>470.33200073242188</v>
      </c>
      <c r="Q25" s="48">
        <v>469.4969482421875</v>
      </c>
      <c r="R25" s="48">
        <v>468.922119140625</v>
      </c>
      <c r="S25" s="48">
        <v>468.94192504882813</v>
      </c>
      <c r="T25" s="48">
        <v>468.05917358398438</v>
      </c>
      <c r="U25" s="48">
        <v>466.67507934570313</v>
      </c>
      <c r="V25" s="48">
        <v>465.00936889648438</v>
      </c>
      <c r="W25" s="48">
        <v>463.46417236328119</v>
      </c>
      <c r="X25" s="48">
        <v>462.65805053710938</v>
      </c>
      <c r="Y25" s="48">
        <v>462.24151611328119</v>
      </c>
      <c r="Z25" s="48">
        <v>460.68478393554688</v>
      </c>
      <c r="AA25" s="48">
        <v>458.80084228515619</v>
      </c>
      <c r="AB25" s="48">
        <v>456.897705078125</v>
      </c>
      <c r="AC25" s="48">
        <v>-2.1231846354704538E-3</v>
      </c>
    </row>
    <row r="26" spans="1:31" s="45" customFormat="1" ht="12"/>
    <row r="27" spans="1:31" s="50" customFormat="1" ht="12">
      <c r="B27" s="50" t="s">
        <v>86</v>
      </c>
    </row>
    <row r="28" spans="1:31" s="48" customFormat="1" ht="12">
      <c r="B28" s="48" t="s">
        <v>85</v>
      </c>
    </row>
    <row r="29" spans="1:31" s="48" customFormat="1" ht="12">
      <c r="A29" s="48" t="s">
        <v>84</v>
      </c>
      <c r="B29" s="48" t="s">
        <v>83</v>
      </c>
      <c r="C29" s="48">
        <v>42.624870300292969</v>
      </c>
      <c r="D29" s="48">
        <v>47.118061065673828</v>
      </c>
      <c r="E29" s="48">
        <v>46.975002288818359</v>
      </c>
      <c r="F29" s="48">
        <v>46.846443176269531</v>
      </c>
      <c r="G29" s="48">
        <v>46.820732116699219</v>
      </c>
      <c r="H29" s="48">
        <v>46.790004730224609</v>
      </c>
      <c r="I29" s="48">
        <v>46.789520263671882</v>
      </c>
      <c r="J29" s="48">
        <v>46.779769897460938</v>
      </c>
      <c r="K29" s="48">
        <v>46.836681365966797</v>
      </c>
      <c r="L29" s="48">
        <v>46.824150085449219</v>
      </c>
      <c r="M29" s="48">
        <v>46.854034423828118</v>
      </c>
      <c r="N29" s="48">
        <v>46.849109649658203</v>
      </c>
      <c r="O29" s="48">
        <v>46.861476898193359</v>
      </c>
      <c r="P29" s="48">
        <v>46.858718872070313</v>
      </c>
      <c r="Q29" s="48">
        <v>46.856063842773438</v>
      </c>
      <c r="R29" s="48">
        <v>46.852252960205078</v>
      </c>
      <c r="S29" s="48">
        <v>46.836326599121087</v>
      </c>
      <c r="T29" s="48">
        <v>46.826286315917969</v>
      </c>
      <c r="U29" s="48">
        <v>46.802783966064453</v>
      </c>
      <c r="V29" s="48">
        <v>46.785305023193359</v>
      </c>
      <c r="W29" s="48">
        <v>46.782947540283203</v>
      </c>
      <c r="X29" s="48">
        <v>46.757369995117188</v>
      </c>
      <c r="Y29" s="48">
        <v>46.764141082763672</v>
      </c>
      <c r="Z29" s="48">
        <v>46.749927520751953</v>
      </c>
      <c r="AA29" s="48">
        <v>46.754528045654297</v>
      </c>
      <c r="AB29" s="48">
        <v>46.744186401367188</v>
      </c>
      <c r="AC29" s="48">
        <v>3.6968967338171228E-3</v>
      </c>
    </row>
    <row r="30" spans="1:31" s="48" customFormat="1" ht="12">
      <c r="A30" s="48" t="s">
        <v>82</v>
      </c>
      <c r="B30" s="48" t="s">
        <v>81</v>
      </c>
      <c r="C30" s="48">
        <v>53.017715454101563</v>
      </c>
      <c r="D30" s="48">
        <v>58.859119415283203</v>
      </c>
      <c r="E30" s="48">
        <v>58.819541931152337</v>
      </c>
      <c r="F30" s="48">
        <v>58.797931671142578</v>
      </c>
      <c r="G30" s="48">
        <v>58.770973205566413</v>
      </c>
      <c r="H30" s="48">
        <v>58.746856689453118</v>
      </c>
      <c r="I30" s="48">
        <v>58.732120513916023</v>
      </c>
      <c r="J30" s="48">
        <v>58.719112396240227</v>
      </c>
      <c r="K30" s="48">
        <v>58.709140777587891</v>
      </c>
      <c r="L30" s="48">
        <v>58.694000244140618</v>
      </c>
      <c r="M30" s="48">
        <v>58.69097900390625</v>
      </c>
      <c r="N30" s="48">
        <v>58.681434631347663</v>
      </c>
      <c r="O30" s="48">
        <v>58.676589965820313</v>
      </c>
      <c r="P30" s="48">
        <v>58.669403076171882</v>
      </c>
      <c r="Q30" s="48">
        <v>58.663990020751953</v>
      </c>
      <c r="R30" s="48">
        <v>58.661998748779297</v>
      </c>
      <c r="S30" s="48">
        <v>58.65472412109375</v>
      </c>
      <c r="T30" s="48">
        <v>58.6485595703125</v>
      </c>
      <c r="U30" s="48">
        <v>58.642673492431641</v>
      </c>
      <c r="V30" s="48">
        <v>58.638656616210938</v>
      </c>
      <c r="W30" s="48">
        <v>58.637306213378913</v>
      </c>
      <c r="X30" s="48">
        <v>58.628986358642578</v>
      </c>
      <c r="Y30" s="48">
        <v>58.625720977783203</v>
      </c>
      <c r="Z30" s="48">
        <v>58.618373870849609</v>
      </c>
      <c r="AA30" s="48">
        <v>58.616493225097663</v>
      </c>
      <c r="AB30" s="48">
        <v>58.6114501953125</v>
      </c>
      <c r="AC30" s="48">
        <v>4.0202179535295812E-3</v>
      </c>
    </row>
    <row r="31" spans="1:31" s="51" customFormat="1" ht="12">
      <c r="A31" s="51" t="s">
        <v>80</v>
      </c>
      <c r="B31" s="51" t="s">
        <v>79</v>
      </c>
      <c r="C31" s="51">
        <v>38.539085388183587</v>
      </c>
      <c r="D31" s="51">
        <v>42.80706787109375</v>
      </c>
      <c r="E31" s="51">
        <v>42.821559906005859</v>
      </c>
      <c r="F31" s="51">
        <v>42.8514404296875</v>
      </c>
      <c r="G31" s="51">
        <v>42.842433929443359</v>
      </c>
      <c r="H31" s="51">
        <v>42.836997985839837</v>
      </c>
      <c r="I31" s="51">
        <v>42.843082427978523</v>
      </c>
      <c r="J31" s="51">
        <v>42.843013763427727</v>
      </c>
      <c r="K31" s="51">
        <v>42.850456237792969</v>
      </c>
      <c r="L31" s="51">
        <v>42.838710784912109</v>
      </c>
      <c r="M31" s="51">
        <v>42.853836059570313</v>
      </c>
      <c r="N31" s="51">
        <v>42.854869842529297</v>
      </c>
      <c r="O31" s="51">
        <v>42.865612030029297</v>
      </c>
      <c r="P31" s="51">
        <v>42.866203308105469</v>
      </c>
      <c r="Q31" s="51">
        <v>42.873157501220703</v>
      </c>
      <c r="R31" s="51">
        <v>42.889514923095703</v>
      </c>
      <c r="S31" s="51">
        <v>42.886684417724609</v>
      </c>
      <c r="T31" s="51">
        <v>42.887195587158203</v>
      </c>
      <c r="U31" s="51">
        <v>42.886970520019531</v>
      </c>
      <c r="V31" s="51">
        <v>42.891811370849609</v>
      </c>
      <c r="W31" s="51">
        <v>42.903530120849609</v>
      </c>
      <c r="X31" s="51">
        <v>42.893913269042969</v>
      </c>
      <c r="Y31" s="51">
        <v>42.898521423339837</v>
      </c>
      <c r="Z31" s="51">
        <v>42.890472412109382</v>
      </c>
      <c r="AA31" s="51">
        <v>42.898075103759773</v>
      </c>
      <c r="AB31" s="51">
        <v>42.896167755126953</v>
      </c>
      <c r="AC31" s="51">
        <v>4.2935735284810317E-3</v>
      </c>
    </row>
    <row r="32" spans="1:31" s="51" customFormat="1" ht="12">
      <c r="A32" s="51" t="s">
        <v>78</v>
      </c>
      <c r="B32" s="51" t="s">
        <v>77</v>
      </c>
      <c r="C32" s="51">
        <v>41.120597839355469</v>
      </c>
      <c r="D32" s="51">
        <v>43.502880096435547</v>
      </c>
      <c r="E32" s="51">
        <v>45.394035339355469</v>
      </c>
      <c r="F32" s="51">
        <v>46.047641754150391</v>
      </c>
      <c r="G32" s="51">
        <v>45.540355682373047</v>
      </c>
      <c r="H32" s="51">
        <v>45.070381164550781</v>
      </c>
      <c r="I32" s="51">
        <v>45.189422607421882</v>
      </c>
      <c r="J32" s="51">
        <v>45.253139495849609</v>
      </c>
      <c r="K32" s="51">
        <v>45.964664459228523</v>
      </c>
      <c r="L32" s="51">
        <v>46.418067932128913</v>
      </c>
      <c r="M32" s="51">
        <v>47.036304473876953</v>
      </c>
      <c r="N32" s="51">
        <v>47.522537231445313</v>
      </c>
      <c r="O32" s="51">
        <v>48.049854278564453</v>
      </c>
      <c r="P32" s="51">
        <v>48.504993438720703</v>
      </c>
      <c r="Q32" s="51">
        <v>48.980587005615227</v>
      </c>
      <c r="R32" s="51">
        <v>49.364521026611328</v>
      </c>
      <c r="S32" s="51">
        <v>49.652381896972663</v>
      </c>
      <c r="T32" s="51">
        <v>49.959144592285163</v>
      </c>
      <c r="U32" s="51">
        <v>50.211223602294922</v>
      </c>
      <c r="V32" s="51">
        <v>50.455970764160163</v>
      </c>
      <c r="W32" s="51">
        <v>50.752567291259773</v>
      </c>
      <c r="X32" s="51">
        <v>50.909824371337891</v>
      </c>
      <c r="Y32" s="51">
        <v>51.186618804931641</v>
      </c>
      <c r="Z32" s="51">
        <v>51.369266510009773</v>
      </c>
      <c r="AA32" s="51">
        <v>51.613761901855469</v>
      </c>
      <c r="AB32" s="51">
        <v>51.786064147949219</v>
      </c>
      <c r="AC32" s="51">
        <v>9.2671534584081172E-3</v>
      </c>
    </row>
    <row r="33" spans="1:29" s="51" customFormat="1" ht="12">
      <c r="A33" s="51" t="s">
        <v>76</v>
      </c>
      <c r="B33" s="51" t="s">
        <v>75</v>
      </c>
      <c r="C33" s="51">
        <v>54.000961303710938</v>
      </c>
      <c r="D33" s="51">
        <v>56.055961608886719</v>
      </c>
      <c r="E33" s="51">
        <v>59.182525634765618</v>
      </c>
      <c r="F33" s="51">
        <v>58.581886291503913</v>
      </c>
      <c r="G33" s="51">
        <v>58.580783843994141</v>
      </c>
      <c r="H33" s="51">
        <v>58.559364318847663</v>
      </c>
      <c r="I33" s="51">
        <v>59.716926574707031</v>
      </c>
      <c r="J33" s="51">
        <v>60.620895385742188</v>
      </c>
      <c r="K33" s="51">
        <v>61.614532470703118</v>
      </c>
      <c r="L33" s="51">
        <v>62.431854248046882</v>
      </c>
      <c r="M33" s="51">
        <v>63.384078979492188</v>
      </c>
      <c r="N33" s="51">
        <v>64.214332580566406</v>
      </c>
      <c r="O33" s="51">
        <v>64.992034912109375</v>
      </c>
      <c r="P33" s="51">
        <v>65.560905456542969</v>
      </c>
      <c r="Q33" s="51">
        <v>66.09429931640625</v>
      </c>
      <c r="R33" s="51">
        <v>66.59716796875</v>
      </c>
      <c r="S33" s="51">
        <v>67.073394775390625</v>
      </c>
      <c r="T33" s="51">
        <v>67.551795959472656</v>
      </c>
      <c r="U33" s="51">
        <v>67.984054565429688</v>
      </c>
      <c r="V33" s="51">
        <v>68.363754272460938</v>
      </c>
      <c r="W33" s="51">
        <v>68.707748413085938</v>
      </c>
      <c r="X33" s="51">
        <v>69.049064636230469</v>
      </c>
      <c r="Y33" s="51">
        <v>69.406234741210938</v>
      </c>
      <c r="Z33" s="51">
        <v>69.724708557128906</v>
      </c>
      <c r="AA33" s="51">
        <v>70.033210754394531</v>
      </c>
      <c r="AB33" s="51">
        <v>70.326408386230469</v>
      </c>
      <c r="AC33" s="51">
        <v>1.062183670584016E-2</v>
      </c>
    </row>
    <row r="34" spans="1:29" s="51" customFormat="1" ht="12">
      <c r="A34" s="51" t="s">
        <v>74</v>
      </c>
      <c r="B34" s="51" t="s">
        <v>73</v>
      </c>
      <c r="C34" s="51">
        <v>36.422164916992188</v>
      </c>
      <c r="D34" s="51">
        <v>39.084152221679688</v>
      </c>
      <c r="E34" s="51">
        <v>40.813884735107422</v>
      </c>
      <c r="F34" s="51">
        <v>41.932571411132813</v>
      </c>
      <c r="G34" s="51">
        <v>41.337978363037109</v>
      </c>
      <c r="H34" s="51">
        <v>40.808418273925781</v>
      </c>
      <c r="I34" s="51">
        <v>40.703746795654297</v>
      </c>
      <c r="J34" s="51">
        <v>40.601673126220703</v>
      </c>
      <c r="K34" s="51">
        <v>41.155929565429688</v>
      </c>
      <c r="L34" s="51">
        <v>41.518898010253913</v>
      </c>
      <c r="M34" s="51">
        <v>42.020275115966797</v>
      </c>
      <c r="N34" s="51">
        <v>42.425022125244141</v>
      </c>
      <c r="O34" s="51">
        <v>42.875587463378913</v>
      </c>
      <c r="P34" s="51">
        <v>43.2939453125</v>
      </c>
      <c r="Q34" s="51">
        <v>43.751918792724609</v>
      </c>
      <c r="R34" s="51">
        <v>44.124465942382813</v>
      </c>
      <c r="S34" s="51">
        <v>44.383434295654297</v>
      </c>
      <c r="T34" s="51">
        <v>44.659652709960938</v>
      </c>
      <c r="U34" s="51">
        <v>44.902576446533203</v>
      </c>
      <c r="V34" s="51">
        <v>45.145439147949219</v>
      </c>
      <c r="W34" s="51">
        <v>45.441230773925781</v>
      </c>
      <c r="X34" s="51">
        <v>45.583240509033203</v>
      </c>
      <c r="Y34" s="51">
        <v>45.828647613525391</v>
      </c>
      <c r="Z34" s="51">
        <v>45.988628387451172</v>
      </c>
      <c r="AA34" s="51">
        <v>46.21417236328125</v>
      </c>
      <c r="AB34" s="51">
        <v>46.369960784912109</v>
      </c>
      <c r="AC34" s="51">
        <v>9.7057719215838389E-3</v>
      </c>
    </row>
    <row r="35" spans="1:29" s="51" customFormat="1" ht="12">
      <c r="A35" s="51" t="s">
        <v>72</v>
      </c>
      <c r="B35" s="51" t="s">
        <v>71</v>
      </c>
      <c r="C35" s="51">
        <v>37.928226470947273</v>
      </c>
      <c r="D35" s="51">
        <v>39.647724151611328</v>
      </c>
      <c r="E35" s="51">
        <v>41.105445861816413</v>
      </c>
      <c r="F35" s="51">
        <v>42.182792663574219</v>
      </c>
      <c r="G35" s="51">
        <v>42.193748474121087</v>
      </c>
      <c r="H35" s="51">
        <v>42.276683807373047</v>
      </c>
      <c r="I35" s="51">
        <v>42.375995635986328</v>
      </c>
      <c r="J35" s="51">
        <v>42.4320068359375</v>
      </c>
      <c r="K35" s="51">
        <v>43.08880615234375</v>
      </c>
      <c r="L35" s="51">
        <v>43.508045196533203</v>
      </c>
      <c r="M35" s="51">
        <v>44.079277038574219</v>
      </c>
      <c r="N35" s="51">
        <v>44.526706695556641</v>
      </c>
      <c r="O35" s="51">
        <v>45.012191772460938</v>
      </c>
      <c r="P35" s="51">
        <v>45.432914733886719</v>
      </c>
      <c r="Q35" s="51">
        <v>45.86798095703125</v>
      </c>
      <c r="R35" s="51">
        <v>46.221057891845703</v>
      </c>
      <c r="S35" s="51">
        <v>46.489482879638672</v>
      </c>
      <c r="T35" s="51">
        <v>46.775104522705078</v>
      </c>
      <c r="U35" s="51">
        <v>47.009304046630859</v>
      </c>
      <c r="V35" s="51">
        <v>47.236160278320313</v>
      </c>
      <c r="W35" s="51">
        <v>47.510242462158203</v>
      </c>
      <c r="X35" s="51">
        <v>47.658443450927727</v>
      </c>
      <c r="Y35" s="51">
        <v>47.917152404785163</v>
      </c>
      <c r="Z35" s="51">
        <v>48.088970184326172</v>
      </c>
      <c r="AA35" s="51">
        <v>48.316951751708977</v>
      </c>
      <c r="AB35" s="51">
        <v>48.478034973144531</v>
      </c>
      <c r="AC35" s="51">
        <v>9.8649494147666772E-3</v>
      </c>
    </row>
    <row r="36" spans="1:29" s="51" customFormat="1" ht="12">
      <c r="A36" s="51" t="s">
        <v>70</v>
      </c>
      <c r="B36" s="51" t="s">
        <v>69</v>
      </c>
      <c r="C36" s="51">
        <v>49.590648651123047</v>
      </c>
      <c r="D36" s="51">
        <v>51.215469360351563</v>
      </c>
      <c r="E36" s="51">
        <v>53.608127593994141</v>
      </c>
      <c r="F36" s="51">
        <v>54.096858978271477</v>
      </c>
      <c r="G36" s="51">
        <v>54.943534851074219</v>
      </c>
      <c r="H36" s="51">
        <v>55.999603271484382</v>
      </c>
      <c r="I36" s="51">
        <v>57.098697662353523</v>
      </c>
      <c r="J36" s="51">
        <v>57.959529876708977</v>
      </c>
      <c r="K36" s="51">
        <v>58.912979125976563</v>
      </c>
      <c r="L36" s="51">
        <v>59.698707580566413</v>
      </c>
      <c r="M36" s="51">
        <v>60.617740631103523</v>
      </c>
      <c r="N36" s="51">
        <v>61.414299011230469</v>
      </c>
      <c r="O36" s="51">
        <v>62.165180206298828</v>
      </c>
      <c r="P36" s="51">
        <v>62.723667144775391</v>
      </c>
      <c r="Q36" s="51">
        <v>63.247802734375</v>
      </c>
      <c r="R36" s="51">
        <v>63.738010406494141</v>
      </c>
      <c r="S36" s="51">
        <v>64.206817626953125</v>
      </c>
      <c r="T36" s="51">
        <v>64.676704406738281</v>
      </c>
      <c r="U36" s="51">
        <v>65.102783203125</v>
      </c>
      <c r="V36" s="51">
        <v>65.478195190429688</v>
      </c>
      <c r="W36" s="51">
        <v>65.817008972167969</v>
      </c>
      <c r="X36" s="51">
        <v>66.15679931640625</v>
      </c>
      <c r="Y36" s="51">
        <v>66.510269165039063</v>
      </c>
      <c r="Z36" s="51">
        <v>66.82568359375</v>
      </c>
      <c r="AA36" s="51">
        <v>67.132545471191406</v>
      </c>
      <c r="AB36" s="51">
        <v>67.423072814941406</v>
      </c>
      <c r="AC36" s="51">
        <v>1.236320045737949E-2</v>
      </c>
    </row>
    <row r="37" spans="1:29" s="51" customFormat="1" ht="12">
      <c r="A37" s="51" t="s">
        <v>68</v>
      </c>
      <c r="B37" s="51" t="s">
        <v>67</v>
      </c>
      <c r="C37" s="51">
        <v>33.648506164550781</v>
      </c>
      <c r="D37" s="51">
        <v>35.589488983154297</v>
      </c>
      <c r="E37" s="51">
        <v>36.954139709472663</v>
      </c>
      <c r="F37" s="51">
        <v>38.312690734863281</v>
      </c>
      <c r="G37" s="51">
        <v>38.150814056396477</v>
      </c>
      <c r="H37" s="51">
        <v>38.049186706542969</v>
      </c>
      <c r="I37" s="51">
        <v>37.943958282470703</v>
      </c>
      <c r="J37" s="51">
        <v>37.849594116210938</v>
      </c>
      <c r="K37" s="51">
        <v>38.3502197265625</v>
      </c>
      <c r="L37" s="51">
        <v>38.68194580078125</v>
      </c>
      <c r="M37" s="51">
        <v>39.137226104736328</v>
      </c>
      <c r="N37" s="51">
        <v>39.505382537841797</v>
      </c>
      <c r="O37" s="51">
        <v>39.913684844970703</v>
      </c>
      <c r="P37" s="51">
        <v>40.293804168701172</v>
      </c>
      <c r="Q37" s="51">
        <v>40.705417633056641</v>
      </c>
      <c r="R37" s="51">
        <v>41.044151306152337</v>
      </c>
      <c r="S37" s="51">
        <v>41.282730102539063</v>
      </c>
      <c r="T37" s="51">
        <v>41.536674499511719</v>
      </c>
      <c r="U37" s="51">
        <v>41.760589599609382</v>
      </c>
      <c r="V37" s="51">
        <v>41.983673095703118</v>
      </c>
      <c r="W37" s="51">
        <v>42.253582000732422</v>
      </c>
      <c r="X37" s="51">
        <v>42.386531829833977</v>
      </c>
      <c r="Y37" s="51">
        <v>42.611763000488281</v>
      </c>
      <c r="Z37" s="51">
        <v>42.760551452636719</v>
      </c>
      <c r="AA37" s="51">
        <v>42.967159271240227</v>
      </c>
      <c r="AB37" s="51">
        <v>43.111106872558587</v>
      </c>
      <c r="AC37" s="51">
        <v>9.9617714503377197E-3</v>
      </c>
    </row>
    <row r="38" spans="1:29" s="51" customFormat="1" ht="12">
      <c r="A38" s="51" t="s">
        <v>66</v>
      </c>
      <c r="B38" s="51" t="s">
        <v>65</v>
      </c>
      <c r="C38" s="51">
        <v>28.107072830200199</v>
      </c>
      <c r="D38" s="51">
        <v>29.32974815368652</v>
      </c>
      <c r="E38" s="51">
        <v>30.373533248901371</v>
      </c>
      <c r="F38" s="51">
        <v>31.130092620849609</v>
      </c>
      <c r="G38" s="51">
        <v>31.173234939575199</v>
      </c>
      <c r="H38" s="51">
        <v>31.242206573486332</v>
      </c>
      <c r="I38" s="51">
        <v>31.322233200073239</v>
      </c>
      <c r="J38" s="51">
        <v>31.374786376953121</v>
      </c>
      <c r="K38" s="51">
        <v>31.844869613647461</v>
      </c>
      <c r="L38" s="51">
        <v>32.146076202392578</v>
      </c>
      <c r="M38" s="51">
        <v>32.552986145019531</v>
      </c>
      <c r="N38" s="51">
        <v>32.873622894287109</v>
      </c>
      <c r="O38" s="51">
        <v>33.219924926757813</v>
      </c>
      <c r="P38" s="51">
        <v>33.519706726074219</v>
      </c>
      <c r="Q38" s="51">
        <v>33.824932098388672</v>
      </c>
      <c r="R38" s="51">
        <v>34.074588775634773</v>
      </c>
      <c r="S38" s="51">
        <v>34.265041351318359</v>
      </c>
      <c r="T38" s="51">
        <v>34.467197418212891</v>
      </c>
      <c r="U38" s="51">
        <v>34.632568359375</v>
      </c>
      <c r="V38" s="51">
        <v>34.792171478271477</v>
      </c>
      <c r="W38" s="51">
        <v>34.9844970703125</v>
      </c>
      <c r="X38" s="51">
        <v>35.089149475097663</v>
      </c>
      <c r="Y38" s="51">
        <v>35.270767211914063</v>
      </c>
      <c r="Z38" s="51">
        <v>35.391799926757813</v>
      </c>
      <c r="AA38" s="51">
        <v>35.551124572753913</v>
      </c>
      <c r="AB38" s="51">
        <v>35.663898468017578</v>
      </c>
      <c r="AC38" s="51">
        <v>9.5702116989717645E-3</v>
      </c>
    </row>
    <row r="39" spans="1:29" s="51" customFormat="1" ht="12">
      <c r="A39" s="51" t="s">
        <v>64</v>
      </c>
      <c r="B39" s="51" t="s">
        <v>63</v>
      </c>
      <c r="C39" s="51">
        <v>36.199901580810547</v>
      </c>
      <c r="D39" s="51">
        <v>37.373344421386719</v>
      </c>
      <c r="E39" s="51">
        <v>39.080997467041023</v>
      </c>
      <c r="F39" s="51">
        <v>39.436958312988281</v>
      </c>
      <c r="G39" s="51">
        <v>40.070713043212891</v>
      </c>
      <c r="H39" s="51">
        <v>40.811344146728523</v>
      </c>
      <c r="I39" s="51">
        <v>41.597332000732422</v>
      </c>
      <c r="J39" s="51">
        <v>42.213569641113281</v>
      </c>
      <c r="K39" s="51">
        <v>42.898159027099609</v>
      </c>
      <c r="L39" s="51">
        <v>43.462482452392578</v>
      </c>
      <c r="M39" s="51">
        <v>44.119152069091797</v>
      </c>
      <c r="N39" s="51">
        <v>44.692489624023438</v>
      </c>
      <c r="O39" s="51">
        <v>45.231426239013672</v>
      </c>
      <c r="P39" s="51">
        <v>45.631031036376953</v>
      </c>
      <c r="Q39" s="51">
        <v>46.006317138671882</v>
      </c>
      <c r="R39" s="51">
        <v>46.357425689697273</v>
      </c>
      <c r="S39" s="51">
        <v>46.693378448486328</v>
      </c>
      <c r="T39" s="51">
        <v>47.029872894287109</v>
      </c>
      <c r="U39" s="51">
        <v>47.334880828857422</v>
      </c>
      <c r="V39" s="51">
        <v>47.60308837890625</v>
      </c>
      <c r="W39" s="51">
        <v>47.844738006591797</v>
      </c>
      <c r="X39" s="51">
        <v>48.087398529052727</v>
      </c>
      <c r="Y39" s="51">
        <v>48.339057922363281</v>
      </c>
      <c r="Z39" s="51">
        <v>48.563983917236328</v>
      </c>
      <c r="AA39" s="51">
        <v>48.781982421875</v>
      </c>
      <c r="AB39" s="51">
        <v>48.988636016845703</v>
      </c>
      <c r="AC39" s="51">
        <v>1.2174794840538411E-2</v>
      </c>
    </row>
    <row r="40" spans="1:29" s="51" customFormat="1" ht="12">
      <c r="A40" s="51" t="s">
        <v>62</v>
      </c>
      <c r="B40" s="51" t="s">
        <v>61</v>
      </c>
      <c r="C40" s="51">
        <v>25.075277328491211</v>
      </c>
      <c r="D40" s="51">
        <v>26.4552116394043</v>
      </c>
      <c r="E40" s="51">
        <v>27.429824829101559</v>
      </c>
      <c r="F40" s="51">
        <v>28.387552261352539</v>
      </c>
      <c r="G40" s="51">
        <v>28.303216934204102</v>
      </c>
      <c r="H40" s="51">
        <v>28.24003982543945</v>
      </c>
      <c r="I40" s="51">
        <v>28.17006683349609</v>
      </c>
      <c r="J40" s="51">
        <v>28.112739562988281</v>
      </c>
      <c r="K40" s="51">
        <v>28.470319747924801</v>
      </c>
      <c r="L40" s="51">
        <v>28.707502365112301</v>
      </c>
      <c r="M40" s="51">
        <v>29.030570983886719</v>
      </c>
      <c r="N40" s="51">
        <v>29.292917251586911</v>
      </c>
      <c r="O40" s="51">
        <v>29.583049774169918</v>
      </c>
      <c r="P40" s="51">
        <v>29.853666305541989</v>
      </c>
      <c r="Q40" s="51">
        <v>30.1414680480957</v>
      </c>
      <c r="R40" s="51">
        <v>30.380302429199219</v>
      </c>
      <c r="S40" s="51">
        <v>30.54857063293457</v>
      </c>
      <c r="T40" s="51">
        <v>30.727315902709961</v>
      </c>
      <c r="U40" s="51">
        <v>30.884511947631839</v>
      </c>
      <c r="V40" s="51">
        <v>31.040840148925781</v>
      </c>
      <c r="W40" s="51">
        <v>31.22994422912598</v>
      </c>
      <c r="X40" s="51">
        <v>31.322990417480469</v>
      </c>
      <c r="Y40" s="51">
        <v>31.480367660522461</v>
      </c>
      <c r="Z40" s="51">
        <v>31.584442138671879</v>
      </c>
      <c r="AA40" s="51">
        <v>31.728250503540039</v>
      </c>
      <c r="AB40" s="51">
        <v>31.828353881835941</v>
      </c>
      <c r="AC40" s="51">
        <v>9.5846465300954975E-3</v>
      </c>
    </row>
    <row r="41" spans="1:29" s="51" customFormat="1" ht="12">
      <c r="A41" s="51" t="s">
        <v>60</v>
      </c>
      <c r="B41" s="51" t="s">
        <v>59</v>
      </c>
      <c r="C41" s="51">
        <v>23.046724319458011</v>
      </c>
      <c r="D41" s="51">
        <v>23.366916656494141</v>
      </c>
      <c r="E41" s="51">
        <v>23.741962432861332</v>
      </c>
      <c r="F41" s="51">
        <v>24.142061233520511</v>
      </c>
      <c r="G41" s="51">
        <v>24.608076095581051</v>
      </c>
      <c r="H41" s="51">
        <v>25.106426239013668</v>
      </c>
      <c r="I41" s="51">
        <v>25.59792518615723</v>
      </c>
      <c r="J41" s="51">
        <v>26.050151824951168</v>
      </c>
      <c r="K41" s="51">
        <v>26.496255874633789</v>
      </c>
      <c r="L41" s="51">
        <v>26.8241081237793</v>
      </c>
      <c r="M41" s="51">
        <v>27.162517547607418</v>
      </c>
      <c r="N41" s="51">
        <v>27.59315299987793</v>
      </c>
      <c r="O41" s="51">
        <v>28.04970741271973</v>
      </c>
      <c r="P41" s="51">
        <v>28.464939117431641</v>
      </c>
      <c r="Q41" s="51">
        <v>28.865781784057621</v>
      </c>
      <c r="R41" s="51">
        <v>29.215280532836911</v>
      </c>
      <c r="S41" s="51">
        <v>29.52658843994141</v>
      </c>
      <c r="T41" s="51">
        <v>29.89296913146973</v>
      </c>
      <c r="U41" s="51">
        <v>30.138689041137699</v>
      </c>
      <c r="V41" s="51">
        <v>30.426094055175781</v>
      </c>
      <c r="W41" s="51">
        <v>30.680820465087891</v>
      </c>
      <c r="X41" s="51">
        <v>30.96077728271484</v>
      </c>
      <c r="Y41" s="51">
        <v>31.176885604858398</v>
      </c>
      <c r="Z41" s="51">
        <v>31.477340698242191</v>
      </c>
      <c r="AA41" s="51">
        <v>31.782566070556641</v>
      </c>
      <c r="AB41" s="51">
        <v>32.013576507568359</v>
      </c>
      <c r="AC41" s="51">
        <v>1.323223861835454E-2</v>
      </c>
    </row>
    <row r="42" spans="1:29" s="51" customFormat="1" ht="12">
      <c r="A42" s="51" t="s">
        <v>58</v>
      </c>
      <c r="B42" s="51" t="s">
        <v>57</v>
      </c>
      <c r="C42" s="51">
        <v>14.74443435668945</v>
      </c>
      <c r="D42" s="51">
        <v>14.79031944274902</v>
      </c>
      <c r="E42" s="51">
        <v>14.84897613525391</v>
      </c>
      <c r="F42" s="51">
        <v>14.92214393615723</v>
      </c>
      <c r="G42" s="51">
        <v>14.98768329620361</v>
      </c>
      <c r="H42" s="51">
        <v>15.040239334106451</v>
      </c>
      <c r="I42" s="51">
        <v>15.08202457427979</v>
      </c>
      <c r="J42" s="51">
        <v>15.128583908081049</v>
      </c>
      <c r="K42" s="51">
        <v>15.18825149536133</v>
      </c>
      <c r="L42" s="51">
        <v>15.244314193725589</v>
      </c>
      <c r="M42" s="51">
        <v>15.34550857543945</v>
      </c>
      <c r="N42" s="51">
        <v>15.45248985290527</v>
      </c>
      <c r="O42" s="51">
        <v>15.56436157226562</v>
      </c>
      <c r="P42" s="51">
        <v>15.64984035491943</v>
      </c>
      <c r="Q42" s="51">
        <v>15.74294948577881</v>
      </c>
      <c r="R42" s="51">
        <v>15.89530658721924</v>
      </c>
      <c r="S42" s="51">
        <v>16.019058227539059</v>
      </c>
      <c r="T42" s="51">
        <v>16.051773071289059</v>
      </c>
      <c r="U42" s="51">
        <v>16.116352081298832</v>
      </c>
      <c r="V42" s="51">
        <v>16.227914810180661</v>
      </c>
      <c r="W42" s="51">
        <v>16.345706939697269</v>
      </c>
      <c r="X42" s="51">
        <v>16.438211441040039</v>
      </c>
      <c r="Y42" s="51">
        <v>16.507389068603519</v>
      </c>
      <c r="Z42" s="51">
        <v>16.614175796508789</v>
      </c>
      <c r="AA42" s="51">
        <v>16.750741958618161</v>
      </c>
      <c r="AB42" s="51">
        <v>16.92460823059082</v>
      </c>
      <c r="AC42" s="51">
        <v>5.5313614531973254E-3</v>
      </c>
    </row>
    <row r="43" spans="1:29" s="51" customFormat="1" ht="12">
      <c r="A43" s="51" t="s">
        <v>56</v>
      </c>
      <c r="B43" s="51" t="s">
        <v>55</v>
      </c>
      <c r="C43" s="51">
        <v>12.877437591552731</v>
      </c>
      <c r="D43" s="51">
        <v>12.97559070587158</v>
      </c>
      <c r="E43" s="51">
        <v>13.07593250274658</v>
      </c>
      <c r="F43" s="51">
        <v>13.177327156066889</v>
      </c>
      <c r="G43" s="51">
        <v>13.282180786132811</v>
      </c>
      <c r="H43" s="51">
        <v>13.38814640045166</v>
      </c>
      <c r="I43" s="51">
        <v>13.495779037475589</v>
      </c>
      <c r="J43" s="51">
        <v>13.60288047790527</v>
      </c>
      <c r="K43" s="51">
        <v>13.71363353729248</v>
      </c>
      <c r="L43" s="51">
        <v>13.821150779724119</v>
      </c>
      <c r="M43" s="51">
        <v>13.93429660797119</v>
      </c>
      <c r="N43" s="51">
        <v>14.04417133331299</v>
      </c>
      <c r="O43" s="51">
        <v>14.161393165588381</v>
      </c>
      <c r="P43" s="51">
        <v>14.27102088928223</v>
      </c>
      <c r="Q43" s="51">
        <v>14.378401756286619</v>
      </c>
      <c r="R43" s="51">
        <v>14.471236228942869</v>
      </c>
      <c r="S43" s="51">
        <v>14.58409595489502</v>
      </c>
      <c r="T43" s="51">
        <v>14.68368530273438</v>
      </c>
      <c r="U43" s="51">
        <v>14.786996841430661</v>
      </c>
      <c r="V43" s="51">
        <v>14.891451835632321</v>
      </c>
      <c r="W43" s="51">
        <v>14.98777008056641</v>
      </c>
      <c r="X43" s="51">
        <v>15.09001350402832</v>
      </c>
      <c r="Y43" s="51">
        <v>15.17751502990723</v>
      </c>
      <c r="Z43" s="51">
        <v>15.27238082885742</v>
      </c>
      <c r="AA43" s="51">
        <v>15.369242668151861</v>
      </c>
      <c r="AB43" s="51">
        <v>15.473652839660639</v>
      </c>
      <c r="AC43" s="51">
        <v>7.3735317765473152E-3</v>
      </c>
    </row>
    <row r="44" spans="1:29" s="51" customFormat="1" ht="12">
      <c r="A44" s="51" t="s">
        <v>54</v>
      </c>
      <c r="B44" s="51" t="s">
        <v>53</v>
      </c>
      <c r="C44" s="51">
        <v>8.0276918411254883</v>
      </c>
      <c r="D44" s="51">
        <v>8.0779571533203125</v>
      </c>
      <c r="E44" s="51">
        <v>8.1403264999389648</v>
      </c>
      <c r="F44" s="51">
        <v>8.211700439453125</v>
      </c>
      <c r="G44" s="51">
        <v>8.2886276245117188</v>
      </c>
      <c r="H44" s="51">
        <v>8.3707714080810547</v>
      </c>
      <c r="I44" s="51">
        <v>8.4552516937255859</v>
      </c>
      <c r="J44" s="51">
        <v>8.55511474609375</v>
      </c>
      <c r="K44" s="51">
        <v>8.6564598083496094</v>
      </c>
      <c r="L44" s="51">
        <v>8.7536754608154297</v>
      </c>
      <c r="M44" s="51">
        <v>8.8445930480957031</v>
      </c>
      <c r="N44" s="51">
        <v>8.9269018173217773</v>
      </c>
      <c r="O44" s="51">
        <v>9.0023012161254883</v>
      </c>
      <c r="P44" s="51">
        <v>9.0723457336425781</v>
      </c>
      <c r="Q44" s="51">
        <v>9.1370534896850586</v>
      </c>
      <c r="R44" s="51">
        <v>9.1986417770385742</v>
      </c>
      <c r="S44" s="51">
        <v>9.2559843063354492</v>
      </c>
      <c r="T44" s="51">
        <v>9.3104972839355469</v>
      </c>
      <c r="U44" s="51">
        <v>9.3623447418212891</v>
      </c>
      <c r="V44" s="51">
        <v>9.4134120941162109</v>
      </c>
      <c r="W44" s="51">
        <v>9.4649143218994141</v>
      </c>
      <c r="X44" s="51">
        <v>9.5162258148193359</v>
      </c>
      <c r="Y44" s="51">
        <v>9.568115234375</v>
      </c>
      <c r="Z44" s="51">
        <v>9.6208572387695313</v>
      </c>
      <c r="AA44" s="51">
        <v>9.6733169555664063</v>
      </c>
      <c r="AB44" s="51">
        <v>9.7230100631713867</v>
      </c>
      <c r="AC44" s="51">
        <v>7.6933711906401747E-3</v>
      </c>
    </row>
    <row r="45" spans="1:29" s="51" customFormat="1" ht="12">
      <c r="B45" s="51" t="s">
        <v>52</v>
      </c>
    </row>
    <row r="46" spans="1:29" s="51" customFormat="1" ht="12">
      <c r="A46" s="51" t="s">
        <v>51</v>
      </c>
      <c r="B46" s="51" t="s">
        <v>50</v>
      </c>
      <c r="C46" s="51">
        <v>85.781158447265625</v>
      </c>
      <c r="D46" s="51">
        <v>86.455711364746094</v>
      </c>
      <c r="E46" s="51">
        <v>87.136611938476563</v>
      </c>
      <c r="F46" s="51">
        <v>87.833656311035156</v>
      </c>
      <c r="G46" s="51">
        <v>88.507484436035156</v>
      </c>
      <c r="H46" s="51">
        <v>89.191337585449219</v>
      </c>
      <c r="I46" s="51">
        <v>89.891960144042969</v>
      </c>
      <c r="J46" s="51">
        <v>90.644943237304688</v>
      </c>
      <c r="K46" s="51">
        <v>91.405494689941406</v>
      </c>
      <c r="L46" s="51">
        <v>92.163764953613281</v>
      </c>
      <c r="M46" s="51">
        <v>92.92431640625</v>
      </c>
      <c r="N46" s="51">
        <v>93.685585021972656</v>
      </c>
      <c r="O46" s="51">
        <v>94.442947387695313</v>
      </c>
      <c r="P46" s="51">
        <v>95.21875</v>
      </c>
      <c r="Q46" s="51">
        <v>95.984336853027344</v>
      </c>
      <c r="R46" s="51">
        <v>96.767494201660156</v>
      </c>
      <c r="S46" s="51">
        <v>97.562446594238281</v>
      </c>
      <c r="T46" s="51">
        <v>98.3878173828125</v>
      </c>
      <c r="U46" s="51">
        <v>99.21026611328125</v>
      </c>
      <c r="V46" s="51">
        <v>100.0334396362305</v>
      </c>
      <c r="W46" s="51">
        <v>100.861701965332</v>
      </c>
      <c r="X46" s="51">
        <v>101.6935501098633</v>
      </c>
      <c r="Y46" s="51">
        <v>102.5289993286133</v>
      </c>
      <c r="Z46" s="51">
        <v>103.37109375</v>
      </c>
      <c r="AA46" s="51">
        <v>104.2104187011719</v>
      </c>
      <c r="AB46" s="51">
        <v>105.0508117675781</v>
      </c>
      <c r="AC46" s="51">
        <v>8.1387316998615677E-3</v>
      </c>
    </row>
    <row r="47" spans="1:29" s="51" customFormat="1" ht="12">
      <c r="B47" s="51" t="s">
        <v>49</v>
      </c>
    </row>
    <row r="48" spans="1:29" s="48" customFormat="1" ht="12">
      <c r="A48" s="48" t="s">
        <v>48</v>
      </c>
      <c r="B48" s="48" t="s">
        <v>47</v>
      </c>
      <c r="C48" s="48">
        <v>3.3770101070404048</v>
      </c>
      <c r="D48" s="48">
        <v>3.380573987960815</v>
      </c>
      <c r="E48" s="48">
        <v>3.3841416835784912</v>
      </c>
      <c r="F48" s="48">
        <v>3.3877131938934331</v>
      </c>
      <c r="G48" s="48">
        <v>3.3912887573242192</v>
      </c>
      <c r="H48" s="48">
        <v>3.394867897033691</v>
      </c>
      <c r="I48" s="48">
        <v>3.398450613021851</v>
      </c>
      <c r="J48" s="48">
        <v>3.4020371437072749</v>
      </c>
      <c r="K48" s="48">
        <v>3.405627965927124</v>
      </c>
      <c r="L48" s="48">
        <v>3.409221887588501</v>
      </c>
      <c r="M48" s="48">
        <v>3.4128198623657231</v>
      </c>
      <c r="N48" s="48">
        <v>3.4164218902587891</v>
      </c>
      <c r="O48" s="48">
        <v>3.4200272560119629</v>
      </c>
      <c r="P48" s="48">
        <v>3.423636913299561</v>
      </c>
      <c r="Q48" s="48">
        <v>3.4272499084472661</v>
      </c>
      <c r="R48" s="48">
        <v>3.430866956710815</v>
      </c>
      <c r="S48" s="48">
        <v>3.43448805809021</v>
      </c>
      <c r="T48" s="48">
        <v>3.438112735748291</v>
      </c>
      <c r="U48" s="48">
        <v>3.441740989685059</v>
      </c>
      <c r="V48" s="48">
        <v>3.4453732967376709</v>
      </c>
      <c r="W48" s="48">
        <v>3.4490096569061279</v>
      </c>
      <c r="X48" s="48">
        <v>3.4526493549346919</v>
      </c>
      <c r="Y48" s="48">
        <v>3.4562933444976811</v>
      </c>
      <c r="Z48" s="48">
        <v>3.459941148757935</v>
      </c>
      <c r="AA48" s="48">
        <v>3.463592529296875</v>
      </c>
      <c r="AB48" s="48">
        <v>3.4672479629516602</v>
      </c>
      <c r="AC48" s="48">
        <v>1.055374545750221E-3</v>
      </c>
    </row>
    <row r="49" spans="1:29" s="57" customFormat="1" ht="12">
      <c r="A49" s="57" t="s">
        <v>46</v>
      </c>
      <c r="B49" s="57" t="s">
        <v>45</v>
      </c>
      <c r="C49" s="57">
        <v>4.8766646385192871</v>
      </c>
      <c r="D49" s="57">
        <v>4.8956236839294434</v>
      </c>
      <c r="E49" s="57">
        <v>4.9146566390991211</v>
      </c>
      <c r="F49" s="57">
        <v>4.9337635040283203</v>
      </c>
      <c r="G49" s="57">
        <v>4.9529447555541992</v>
      </c>
      <c r="H49" s="57">
        <v>4.9722003936767578</v>
      </c>
      <c r="I49" s="57">
        <v>4.9915308952331543</v>
      </c>
      <c r="J49" s="57">
        <v>5.0109367370605469</v>
      </c>
      <c r="K49" s="57">
        <v>5.0304179191589364</v>
      </c>
      <c r="L49" s="57">
        <v>5.0499749183654794</v>
      </c>
      <c r="M49" s="57">
        <v>5.0696077346801758</v>
      </c>
      <c r="N49" s="57">
        <v>5.0893168449401864</v>
      </c>
      <c r="O49" s="57">
        <v>5.109102725982666</v>
      </c>
      <c r="P49" s="57">
        <v>5.1289658546447754</v>
      </c>
      <c r="Q49" s="57">
        <v>5.1489062309265137</v>
      </c>
      <c r="R49" s="57">
        <v>5.1689233779907227</v>
      </c>
      <c r="S49" s="57">
        <v>5.1890192031860352</v>
      </c>
      <c r="T49" s="57">
        <v>5.2091922760009766</v>
      </c>
      <c r="U49" s="57">
        <v>5.2294445037841797</v>
      </c>
      <c r="V49" s="57">
        <v>5.2497754096984863</v>
      </c>
      <c r="W49" s="57">
        <v>5.2701849937438956</v>
      </c>
      <c r="X49" s="57">
        <v>5.2906742095947266</v>
      </c>
      <c r="Y49" s="57">
        <v>5.3112425804138184</v>
      </c>
      <c r="Z49" s="57">
        <v>5.3318915367126456</v>
      </c>
      <c r="AA49" s="57">
        <v>5.3526206016540527</v>
      </c>
      <c r="AB49" s="57">
        <v>5.3734297752380371</v>
      </c>
      <c r="AC49" s="57">
        <v>3.8877331451838688E-3</v>
      </c>
    </row>
    <row r="50" spans="1:29" s="48" customFormat="1" ht="12"/>
    <row r="51" spans="1:29" s="52" customFormat="1" ht="12">
      <c r="B51" s="52" t="s">
        <v>44</v>
      </c>
    </row>
    <row r="52" spans="1:29" s="52" customFormat="1" ht="12">
      <c r="B52" s="52" t="s">
        <v>43</v>
      </c>
    </row>
    <row r="53" spans="1:29" s="48" customFormat="1" ht="12">
      <c r="A53" s="48" t="s">
        <v>42</v>
      </c>
      <c r="B53" s="48" t="s">
        <v>26</v>
      </c>
      <c r="C53" s="48">
        <v>14.78265285491943</v>
      </c>
      <c r="D53" s="48">
        <v>14.672786712646481</v>
      </c>
      <c r="E53" s="48">
        <v>14.55257034301758</v>
      </c>
      <c r="F53" s="48">
        <v>14.378153800964361</v>
      </c>
      <c r="G53" s="48">
        <v>14.166834831237789</v>
      </c>
      <c r="H53" s="48">
        <v>13.936758041381839</v>
      </c>
      <c r="I53" s="48">
        <v>13.713143348693849</v>
      </c>
      <c r="J53" s="48">
        <v>13.52110004425049</v>
      </c>
      <c r="K53" s="48">
        <v>13.32039260864258</v>
      </c>
      <c r="L53" s="48">
        <v>13.191330909729</v>
      </c>
      <c r="M53" s="48">
        <v>13.04968357086182</v>
      </c>
      <c r="N53" s="48">
        <v>12.87770462036133</v>
      </c>
      <c r="O53" s="48">
        <v>12.704929351806641</v>
      </c>
      <c r="P53" s="48">
        <v>12.556594848632811</v>
      </c>
      <c r="Q53" s="48">
        <v>12.41137599945068</v>
      </c>
      <c r="R53" s="48">
        <v>12.293764114379879</v>
      </c>
      <c r="S53" s="48">
        <v>12.18532180786133</v>
      </c>
      <c r="T53" s="48">
        <v>12.056222915649411</v>
      </c>
      <c r="U53" s="48">
        <v>11.9722785949707</v>
      </c>
      <c r="V53" s="48">
        <v>11.87788105010986</v>
      </c>
      <c r="W53" s="48">
        <v>11.79601383209229</v>
      </c>
      <c r="X53" s="48">
        <v>11.70343112945557</v>
      </c>
      <c r="Y53" s="48">
        <v>11.62683200836182</v>
      </c>
      <c r="Z53" s="48">
        <v>11.521401405334471</v>
      </c>
      <c r="AA53" s="48">
        <v>11.41398334503174</v>
      </c>
      <c r="AB53" s="48">
        <v>11.339187622070311</v>
      </c>
      <c r="AC53" s="48">
        <v>-1.0551527186102531E-2</v>
      </c>
    </row>
    <row r="54" spans="1:29" s="58" customFormat="1" ht="12">
      <c r="A54" s="58" t="s">
        <v>41</v>
      </c>
      <c r="B54" s="58" t="s">
        <v>24</v>
      </c>
      <c r="C54" s="58">
        <v>0.87173807621002197</v>
      </c>
      <c r="D54" s="58">
        <v>0.87093132734298706</v>
      </c>
      <c r="E54" s="58">
        <v>0.87818789482116699</v>
      </c>
      <c r="F54" s="58">
        <v>0.87664037942886353</v>
      </c>
      <c r="G54" s="58">
        <v>0.87749767303466797</v>
      </c>
      <c r="H54" s="58">
        <v>0.88306564092636108</v>
      </c>
      <c r="I54" s="58">
        <v>0.88911271095275879</v>
      </c>
      <c r="J54" s="58">
        <v>0.89620500802993774</v>
      </c>
      <c r="K54" s="58">
        <v>0.89951300621032715</v>
      </c>
      <c r="L54" s="58">
        <v>0.90226602554321289</v>
      </c>
      <c r="M54" s="58">
        <v>0.90487778186798096</v>
      </c>
      <c r="N54" s="58">
        <v>0.90814465284347534</v>
      </c>
      <c r="O54" s="58">
        <v>0.91162371635437012</v>
      </c>
      <c r="P54" s="58">
        <v>0.91568571329116821</v>
      </c>
      <c r="Q54" s="58">
        <v>0.92017042636871338</v>
      </c>
      <c r="R54" s="58">
        <v>0.92398661375045776</v>
      </c>
      <c r="S54" s="58">
        <v>0.92461401224136353</v>
      </c>
      <c r="T54" s="58">
        <v>0.92510068416595459</v>
      </c>
      <c r="U54" s="58">
        <v>0.92174756526947021</v>
      </c>
      <c r="V54" s="58">
        <v>0.91824626922607422</v>
      </c>
      <c r="W54" s="58">
        <v>0.91485637426376343</v>
      </c>
      <c r="X54" s="58">
        <v>0.91168874502182007</v>
      </c>
      <c r="Y54" s="58">
        <v>0.91007977724075317</v>
      </c>
      <c r="Z54" s="58">
        <v>0.9075697660446167</v>
      </c>
      <c r="AA54" s="58">
        <v>0.90650737285614014</v>
      </c>
      <c r="AB54" s="58">
        <v>0.90485525131225586</v>
      </c>
      <c r="AC54" s="58">
        <v>1.4925519540442971E-3</v>
      </c>
    </row>
    <row r="55" spans="1:29" s="48" customFormat="1" ht="12">
      <c r="A55" s="48" t="s">
        <v>40</v>
      </c>
      <c r="B55" s="48" t="s">
        <v>22</v>
      </c>
      <c r="C55" s="48">
        <v>0.21125321090221411</v>
      </c>
      <c r="D55" s="48">
        <v>0.2125777751207352</v>
      </c>
      <c r="E55" s="48">
        <v>0.21311239898204801</v>
      </c>
      <c r="F55" s="48">
        <v>0.21356642246246341</v>
      </c>
      <c r="G55" s="48">
        <v>0.21372061967849729</v>
      </c>
      <c r="H55" s="48">
        <v>0.21330459415912631</v>
      </c>
      <c r="I55" s="48">
        <v>0.2125259339809418</v>
      </c>
      <c r="J55" s="48">
        <v>0.2113858908414841</v>
      </c>
      <c r="K55" s="48">
        <v>0.210529550909996</v>
      </c>
      <c r="L55" s="48">
        <v>0.20921881496906281</v>
      </c>
      <c r="M55" s="48">
        <v>0.2079777717590332</v>
      </c>
      <c r="N55" s="48">
        <v>0.20681026577949521</v>
      </c>
      <c r="O55" s="48">
        <v>0.2057952135801315</v>
      </c>
      <c r="P55" s="48">
        <v>0.20467029511928561</v>
      </c>
      <c r="Q55" s="48">
        <v>0.20349735021591189</v>
      </c>
      <c r="R55" s="48">
        <v>0.20242221653461459</v>
      </c>
      <c r="S55" s="48">
        <v>0.2011682540178299</v>
      </c>
      <c r="T55" s="48">
        <v>0.1998923122882843</v>
      </c>
      <c r="U55" s="48">
        <v>0.1984139084815979</v>
      </c>
      <c r="V55" s="48">
        <v>0.19695405662059781</v>
      </c>
      <c r="W55" s="48">
        <v>0.19551979005336759</v>
      </c>
      <c r="X55" s="48">
        <v>0.19397272169589999</v>
      </c>
      <c r="Y55" s="48">
        <v>0.19257806241512301</v>
      </c>
      <c r="Z55" s="48">
        <v>0.19098639488220209</v>
      </c>
      <c r="AA55" s="48">
        <v>0.18941181898117071</v>
      </c>
      <c r="AB55" s="48">
        <v>0.18775913119316101</v>
      </c>
      <c r="AC55" s="48">
        <v>-4.7047992491435764E-3</v>
      </c>
    </row>
    <row r="56" spans="1:29" s="48" customFormat="1" ht="12">
      <c r="A56" s="48" t="s">
        <v>39</v>
      </c>
      <c r="B56" s="48" t="s">
        <v>20</v>
      </c>
      <c r="C56" s="48">
        <v>5.7669124603271484</v>
      </c>
      <c r="D56" s="48">
        <v>5.7537040710449219</v>
      </c>
      <c r="E56" s="48">
        <v>5.7465977668762207</v>
      </c>
      <c r="F56" s="48">
        <v>5.738800048828125</v>
      </c>
      <c r="G56" s="48">
        <v>5.7239184379577637</v>
      </c>
      <c r="H56" s="48">
        <v>5.7261934280395508</v>
      </c>
      <c r="I56" s="48">
        <v>5.7118630409240723</v>
      </c>
      <c r="J56" s="48">
        <v>5.6941843032836914</v>
      </c>
      <c r="K56" s="48">
        <v>5.6671609878540039</v>
      </c>
      <c r="L56" s="48">
        <v>5.6535649299621582</v>
      </c>
      <c r="M56" s="48">
        <v>5.6457338333129883</v>
      </c>
      <c r="N56" s="48">
        <v>5.6417384147644043</v>
      </c>
      <c r="O56" s="48">
        <v>5.6431646347045898</v>
      </c>
      <c r="P56" s="48">
        <v>5.6475391387939453</v>
      </c>
      <c r="Q56" s="48">
        <v>5.6549801826477051</v>
      </c>
      <c r="R56" s="48">
        <v>5.6678781509399414</v>
      </c>
      <c r="S56" s="48">
        <v>5.6812615394592294</v>
      </c>
      <c r="T56" s="48">
        <v>5.6946039199829102</v>
      </c>
      <c r="U56" s="48">
        <v>5.7042245864868164</v>
      </c>
      <c r="V56" s="48">
        <v>5.7154421806335449</v>
      </c>
      <c r="W56" s="48">
        <v>5.7364435195922852</v>
      </c>
      <c r="X56" s="48">
        <v>5.7605667114257813</v>
      </c>
      <c r="Y56" s="48">
        <v>5.7872738838195801</v>
      </c>
      <c r="Z56" s="48">
        <v>5.8057126998901367</v>
      </c>
      <c r="AA56" s="48">
        <v>5.8257818222045898</v>
      </c>
      <c r="AB56" s="48">
        <v>5.8433365821838379</v>
      </c>
      <c r="AC56" s="48">
        <v>5.2674392697094063E-4</v>
      </c>
    </row>
    <row r="57" spans="1:29" s="48" customFormat="1" ht="12">
      <c r="A57" s="48" t="s">
        <v>38</v>
      </c>
      <c r="B57" s="48" t="s">
        <v>18</v>
      </c>
      <c r="C57" s="48">
        <v>4.7797959297895432E-2</v>
      </c>
      <c r="D57" s="48">
        <v>4.8922691494226463E-2</v>
      </c>
      <c r="E57" s="48">
        <v>4.956846684217453E-2</v>
      </c>
      <c r="F57" s="48">
        <v>5.0014670938253403E-2</v>
      </c>
      <c r="G57" s="48">
        <v>5.0306566059589393E-2</v>
      </c>
      <c r="H57" s="48">
        <v>5.0546631217002869E-2</v>
      </c>
      <c r="I57" s="48">
        <v>5.0750255584716797E-2</v>
      </c>
      <c r="J57" s="48">
        <v>5.1031436771154397E-2</v>
      </c>
      <c r="K57" s="48">
        <v>5.1405347883701318E-2</v>
      </c>
      <c r="L57" s="48">
        <v>5.1750045269727707E-2</v>
      </c>
      <c r="M57" s="48">
        <v>5.2312035113573067E-2</v>
      </c>
      <c r="N57" s="48">
        <v>5.287398025393486E-2</v>
      </c>
      <c r="O57" s="48">
        <v>5.3476795554161072E-2</v>
      </c>
      <c r="P57" s="48">
        <v>5.4024282842874527E-2</v>
      </c>
      <c r="Q57" s="48">
        <v>5.4461300373077393E-2</v>
      </c>
      <c r="R57" s="48">
        <v>5.4907094687223428E-2</v>
      </c>
      <c r="S57" s="48">
        <v>5.5303342640399933E-2</v>
      </c>
      <c r="T57" s="48">
        <v>5.5704668164253228E-2</v>
      </c>
      <c r="U57" s="48">
        <v>5.6041281670331948E-2</v>
      </c>
      <c r="V57" s="48">
        <v>5.6408632546663277E-2</v>
      </c>
      <c r="W57" s="48">
        <v>5.6804094463586807E-2</v>
      </c>
      <c r="X57" s="48">
        <v>5.713721364736557E-2</v>
      </c>
      <c r="Y57" s="48">
        <v>5.7507969439029687E-2</v>
      </c>
      <c r="Z57" s="48">
        <v>5.7785686105489731E-2</v>
      </c>
      <c r="AA57" s="48">
        <v>5.804809182882309E-2</v>
      </c>
      <c r="AB57" s="48">
        <v>5.8288902044296258E-2</v>
      </c>
      <c r="AC57" s="48">
        <v>7.9687334735212279E-3</v>
      </c>
    </row>
    <row r="58" spans="1:29" s="48" customFormat="1" ht="12">
      <c r="A58" s="48" t="s">
        <v>37</v>
      </c>
      <c r="B58" s="48" t="s">
        <v>16</v>
      </c>
      <c r="C58" s="48">
        <v>0.46892571449279791</v>
      </c>
      <c r="D58" s="48">
        <v>0.45827093720436102</v>
      </c>
      <c r="E58" s="48">
        <v>0.47303974628448492</v>
      </c>
      <c r="F58" s="48">
        <v>0.46332839131355291</v>
      </c>
      <c r="G58" s="48">
        <v>0.45965719223022461</v>
      </c>
      <c r="H58" s="48">
        <v>0.46270060539245611</v>
      </c>
      <c r="I58" s="48">
        <v>0.45084089040756231</v>
      </c>
      <c r="J58" s="48">
        <v>0.45273822546005249</v>
      </c>
      <c r="K58" s="48">
        <v>0.45470461249351501</v>
      </c>
      <c r="L58" s="48">
        <v>0.45341679453849792</v>
      </c>
      <c r="M58" s="48">
        <v>0.4548988938331604</v>
      </c>
      <c r="N58" s="48">
        <v>0.45597618818283081</v>
      </c>
      <c r="O58" s="48">
        <v>0.45770025253295898</v>
      </c>
      <c r="P58" s="48">
        <v>0.45788243412971502</v>
      </c>
      <c r="Q58" s="48">
        <v>0.45880034565925598</v>
      </c>
      <c r="R58" s="48">
        <v>0.45924940705299377</v>
      </c>
      <c r="S58" s="48">
        <v>0.45883017778396612</v>
      </c>
      <c r="T58" s="48">
        <v>0.45740926265716553</v>
      </c>
      <c r="U58" s="48">
        <v>0.45628690719604492</v>
      </c>
      <c r="V58" s="48">
        <v>0.45632943511009222</v>
      </c>
      <c r="W58" s="48">
        <v>0.45608934760093689</v>
      </c>
      <c r="X58" s="48">
        <v>0.45703703165054321</v>
      </c>
      <c r="Y58" s="48">
        <v>0.45972210168838501</v>
      </c>
      <c r="Z58" s="48">
        <v>0.46117040514945978</v>
      </c>
      <c r="AA58" s="48">
        <v>0.45984774827957148</v>
      </c>
      <c r="AB58" s="48">
        <v>0.45883843302726751</v>
      </c>
      <c r="AC58" s="48">
        <v>-8.6947036319473536E-4</v>
      </c>
    </row>
    <row r="59" spans="1:29" s="48" customFormat="1" ht="12">
      <c r="A59" s="48" t="s">
        <v>36</v>
      </c>
      <c r="B59" s="48" t="s">
        <v>14</v>
      </c>
      <c r="C59" s="48">
        <v>9.8803624510765076E-2</v>
      </c>
      <c r="D59" s="48">
        <v>9.9316403269767761E-2</v>
      </c>
      <c r="E59" s="48">
        <v>9.8358690738677979E-2</v>
      </c>
      <c r="F59" s="48">
        <v>9.7612865269184113E-2</v>
      </c>
      <c r="G59" s="48">
        <v>9.6659235656261444E-2</v>
      </c>
      <c r="H59" s="48">
        <v>9.6369914710521698E-2</v>
      </c>
      <c r="I59" s="48">
        <v>9.5604360103607178E-2</v>
      </c>
      <c r="J59" s="48">
        <v>9.5185726881027222E-2</v>
      </c>
      <c r="K59" s="48">
        <v>9.4527602195739746E-2</v>
      </c>
      <c r="L59" s="48">
        <v>9.4112463295459747E-2</v>
      </c>
      <c r="M59" s="48">
        <v>9.3649528920650482E-2</v>
      </c>
      <c r="N59" s="48">
        <v>9.3040108680725098E-2</v>
      </c>
      <c r="O59" s="48">
        <v>9.2384010553359985E-2</v>
      </c>
      <c r="P59" s="48">
        <v>9.1701142489910126E-2</v>
      </c>
      <c r="Q59" s="48">
        <v>9.118383377790451E-2</v>
      </c>
      <c r="R59" s="48">
        <v>9.0719491243362427E-2</v>
      </c>
      <c r="S59" s="48">
        <v>9.0371981263160706E-2</v>
      </c>
      <c r="T59" s="48">
        <v>8.9852526783943176E-2</v>
      </c>
      <c r="U59" s="48">
        <v>8.9239902794361115E-2</v>
      </c>
      <c r="V59" s="48">
        <v>8.8577024638652802E-2</v>
      </c>
      <c r="W59" s="48">
        <v>8.7940782308578491E-2</v>
      </c>
      <c r="X59" s="48">
        <v>8.7447844445705414E-2</v>
      </c>
      <c r="Y59" s="48">
        <v>8.7030783295631409E-2</v>
      </c>
      <c r="Z59" s="48">
        <v>8.6401760578155518E-2</v>
      </c>
      <c r="AA59" s="48">
        <v>8.5715189576148987E-2</v>
      </c>
      <c r="AB59" s="48">
        <v>8.5029073059558868E-2</v>
      </c>
      <c r="AC59" s="48">
        <v>-5.9876443946381697E-3</v>
      </c>
    </row>
    <row r="60" spans="1:29" s="48" customFormat="1" ht="12">
      <c r="A60" s="48" t="s">
        <v>35</v>
      </c>
      <c r="B60" s="48" t="s">
        <v>12</v>
      </c>
      <c r="C60" s="48">
        <v>0.78167915344238281</v>
      </c>
      <c r="D60" s="48">
        <v>0.7717897891998291</v>
      </c>
      <c r="E60" s="48">
        <v>0.78704750537872314</v>
      </c>
      <c r="F60" s="48">
        <v>0.80376601219177246</v>
      </c>
      <c r="G60" s="48">
        <v>0.81765478849411011</v>
      </c>
      <c r="H60" s="48">
        <v>0.83159327507019043</v>
      </c>
      <c r="I60" s="48">
        <v>0.84471166133880615</v>
      </c>
      <c r="J60" s="48">
        <v>0.8591805100440979</v>
      </c>
      <c r="K60" s="48">
        <v>0.87405824661254883</v>
      </c>
      <c r="L60" s="48">
        <v>0.88922768831253052</v>
      </c>
      <c r="M60" s="48">
        <v>0.9052237868309021</v>
      </c>
      <c r="N60" s="48">
        <v>0.91783034801483154</v>
      </c>
      <c r="O60" s="48">
        <v>0.92754381895065308</v>
      </c>
      <c r="P60" s="48">
        <v>0.93721479177474976</v>
      </c>
      <c r="Q60" s="48">
        <v>0.94565081596374512</v>
      </c>
      <c r="R60" s="48">
        <v>0.95404738187789917</v>
      </c>
      <c r="S60" s="48">
        <v>0.96195065975189209</v>
      </c>
      <c r="T60" s="48">
        <v>0.97087830305099487</v>
      </c>
      <c r="U60" s="48">
        <v>0.9794883131980896</v>
      </c>
      <c r="V60" s="48">
        <v>0.98797017335891724</v>
      </c>
      <c r="W60" s="48">
        <v>0.99751222133636475</v>
      </c>
      <c r="X60" s="48">
        <v>1.0069848299026489</v>
      </c>
      <c r="Y60" s="48">
        <v>1.016484260559082</v>
      </c>
      <c r="Z60" s="48">
        <v>1.025493264198303</v>
      </c>
      <c r="AA60" s="48">
        <v>1.0342476367950439</v>
      </c>
      <c r="AB60" s="48">
        <v>1.0441455841064451</v>
      </c>
      <c r="AC60" s="48">
        <v>1.164770596012943E-2</v>
      </c>
    </row>
    <row r="61" spans="1:29" s="48" customFormat="1" ht="12">
      <c r="A61" s="48" t="s">
        <v>34</v>
      </c>
      <c r="B61" s="48" t="s">
        <v>10</v>
      </c>
      <c r="C61" s="48">
        <v>0.2081606388092041</v>
      </c>
      <c r="D61" s="48">
        <v>0.20879322290420529</v>
      </c>
      <c r="E61" s="48">
        <v>0.20794807374477389</v>
      </c>
      <c r="F61" s="48">
        <v>0.20585447549819949</v>
      </c>
      <c r="G61" s="48">
        <v>0.20426417887210849</v>
      </c>
      <c r="H61" s="48">
        <v>0.20314738154411319</v>
      </c>
      <c r="I61" s="48">
        <v>0.20193912088870999</v>
      </c>
      <c r="J61" s="48">
        <v>0.20121459662914279</v>
      </c>
      <c r="K61" s="48">
        <v>0.2007368206977844</v>
      </c>
      <c r="L61" s="48">
        <v>0.20051611959934229</v>
      </c>
      <c r="M61" s="48">
        <v>0.2005653977394104</v>
      </c>
      <c r="N61" s="48">
        <v>0.19998820126056671</v>
      </c>
      <c r="O61" s="48">
        <v>0.19941560924053189</v>
      </c>
      <c r="P61" s="48">
        <v>0.1988051384687424</v>
      </c>
      <c r="Q61" s="48">
        <v>0.19817641377449041</v>
      </c>
      <c r="R61" s="48">
        <v>0.19756390154361719</v>
      </c>
      <c r="S61" s="48">
        <v>0.19679184257984161</v>
      </c>
      <c r="T61" s="48">
        <v>0.1961062550544739</v>
      </c>
      <c r="U61" s="48">
        <v>0.19548013806343079</v>
      </c>
      <c r="V61" s="48">
        <v>0.19485120475292211</v>
      </c>
      <c r="W61" s="48">
        <v>0.19421251118183139</v>
      </c>
      <c r="X61" s="48">
        <v>0.1934712827205658</v>
      </c>
      <c r="Y61" s="48">
        <v>0.19258871674537659</v>
      </c>
      <c r="Z61" s="48">
        <v>0.19167262315750119</v>
      </c>
      <c r="AA61" s="48">
        <v>0.1906729191541672</v>
      </c>
      <c r="AB61" s="48">
        <v>0.18972758948802951</v>
      </c>
      <c r="AC61" s="48">
        <v>-3.701961970928092E-3</v>
      </c>
    </row>
    <row r="62" spans="1:29" s="48" customFormat="1" ht="12">
      <c r="A62" s="48" t="s">
        <v>33</v>
      </c>
      <c r="B62" s="48" t="s">
        <v>8</v>
      </c>
      <c r="C62" s="48">
        <v>3.252488374710083</v>
      </c>
      <c r="D62" s="48">
        <v>3.2983648777008061</v>
      </c>
      <c r="E62" s="48">
        <v>3.3249204158782959</v>
      </c>
      <c r="F62" s="48">
        <v>3.3261456489562988</v>
      </c>
      <c r="G62" s="48">
        <v>3.3410756587982182</v>
      </c>
      <c r="H62" s="48">
        <v>3.3669147491455078</v>
      </c>
      <c r="I62" s="48">
        <v>3.3901228904724121</v>
      </c>
      <c r="J62" s="48">
        <v>3.4227406978607182</v>
      </c>
      <c r="K62" s="48">
        <v>3.4578709602355961</v>
      </c>
      <c r="L62" s="48">
        <v>3.5002696514129639</v>
      </c>
      <c r="M62" s="48">
        <v>3.5509955883026119</v>
      </c>
      <c r="N62" s="48">
        <v>3.5867424011230469</v>
      </c>
      <c r="O62" s="48">
        <v>3.6258692741394039</v>
      </c>
      <c r="P62" s="48">
        <v>3.6633789539337158</v>
      </c>
      <c r="Q62" s="48">
        <v>3.6994724273681641</v>
      </c>
      <c r="R62" s="48">
        <v>3.736007452011108</v>
      </c>
      <c r="S62" s="48">
        <v>3.7680318355560298</v>
      </c>
      <c r="T62" s="48">
        <v>3.8030920028686519</v>
      </c>
      <c r="U62" s="48">
        <v>3.8394989967346191</v>
      </c>
      <c r="V62" s="48">
        <v>3.8748385906219478</v>
      </c>
      <c r="W62" s="48">
        <v>3.9100577831268311</v>
      </c>
      <c r="X62" s="48">
        <v>3.9414398670196529</v>
      </c>
      <c r="Y62" s="48">
        <v>3.967918872833252</v>
      </c>
      <c r="Z62" s="48">
        <v>3.994192361831665</v>
      </c>
      <c r="AA62" s="48">
        <v>4.0161323547363281</v>
      </c>
      <c r="AB62" s="48">
        <v>4.0397953987121582</v>
      </c>
      <c r="AC62" s="48">
        <v>8.708649143537972E-3</v>
      </c>
    </row>
    <row r="63" spans="1:29" s="48" customFormat="1" ht="12">
      <c r="A63" s="48" t="s">
        <v>32</v>
      </c>
      <c r="B63" s="48" t="s">
        <v>6</v>
      </c>
      <c r="C63" s="48">
        <v>0.44400164484977722</v>
      </c>
      <c r="D63" s="48">
        <v>0.45626935362815862</v>
      </c>
      <c r="E63" s="48">
        <v>0.45697200298309332</v>
      </c>
      <c r="F63" s="48">
        <v>0.45195937156677252</v>
      </c>
      <c r="G63" s="48">
        <v>0.45042768120765692</v>
      </c>
      <c r="H63" s="48">
        <v>0.44871446490287781</v>
      </c>
      <c r="I63" s="48">
        <v>0.44792678952217102</v>
      </c>
      <c r="J63" s="48">
        <v>0.44775637984275818</v>
      </c>
      <c r="K63" s="48">
        <v>0.44764614105224609</v>
      </c>
      <c r="L63" s="48">
        <v>0.44770374894142151</v>
      </c>
      <c r="M63" s="48">
        <v>0.44787532091140753</v>
      </c>
      <c r="N63" s="48">
        <v>0.44821968674659729</v>
      </c>
      <c r="O63" s="48">
        <v>0.44865876436233521</v>
      </c>
      <c r="P63" s="48">
        <v>0.44908794760704041</v>
      </c>
      <c r="Q63" s="48">
        <v>0.44951120018959051</v>
      </c>
      <c r="R63" s="48">
        <v>0.44992825388908392</v>
      </c>
      <c r="S63" s="48">
        <v>0.45034018158912659</v>
      </c>
      <c r="T63" s="48">
        <v>0.45075049996376038</v>
      </c>
      <c r="U63" s="48">
        <v>0.45116147398948669</v>
      </c>
      <c r="V63" s="48">
        <v>0.4515729546546936</v>
      </c>
      <c r="W63" s="48">
        <v>0.45198440551757813</v>
      </c>
      <c r="X63" s="48">
        <v>0.45240002870559692</v>
      </c>
      <c r="Y63" s="48">
        <v>0.45281937718391418</v>
      </c>
      <c r="Z63" s="48">
        <v>0.45324036478996282</v>
      </c>
      <c r="AA63" s="48">
        <v>0.45366585254669189</v>
      </c>
      <c r="AB63" s="48">
        <v>0.45409601926803589</v>
      </c>
      <c r="AC63" s="48">
        <v>8.9962060898307605E-4</v>
      </c>
    </row>
    <row r="64" spans="1:29" s="48" customFormat="1" ht="12">
      <c r="A64" s="48" t="s">
        <v>31</v>
      </c>
      <c r="B64" s="48" t="s">
        <v>4</v>
      </c>
      <c r="C64" s="48">
        <v>8.9237295091152191E-2</v>
      </c>
      <c r="D64" s="48">
        <v>8.9304618537425995E-2</v>
      </c>
      <c r="E64" s="48">
        <v>8.9436665177345276E-2</v>
      </c>
      <c r="F64" s="48">
        <v>8.9620940387248993E-2</v>
      </c>
      <c r="G64" s="48">
        <v>8.9835070073604584E-2</v>
      </c>
      <c r="H64" s="48">
        <v>9.0127810835838318E-2</v>
      </c>
      <c r="I64" s="48">
        <v>9.0388968586921692E-2</v>
      </c>
      <c r="J64" s="48">
        <v>9.0646594762802124E-2</v>
      </c>
      <c r="K64" s="48">
        <v>9.087400883436203E-2</v>
      </c>
      <c r="L64" s="48">
        <v>9.1105036437511444E-2</v>
      </c>
      <c r="M64" s="48">
        <v>9.1325826942920685E-2</v>
      </c>
      <c r="N64" s="48">
        <v>9.1503322124481201E-2</v>
      </c>
      <c r="O64" s="48">
        <v>9.1676786541938782E-2</v>
      </c>
      <c r="P64" s="48">
        <v>9.1845586895942688E-2</v>
      </c>
      <c r="Q64" s="48">
        <v>9.200616180896759E-2</v>
      </c>
      <c r="R64" s="48">
        <v>9.2163205146789551E-2</v>
      </c>
      <c r="S64" s="48">
        <v>9.2298410832881927E-2</v>
      </c>
      <c r="T64" s="48">
        <v>9.241379052400589E-2</v>
      </c>
      <c r="U64" s="48">
        <v>9.2506460845470428E-2</v>
      </c>
      <c r="V64" s="48">
        <v>9.2593245208263397E-2</v>
      </c>
      <c r="W64" s="48">
        <v>9.2697024345397949E-2</v>
      </c>
      <c r="X64" s="48">
        <v>9.279979020357132E-2</v>
      </c>
      <c r="Y64" s="48">
        <v>9.2905290424823761E-2</v>
      </c>
      <c r="Z64" s="48">
        <v>9.2984557151794434E-2</v>
      </c>
      <c r="AA64" s="48">
        <v>9.3058086931705475E-2</v>
      </c>
      <c r="AB64" s="48">
        <v>9.3105539679527283E-2</v>
      </c>
      <c r="AC64" s="48">
        <v>1.698826428271349E-3</v>
      </c>
    </row>
    <row r="65" spans="1:29" s="48" customFormat="1" ht="12">
      <c r="A65" s="48" t="s">
        <v>30</v>
      </c>
      <c r="B65" s="48" t="s">
        <v>129</v>
      </c>
      <c r="C65" s="48">
        <v>0.73460203409194946</v>
      </c>
      <c r="D65" s="48">
        <v>0.6812559962272644</v>
      </c>
      <c r="E65" s="48">
        <v>0.68428695201873779</v>
      </c>
      <c r="F65" s="48">
        <v>0.67398983240127563</v>
      </c>
      <c r="G65" s="48">
        <v>0.68341696262359619</v>
      </c>
      <c r="H65" s="48">
        <v>0.71255457401275635</v>
      </c>
      <c r="I65" s="48">
        <v>0.7327113151550293</v>
      </c>
      <c r="J65" s="48">
        <v>0.74484390020370483</v>
      </c>
      <c r="K65" s="48">
        <v>0.74981546401977539</v>
      </c>
      <c r="L65" s="48">
        <v>0.75792115926742554</v>
      </c>
      <c r="M65" s="48">
        <v>0.77047121524810791</v>
      </c>
      <c r="N65" s="48">
        <v>0.79358923435211182</v>
      </c>
      <c r="O65" s="48">
        <v>0.82120853662490845</v>
      </c>
      <c r="P65" s="48">
        <v>0.84546816349029541</v>
      </c>
      <c r="Q65" s="48">
        <v>0.87215423583984375</v>
      </c>
      <c r="R65" s="48">
        <v>0.89066064357757568</v>
      </c>
      <c r="S65" s="48">
        <v>0.90670770406723022</v>
      </c>
      <c r="T65" s="48">
        <v>0.92474496364593506</v>
      </c>
      <c r="U65" s="48">
        <v>0.94375729560852051</v>
      </c>
      <c r="V65" s="48">
        <v>0.95782119035720825</v>
      </c>
      <c r="W65" s="48">
        <v>0.96594768762588501</v>
      </c>
      <c r="X65" s="48">
        <v>0.97511273622512817</v>
      </c>
      <c r="Y65" s="48">
        <v>0.98419195413589478</v>
      </c>
      <c r="Z65" s="48">
        <v>0.99279999732971191</v>
      </c>
      <c r="AA65" s="48">
        <v>0.99604660272598267</v>
      </c>
      <c r="AB65" s="48">
        <v>1.001548171043396</v>
      </c>
      <c r="AC65" s="48">
        <v>1.247611947766702E-2</v>
      </c>
    </row>
    <row r="66" spans="1:29" s="48" customFormat="1" ht="12">
      <c r="A66" s="48" t="s">
        <v>309</v>
      </c>
      <c r="B66" s="48" t="s">
        <v>1974</v>
      </c>
      <c r="C66" s="48">
        <v>0.59071016311645508</v>
      </c>
      <c r="D66" s="48">
        <v>0.58992117643356323</v>
      </c>
      <c r="E66" s="48">
        <v>0.67366337776184082</v>
      </c>
      <c r="F66" s="48">
        <v>0.72236031293869019</v>
      </c>
      <c r="G66" s="48">
        <v>0.77013206481933594</v>
      </c>
      <c r="H66" s="48">
        <v>0.91109681129455566</v>
      </c>
      <c r="I66" s="48">
        <v>0.97537040710449219</v>
      </c>
      <c r="J66" s="48">
        <v>1.0367476940155029</v>
      </c>
      <c r="K66" s="48">
        <v>1.082817435264587</v>
      </c>
      <c r="L66" s="48">
        <v>1.1590127944946289</v>
      </c>
      <c r="M66" s="48">
        <v>1.2125788927078249</v>
      </c>
      <c r="N66" s="48">
        <v>1.254067182540894</v>
      </c>
      <c r="O66" s="48">
        <v>1.2759807109832759</v>
      </c>
      <c r="P66" s="48">
        <v>1.2974061965942381</v>
      </c>
      <c r="Q66" s="48">
        <v>1.3195188045501709</v>
      </c>
      <c r="R66" s="48">
        <v>1.3403997421264651</v>
      </c>
      <c r="S66" s="48">
        <v>1.3632839918136599</v>
      </c>
      <c r="T66" s="48">
        <v>1.3850599527359011</v>
      </c>
      <c r="U66" s="48">
        <v>1.4068360328674321</v>
      </c>
      <c r="V66" s="48">
        <v>1.431362628936768</v>
      </c>
      <c r="W66" s="48">
        <v>1.450387835502625</v>
      </c>
      <c r="X66" s="48">
        <v>1.4721639156341551</v>
      </c>
      <c r="Y66" s="48">
        <v>1.493939876556396</v>
      </c>
      <c r="Z66" s="48">
        <v>1.507578492164612</v>
      </c>
      <c r="AA66" s="48">
        <v>1.5048278570175171</v>
      </c>
      <c r="AB66" s="48">
        <v>1.5048278570175171</v>
      </c>
      <c r="AC66" s="48">
        <v>3.8112678605402461E-2</v>
      </c>
    </row>
    <row r="67" spans="1:29" s="49" customFormat="1" ht="12">
      <c r="A67" s="49" t="s">
        <v>29</v>
      </c>
      <c r="B67" s="49" t="s">
        <v>1</v>
      </c>
      <c r="C67" s="49">
        <v>28.348964691162109</v>
      </c>
      <c r="D67" s="49">
        <v>28.212209701538089</v>
      </c>
      <c r="E67" s="49">
        <v>28.235712051391602</v>
      </c>
      <c r="F67" s="49">
        <v>28.091814041137699</v>
      </c>
      <c r="G67" s="49">
        <v>27.945400238037109</v>
      </c>
      <c r="H67" s="49">
        <v>27.933088302612301</v>
      </c>
      <c r="I67" s="49">
        <v>27.807012557983398</v>
      </c>
      <c r="J67" s="49">
        <v>27.724960327148441</v>
      </c>
      <c r="K67" s="49">
        <v>27.602048873901371</v>
      </c>
      <c r="L67" s="49">
        <v>27.601413726806641</v>
      </c>
      <c r="M67" s="49">
        <v>27.58817100524902</v>
      </c>
      <c r="N67" s="49">
        <v>27.528224945068359</v>
      </c>
      <c r="O67" s="49">
        <v>27.459426879882809</v>
      </c>
      <c r="P67" s="49">
        <v>27.41130447387695</v>
      </c>
      <c r="Q67" s="49">
        <v>27.3709602355957</v>
      </c>
      <c r="R67" s="49">
        <v>27.35369873046875</v>
      </c>
      <c r="S67" s="49">
        <v>27.336275100708011</v>
      </c>
      <c r="T67" s="49">
        <v>27.30183219909668</v>
      </c>
      <c r="U67" s="49">
        <v>27.306962966918949</v>
      </c>
      <c r="V67" s="49">
        <v>27.300846099853519</v>
      </c>
      <c r="W67" s="49">
        <v>27.306467056274411</v>
      </c>
      <c r="X67" s="49">
        <v>27.305656433105469</v>
      </c>
      <c r="Y67" s="49">
        <v>27.321872711181641</v>
      </c>
      <c r="Z67" s="49">
        <v>27.28898811340332</v>
      </c>
      <c r="AA67" s="49">
        <v>27.227949142456051</v>
      </c>
      <c r="AB67" s="49">
        <v>27.20454025268555</v>
      </c>
      <c r="AC67" s="49">
        <v>-1.6469075669147679E-3</v>
      </c>
    </row>
    <row r="68" spans="1:29" s="48" customFormat="1" ht="12"/>
    <row r="69" spans="1:29" s="49" customFormat="1" ht="12">
      <c r="B69" s="49" t="s">
        <v>28</v>
      </c>
    </row>
    <row r="70" spans="1:29" s="48" customFormat="1" ht="12">
      <c r="A70" s="48" t="s">
        <v>27</v>
      </c>
      <c r="B70" s="48" t="s">
        <v>26</v>
      </c>
      <c r="C70" s="48">
        <v>8.0188064575195313</v>
      </c>
      <c r="D70" s="48">
        <v>7.9572339057922363</v>
      </c>
      <c r="E70" s="48">
        <v>7.8907833099365234</v>
      </c>
      <c r="F70" s="48">
        <v>7.7945165634155273</v>
      </c>
      <c r="G70" s="48">
        <v>7.678065299987793</v>
      </c>
      <c r="H70" s="48">
        <v>7.552210807800293</v>
      </c>
      <c r="I70" s="48">
        <v>7.4291677474975586</v>
      </c>
      <c r="J70" s="48">
        <v>7.3238534927368164</v>
      </c>
      <c r="K70" s="48">
        <v>7.2138457298278809</v>
      </c>
      <c r="L70" s="48">
        <v>7.1427264213562012</v>
      </c>
      <c r="M70" s="48">
        <v>7.0646295547485352</v>
      </c>
      <c r="N70" s="48">
        <v>6.969789981842041</v>
      </c>
      <c r="O70" s="48">
        <v>6.874443531036377</v>
      </c>
      <c r="P70" s="48">
        <v>6.792360782623291</v>
      </c>
      <c r="Q70" s="48">
        <v>6.712010383605957</v>
      </c>
      <c r="R70" s="48">
        <v>6.6467266082763672</v>
      </c>
      <c r="S70" s="48">
        <v>6.5864238739013672</v>
      </c>
      <c r="T70" s="48">
        <v>6.5149683952331543</v>
      </c>
      <c r="U70" s="48">
        <v>6.4681167602539063</v>
      </c>
      <c r="V70" s="48">
        <v>6.4156465530395508</v>
      </c>
      <c r="W70" s="48">
        <v>6.3699350357055664</v>
      </c>
      <c r="X70" s="48">
        <v>6.3185324668884277</v>
      </c>
      <c r="Y70" s="48">
        <v>6.2759604454040527</v>
      </c>
      <c r="Z70" s="48">
        <v>6.2177872657775879</v>
      </c>
      <c r="AA70" s="48">
        <v>6.1583681106567383</v>
      </c>
      <c r="AB70" s="48">
        <v>6.1167769432067871</v>
      </c>
      <c r="AC70" s="48">
        <v>-1.077173586286528E-2</v>
      </c>
    </row>
    <row r="71" spans="1:29" s="48" customFormat="1" ht="12">
      <c r="A71" s="48" t="s">
        <v>25</v>
      </c>
      <c r="B71" s="48" t="s">
        <v>24</v>
      </c>
      <c r="C71" s="48">
        <v>0.44233489036560059</v>
      </c>
      <c r="D71" s="48">
        <v>0.44080159068107599</v>
      </c>
      <c r="E71" s="48">
        <v>0.44447046518325811</v>
      </c>
      <c r="F71" s="48">
        <v>0.44565102458000178</v>
      </c>
      <c r="G71" s="48">
        <v>0.4464954137802124</v>
      </c>
      <c r="H71" s="48">
        <v>0.44873878359794622</v>
      </c>
      <c r="I71" s="48">
        <v>0.45027503371238708</v>
      </c>
      <c r="J71" s="48">
        <v>0.45223477482795721</v>
      </c>
      <c r="K71" s="48">
        <v>0.45312771201133728</v>
      </c>
      <c r="L71" s="48">
        <v>0.45451304316520691</v>
      </c>
      <c r="M71" s="48">
        <v>0.45594921708106989</v>
      </c>
      <c r="N71" s="48">
        <v>0.45758149027824402</v>
      </c>
      <c r="O71" s="48">
        <v>0.45939710736274719</v>
      </c>
      <c r="P71" s="48">
        <v>0.46196532249450678</v>
      </c>
      <c r="Q71" s="48">
        <v>0.46444025635719299</v>
      </c>
      <c r="R71" s="48">
        <v>0.46704712510108948</v>
      </c>
      <c r="S71" s="48">
        <v>0.46851280331611628</v>
      </c>
      <c r="T71" s="48">
        <v>0.47014454007148743</v>
      </c>
      <c r="U71" s="48">
        <v>0.46996703743934631</v>
      </c>
      <c r="V71" s="48">
        <v>0.46954095363616938</v>
      </c>
      <c r="W71" s="48">
        <v>0.46969220042228699</v>
      </c>
      <c r="X71" s="48">
        <v>0.46949049830436712</v>
      </c>
      <c r="Y71" s="48">
        <v>0.46953299641609192</v>
      </c>
      <c r="Z71" s="48">
        <v>0.46869206428527832</v>
      </c>
      <c r="AA71" s="48">
        <v>0.46819952130317688</v>
      </c>
      <c r="AB71" s="48">
        <v>0.46743589639663702</v>
      </c>
      <c r="AC71" s="48">
        <v>2.2102371256809139E-3</v>
      </c>
    </row>
    <row r="72" spans="1:29" s="48" customFormat="1" ht="12">
      <c r="A72" s="48" t="s">
        <v>23</v>
      </c>
      <c r="B72" s="48" t="s">
        <v>22</v>
      </c>
      <c r="C72" s="48">
        <v>0.1048036366701126</v>
      </c>
      <c r="D72" s="48">
        <v>0.1054425835609436</v>
      </c>
      <c r="E72" s="48">
        <v>0.1056176051497459</v>
      </c>
      <c r="F72" s="48">
        <v>0.1058433651924133</v>
      </c>
      <c r="G72" s="48">
        <v>0.10585795342922211</v>
      </c>
      <c r="H72" s="48">
        <v>0.105626605451107</v>
      </c>
      <c r="I72" s="48">
        <v>0.1051973849534988</v>
      </c>
      <c r="J72" s="48">
        <v>0.10459212958812709</v>
      </c>
      <c r="K72" s="48">
        <v>0.10414810478687291</v>
      </c>
      <c r="L72" s="48">
        <v>0.1034700870513916</v>
      </c>
      <c r="M72" s="48">
        <v>0.10286349058151251</v>
      </c>
      <c r="N72" s="48">
        <v>0.1022682711482048</v>
      </c>
      <c r="O72" s="48">
        <v>0.10172811895608901</v>
      </c>
      <c r="P72" s="48">
        <v>0.1011715605854988</v>
      </c>
      <c r="Q72" s="48">
        <v>0.1005691811442375</v>
      </c>
      <c r="R72" s="48">
        <v>0.1000165939331055</v>
      </c>
      <c r="S72" s="48">
        <v>9.938957542181015E-2</v>
      </c>
      <c r="T72" s="48">
        <v>9.8738163709640503E-2</v>
      </c>
      <c r="U72" s="48">
        <v>9.7992077469825745E-2</v>
      </c>
      <c r="V72" s="48">
        <v>9.7241796553134918E-2</v>
      </c>
      <c r="W72" s="48">
        <v>9.6502169966697693E-2</v>
      </c>
      <c r="X72" s="48">
        <v>9.5720298588275909E-2</v>
      </c>
      <c r="Y72" s="48">
        <v>9.5010094344615936E-2</v>
      </c>
      <c r="Z72" s="48">
        <v>9.4205133616924286E-2</v>
      </c>
      <c r="AA72" s="48">
        <v>9.3410879373550415E-2</v>
      </c>
      <c r="AB72" s="48">
        <v>9.2576004564762115E-2</v>
      </c>
      <c r="AC72" s="48">
        <v>-4.9500477022262901E-3</v>
      </c>
    </row>
    <row r="73" spans="1:29" s="48" customFormat="1" ht="12">
      <c r="A73" s="48" t="s">
        <v>21</v>
      </c>
      <c r="B73" s="48" t="s">
        <v>20</v>
      </c>
      <c r="C73" s="48">
        <v>2.7760546207427979</v>
      </c>
      <c r="D73" s="48">
        <v>2.7692821025848389</v>
      </c>
      <c r="E73" s="48">
        <v>2.765782356262207</v>
      </c>
      <c r="F73" s="48">
        <v>2.7624223232269292</v>
      </c>
      <c r="G73" s="48">
        <v>2.7557718753814702</v>
      </c>
      <c r="H73" s="48">
        <v>2.7576174736022949</v>
      </c>
      <c r="I73" s="48">
        <v>2.7515203952789311</v>
      </c>
      <c r="J73" s="48">
        <v>2.7440416812896729</v>
      </c>
      <c r="K73" s="48">
        <v>2.7321887016296391</v>
      </c>
      <c r="L73" s="48">
        <v>2.7269878387451172</v>
      </c>
      <c r="M73" s="48">
        <v>2.7246050834655762</v>
      </c>
      <c r="N73" s="48">
        <v>2.7242097854614258</v>
      </c>
      <c r="O73" s="48">
        <v>2.7265362739562988</v>
      </c>
      <c r="P73" s="48">
        <v>2.7303962707519531</v>
      </c>
      <c r="Q73" s="48">
        <v>2.735800981521606</v>
      </c>
      <c r="R73" s="48">
        <v>2.7437305450439449</v>
      </c>
      <c r="S73" s="48">
        <v>2.751366138458252</v>
      </c>
      <c r="T73" s="48">
        <v>2.758200883865356</v>
      </c>
      <c r="U73" s="48">
        <v>2.7624449729919429</v>
      </c>
      <c r="V73" s="48">
        <v>2.7666020393371582</v>
      </c>
      <c r="W73" s="48">
        <v>2.7746748924255371</v>
      </c>
      <c r="X73" s="48">
        <v>2.7839417457580571</v>
      </c>
      <c r="Y73" s="48">
        <v>2.794122457504272</v>
      </c>
      <c r="Z73" s="48">
        <v>2.799988746643066</v>
      </c>
      <c r="AA73" s="48">
        <v>2.8064959049224849</v>
      </c>
      <c r="AB73" s="48">
        <v>2.8116884231567378</v>
      </c>
      <c r="AC73" s="48">
        <v>5.1030803176121964E-4</v>
      </c>
    </row>
    <row r="74" spans="1:29" s="48" customFormat="1" ht="12">
      <c r="A74" s="48" t="s">
        <v>19</v>
      </c>
      <c r="B74" s="48" t="s">
        <v>18</v>
      </c>
      <c r="C74" s="48">
        <v>2.2625727578997609E-2</v>
      </c>
      <c r="D74" s="48">
        <v>2.315527014434338E-2</v>
      </c>
      <c r="E74" s="48">
        <v>2.3459577932953831E-2</v>
      </c>
      <c r="F74" s="48">
        <v>2.367060445249081E-2</v>
      </c>
      <c r="G74" s="48">
        <v>2.380834519863129E-2</v>
      </c>
      <c r="H74" s="48">
        <v>2.3922039195895198E-2</v>
      </c>
      <c r="I74" s="48">
        <v>2.401788346469402E-2</v>
      </c>
      <c r="J74" s="48">
        <v>2.4150697514414791E-2</v>
      </c>
      <c r="K74" s="48">
        <v>2.4327559396624569E-2</v>
      </c>
      <c r="L74" s="48">
        <v>2.44908481836319E-2</v>
      </c>
      <c r="M74" s="48">
        <v>2.4756591767072681E-2</v>
      </c>
      <c r="N74" s="48">
        <v>2.5022596120834351E-2</v>
      </c>
      <c r="O74" s="48">
        <v>2.530781552195549E-2</v>
      </c>
      <c r="P74" s="48">
        <v>2.5566881522536281E-2</v>
      </c>
      <c r="Q74" s="48">
        <v>2.5773672387003899E-2</v>
      </c>
      <c r="R74" s="48">
        <v>2.5984678417444229E-2</v>
      </c>
      <c r="S74" s="48">
        <v>2.6172131299972531E-2</v>
      </c>
      <c r="T74" s="48">
        <v>2.6362001895904541E-2</v>
      </c>
      <c r="U74" s="48">
        <v>2.6521248742938042E-2</v>
      </c>
      <c r="V74" s="48">
        <v>2.669521048665047E-2</v>
      </c>
      <c r="W74" s="48">
        <v>2.6882113888859749E-2</v>
      </c>
      <c r="X74" s="48">
        <v>2.703977003693581E-2</v>
      </c>
      <c r="Y74" s="48">
        <v>2.7215193957090381E-2</v>
      </c>
      <c r="Z74" s="48">
        <v>2.7346642687916759E-2</v>
      </c>
      <c r="AA74" s="48">
        <v>2.7470940724015239E-2</v>
      </c>
      <c r="AB74" s="48">
        <v>2.7584932744503021E-2</v>
      </c>
      <c r="AC74" s="48">
        <v>7.9587865496704158E-3</v>
      </c>
    </row>
    <row r="75" spans="1:29" s="48" customFormat="1" ht="12">
      <c r="A75" s="48" t="s">
        <v>17</v>
      </c>
      <c r="B75" s="48" t="s">
        <v>16</v>
      </c>
      <c r="C75" s="48">
        <v>0.2224653214216232</v>
      </c>
      <c r="D75" s="48">
        <v>0.21736268699169159</v>
      </c>
      <c r="E75" s="48">
        <v>0.2243488430976868</v>
      </c>
      <c r="F75" s="48">
        <v>0.21974918246269229</v>
      </c>
      <c r="G75" s="48">
        <v>0.21800814568996429</v>
      </c>
      <c r="H75" s="48">
        <v>0.21946051716804499</v>
      </c>
      <c r="I75" s="48">
        <v>0.2138301879167557</v>
      </c>
      <c r="J75" s="48">
        <v>0.21472841501235959</v>
      </c>
      <c r="K75" s="48">
        <v>0.21566139161586759</v>
      </c>
      <c r="L75" s="48">
        <v>0.21505545079708099</v>
      </c>
      <c r="M75" s="48">
        <v>0.2157563716173172</v>
      </c>
      <c r="N75" s="48">
        <v>0.21627002954483029</v>
      </c>
      <c r="O75" s="48">
        <v>0.2170883119106293</v>
      </c>
      <c r="P75" s="48">
        <v>0.21717579662799841</v>
      </c>
      <c r="Q75" s="48">
        <v>0.21761190891265869</v>
      </c>
      <c r="R75" s="48">
        <v>0.2178266495466232</v>
      </c>
      <c r="S75" s="48">
        <v>0.21762724220752719</v>
      </c>
      <c r="T75" s="48">
        <v>0.2169527858495712</v>
      </c>
      <c r="U75" s="48">
        <v>0.2164197713136673</v>
      </c>
      <c r="V75" s="48">
        <v>0.2164423018693924</v>
      </c>
      <c r="W75" s="48">
        <v>0.21632446348667139</v>
      </c>
      <c r="X75" s="48">
        <v>0.2167742848396301</v>
      </c>
      <c r="Y75" s="48">
        <v>0.2180473655462265</v>
      </c>
      <c r="Z75" s="48">
        <v>0.2187344431877136</v>
      </c>
      <c r="AA75" s="48">
        <v>0.21810892224311829</v>
      </c>
      <c r="AB75" s="48">
        <v>0.21763066947460169</v>
      </c>
      <c r="AC75" s="48">
        <v>-8.7848515990041065E-4</v>
      </c>
    </row>
    <row r="76" spans="1:29" s="48" customFormat="1" ht="12">
      <c r="A76" s="48" t="s">
        <v>15</v>
      </c>
      <c r="B76" s="48" t="s">
        <v>14</v>
      </c>
      <c r="C76" s="48">
        <v>4.6816471964120858E-2</v>
      </c>
      <c r="D76" s="48">
        <v>4.7051966190338128E-2</v>
      </c>
      <c r="E76" s="48">
        <v>4.6596787869930267E-2</v>
      </c>
      <c r="F76" s="48">
        <v>4.624706506729126E-2</v>
      </c>
      <c r="G76" s="48">
        <v>4.5797593891620643E-2</v>
      </c>
      <c r="H76" s="48">
        <v>4.5664768666028983E-2</v>
      </c>
      <c r="I76" s="48">
        <v>4.5303460210561752E-2</v>
      </c>
      <c r="J76" s="48">
        <v>4.510720819234848E-2</v>
      </c>
      <c r="K76" s="48">
        <v>4.4797927141189582E-2</v>
      </c>
      <c r="L76" s="48">
        <v>4.4604618102312088E-2</v>
      </c>
      <c r="M76" s="48">
        <v>4.4387146830558777E-2</v>
      </c>
      <c r="N76" s="48">
        <v>4.4100858271121979E-2</v>
      </c>
      <c r="O76" s="48">
        <v>4.3792176991701133E-2</v>
      </c>
      <c r="P76" s="48">
        <v>4.3471209704875953E-2</v>
      </c>
      <c r="Q76" s="48">
        <v>4.322882741689682E-2</v>
      </c>
      <c r="R76" s="48">
        <v>4.3011356145143509E-2</v>
      </c>
      <c r="S76" s="48">
        <v>4.2846288532018661E-2</v>
      </c>
      <c r="T76" s="48">
        <v>4.2599707841873169E-2</v>
      </c>
      <c r="U76" s="48">
        <v>4.2308907955884927E-2</v>
      </c>
      <c r="V76" s="48">
        <v>4.1994843631982803E-2</v>
      </c>
      <c r="W76" s="48">
        <v>4.1692208498716347E-2</v>
      </c>
      <c r="X76" s="48">
        <v>4.1458301246166229E-2</v>
      </c>
      <c r="Y76" s="48">
        <v>4.1260216385126107E-2</v>
      </c>
      <c r="Z76" s="48">
        <v>4.096173495054245E-2</v>
      </c>
      <c r="AA76" s="48">
        <v>4.0636256337165833E-2</v>
      </c>
      <c r="AB76" s="48">
        <v>4.0310725569725037E-2</v>
      </c>
      <c r="AC76" s="48">
        <v>-5.9668285211313954E-3</v>
      </c>
    </row>
    <row r="77" spans="1:29" s="48" customFormat="1" ht="12">
      <c r="A77" s="48" t="s">
        <v>13</v>
      </c>
      <c r="B77" s="48" t="s">
        <v>12</v>
      </c>
      <c r="C77" s="48">
        <v>0.34950616955757141</v>
      </c>
      <c r="D77" s="48">
        <v>0.34549269080162048</v>
      </c>
      <c r="E77" s="48">
        <v>0.35216295719146729</v>
      </c>
      <c r="F77" s="48">
        <v>0.35926401615142822</v>
      </c>
      <c r="G77" s="48">
        <v>0.36564821004867548</v>
      </c>
      <c r="H77" s="48">
        <v>0.37202993035316467</v>
      </c>
      <c r="I77" s="48">
        <v>0.37815490365028381</v>
      </c>
      <c r="J77" s="48">
        <v>0.38472211360931402</v>
      </c>
      <c r="K77" s="48">
        <v>0.3914191722869873</v>
      </c>
      <c r="L77" s="48">
        <v>0.39824897050857538</v>
      </c>
      <c r="M77" s="48">
        <v>0.40551874041557312</v>
      </c>
      <c r="N77" s="48">
        <v>0.41119351983070368</v>
      </c>
      <c r="O77" s="48">
        <v>0.41557487845420837</v>
      </c>
      <c r="P77" s="48">
        <v>0.41993391513824457</v>
      </c>
      <c r="Q77" s="48">
        <v>0.42373549938201899</v>
      </c>
      <c r="R77" s="48">
        <v>0.42755541205406189</v>
      </c>
      <c r="S77" s="48">
        <v>0.43115407228469849</v>
      </c>
      <c r="T77" s="48">
        <v>0.43511980772018433</v>
      </c>
      <c r="U77" s="48">
        <v>0.43892526626586909</v>
      </c>
      <c r="V77" s="48">
        <v>0.44268956780433649</v>
      </c>
      <c r="W77" s="48">
        <v>0.44693005084991461</v>
      </c>
      <c r="X77" s="48">
        <v>0.45116192102432251</v>
      </c>
      <c r="Y77" s="48">
        <v>0.45542547106742859</v>
      </c>
      <c r="Z77" s="48">
        <v>0.4594649076461792</v>
      </c>
      <c r="AA77" s="48">
        <v>0.46336928009986877</v>
      </c>
      <c r="AB77" s="48">
        <v>0.46779629588127142</v>
      </c>
      <c r="AC77" s="48">
        <v>1.172871715453838E-2</v>
      </c>
    </row>
    <row r="78" spans="1:29" s="48" customFormat="1" ht="12">
      <c r="A78" s="48" t="s">
        <v>11</v>
      </c>
      <c r="B78" s="48" t="s">
        <v>10</v>
      </c>
      <c r="C78" s="48">
        <v>0.1129723116755486</v>
      </c>
      <c r="D78" s="48">
        <v>0.1133420690894127</v>
      </c>
      <c r="E78" s="48">
        <v>0.1129100546240807</v>
      </c>
      <c r="F78" s="48">
        <v>0.1117998063564301</v>
      </c>
      <c r="G78" s="48">
        <v>0.1109623610973358</v>
      </c>
      <c r="H78" s="48">
        <v>0.1103817671537399</v>
      </c>
      <c r="I78" s="48">
        <v>0.10975115746259689</v>
      </c>
      <c r="J78" s="48">
        <v>0.1093831956386566</v>
      </c>
      <c r="K78" s="48">
        <v>0.1091492399573326</v>
      </c>
      <c r="L78" s="48">
        <v>0.1090549603104591</v>
      </c>
      <c r="M78" s="48">
        <v>0.10910752415657041</v>
      </c>
      <c r="N78" s="48">
        <v>0.1088153049349785</v>
      </c>
      <c r="O78" s="48">
        <v>0.10852546989917761</v>
      </c>
      <c r="P78" s="48">
        <v>0.1082140952348709</v>
      </c>
      <c r="Q78" s="48">
        <v>0.1078925132751465</v>
      </c>
      <c r="R78" s="48">
        <v>0.1075796484947205</v>
      </c>
      <c r="S78" s="48">
        <v>0.1071779727935791</v>
      </c>
      <c r="T78" s="48">
        <v>0.1068235710263252</v>
      </c>
      <c r="U78" s="48">
        <v>0.1065013632178307</v>
      </c>
      <c r="V78" s="48">
        <v>0.1061772927641869</v>
      </c>
      <c r="W78" s="48">
        <v>0.1058477237820625</v>
      </c>
      <c r="X78" s="48">
        <v>0.105462059378624</v>
      </c>
      <c r="Y78" s="48">
        <v>0.10499927401542659</v>
      </c>
      <c r="Z78" s="48">
        <v>0.1045183688402176</v>
      </c>
      <c r="AA78" s="48">
        <v>0.1039917543530464</v>
      </c>
      <c r="AB78" s="48">
        <v>0.10349432379007339</v>
      </c>
      <c r="AC78" s="48">
        <v>-3.4989041460389281E-3</v>
      </c>
    </row>
    <row r="79" spans="1:29" s="48" customFormat="1" ht="12">
      <c r="A79" s="48" t="s">
        <v>9</v>
      </c>
      <c r="B79" s="48" t="s">
        <v>8</v>
      </c>
      <c r="C79" s="48">
        <v>1.5729249715805049</v>
      </c>
      <c r="D79" s="48">
        <v>1.5950947999954219</v>
      </c>
      <c r="E79" s="48">
        <v>1.607928872108459</v>
      </c>
      <c r="F79" s="48">
        <v>1.608523488044739</v>
      </c>
      <c r="G79" s="48">
        <v>1.615740180015564</v>
      </c>
      <c r="H79" s="48">
        <v>1.6282283067703249</v>
      </c>
      <c r="I79" s="48">
        <v>1.6394450664520259</v>
      </c>
      <c r="J79" s="48">
        <v>1.6552087068557739</v>
      </c>
      <c r="K79" s="48">
        <v>1.6721863746643071</v>
      </c>
      <c r="L79" s="48">
        <v>1.6926760673522949</v>
      </c>
      <c r="M79" s="48">
        <v>1.7171895503997801</v>
      </c>
      <c r="N79" s="48">
        <v>1.7344644069671631</v>
      </c>
      <c r="O79" s="48">
        <v>1.75337278842926</v>
      </c>
      <c r="P79" s="48">
        <v>1.7714997529983521</v>
      </c>
      <c r="Q79" s="48">
        <v>1.7889424562454219</v>
      </c>
      <c r="R79" s="48">
        <v>1.806598305702209</v>
      </c>
      <c r="S79" s="48">
        <v>1.8220746517181401</v>
      </c>
      <c r="T79" s="48">
        <v>1.8390176296234131</v>
      </c>
      <c r="U79" s="48">
        <v>1.856611490249634</v>
      </c>
      <c r="V79" s="48">
        <v>1.873689651489258</v>
      </c>
      <c r="W79" s="48">
        <v>1.890709400177002</v>
      </c>
      <c r="X79" s="48">
        <v>1.9058752059936519</v>
      </c>
      <c r="Y79" s="48">
        <v>1.9186719655990601</v>
      </c>
      <c r="Z79" s="48">
        <v>1.931369423866272</v>
      </c>
      <c r="AA79" s="48">
        <v>1.941972970962524</v>
      </c>
      <c r="AB79" s="48">
        <v>1.95340895652771</v>
      </c>
      <c r="AC79" s="48">
        <v>8.7032188423932233E-3</v>
      </c>
    </row>
    <row r="80" spans="1:29" s="48" customFormat="1" ht="12">
      <c r="A80" s="48" t="s">
        <v>7</v>
      </c>
      <c r="B80" s="48" t="s">
        <v>6</v>
      </c>
      <c r="C80" s="48">
        <v>0.21353420615196231</v>
      </c>
      <c r="D80" s="48">
        <v>0.2194218635559082</v>
      </c>
      <c r="E80" s="48">
        <v>0.21975509822368619</v>
      </c>
      <c r="F80" s="48">
        <v>0.21734607219696039</v>
      </c>
      <c r="G80" s="48">
        <v>0.21660955250263211</v>
      </c>
      <c r="H80" s="48">
        <v>0.21578788757324219</v>
      </c>
      <c r="I80" s="48">
        <v>0.21540774405002591</v>
      </c>
      <c r="J80" s="48">
        <v>0.21532538533210749</v>
      </c>
      <c r="K80" s="48">
        <v>0.21527248620986941</v>
      </c>
      <c r="L80" s="48">
        <v>0.21530140936374659</v>
      </c>
      <c r="M80" s="48">
        <v>0.21538341045379639</v>
      </c>
      <c r="N80" s="48">
        <v>0.2155496925115585</v>
      </c>
      <c r="O80" s="48">
        <v>0.21576099097728729</v>
      </c>
      <c r="P80" s="48">
        <v>0.2159676402807236</v>
      </c>
      <c r="Q80" s="48">
        <v>0.21617136895656591</v>
      </c>
      <c r="R80" s="48">
        <v>0.2163723707199097</v>
      </c>
      <c r="S80" s="48">
        <v>0.21657031774520871</v>
      </c>
      <c r="T80" s="48">
        <v>0.21676753461360929</v>
      </c>
      <c r="U80" s="48">
        <v>0.2169649749994278</v>
      </c>
      <c r="V80" s="48">
        <v>0.21716348826885221</v>
      </c>
      <c r="W80" s="48">
        <v>0.2173603177070618</v>
      </c>
      <c r="X80" s="48">
        <v>0.21756027638912201</v>
      </c>
      <c r="Y80" s="48">
        <v>0.21776182949542999</v>
      </c>
      <c r="Z80" s="48">
        <v>0.21796433627605441</v>
      </c>
      <c r="AA80" s="48">
        <v>0.21816942095756531</v>
      </c>
      <c r="AB80" s="48">
        <v>0.21837641298770899</v>
      </c>
      <c r="AC80" s="48">
        <v>8.9733047607021277E-4</v>
      </c>
    </row>
    <row r="81" spans="1:29" s="48" customFormat="1" ht="12">
      <c r="A81" s="48" t="s">
        <v>5</v>
      </c>
      <c r="B81" s="48" t="s">
        <v>4</v>
      </c>
      <c r="C81" s="48">
        <v>4.2152710258960717E-2</v>
      </c>
      <c r="D81" s="48">
        <v>4.2184509336948388E-2</v>
      </c>
      <c r="E81" s="48">
        <v>4.2246885597705841E-2</v>
      </c>
      <c r="F81" s="48">
        <v>4.2333930730819702E-2</v>
      </c>
      <c r="G81" s="48">
        <v>4.243507981300354E-2</v>
      </c>
      <c r="H81" s="48">
        <v>4.2573362588882453E-2</v>
      </c>
      <c r="I81" s="48">
        <v>4.2696721851825707E-2</v>
      </c>
      <c r="J81" s="48">
        <v>4.2818415910005569E-2</v>
      </c>
      <c r="K81" s="48">
        <v>4.2925838381052017E-2</v>
      </c>
      <c r="L81" s="48">
        <v>4.3034970760345459E-2</v>
      </c>
      <c r="M81" s="48">
        <v>4.31392602622509E-2</v>
      </c>
      <c r="N81" s="48">
        <v>4.3223105370998383E-2</v>
      </c>
      <c r="O81" s="48">
        <v>4.3305043131113052E-2</v>
      </c>
      <c r="P81" s="48">
        <v>4.3384779244661331E-2</v>
      </c>
      <c r="Q81" s="48">
        <v>4.3460629880428307E-2</v>
      </c>
      <c r="R81" s="48">
        <v>4.3534811586141593E-2</v>
      </c>
      <c r="S81" s="48">
        <v>4.3598677963018417E-2</v>
      </c>
      <c r="T81" s="48">
        <v>4.3653182685375207E-2</v>
      </c>
      <c r="U81" s="48">
        <v>4.3696954846382141E-2</v>
      </c>
      <c r="V81" s="48">
        <v>4.3737947940826423E-2</v>
      </c>
      <c r="W81" s="48">
        <v>4.3786972761154168E-2</v>
      </c>
      <c r="X81" s="48">
        <v>4.3835513293743127E-2</v>
      </c>
      <c r="Y81" s="48">
        <v>4.3885350227355957E-2</v>
      </c>
      <c r="Z81" s="48">
        <v>4.3922789394855499E-2</v>
      </c>
      <c r="AA81" s="48">
        <v>4.3957524001598358E-2</v>
      </c>
      <c r="AB81" s="48">
        <v>4.3979942798614502E-2</v>
      </c>
      <c r="AC81" s="48">
        <v>1.6988294501911749E-3</v>
      </c>
    </row>
    <row r="82" spans="1:29" s="48" customFormat="1" ht="12">
      <c r="A82" s="48" t="s">
        <v>3</v>
      </c>
      <c r="B82" s="48" t="s">
        <v>129</v>
      </c>
      <c r="C82" s="48">
        <v>0.34700140357017523</v>
      </c>
      <c r="D82" s="48">
        <v>0.3218025267124176</v>
      </c>
      <c r="E82" s="48">
        <v>0.32323423027992249</v>
      </c>
      <c r="F82" s="48">
        <v>0.31837022304534912</v>
      </c>
      <c r="G82" s="48">
        <v>0.32282328605651861</v>
      </c>
      <c r="H82" s="48">
        <v>0.33658695220947271</v>
      </c>
      <c r="I82" s="48">
        <v>0.34610828757286072</v>
      </c>
      <c r="J82" s="48">
        <v>0.3518393337726593</v>
      </c>
      <c r="K82" s="48">
        <v>0.3541877269744873</v>
      </c>
      <c r="L82" s="48">
        <v>0.35801658034324652</v>
      </c>
      <c r="M82" s="48">
        <v>0.36394482851028442</v>
      </c>
      <c r="N82" s="48">
        <v>0.37486496567726141</v>
      </c>
      <c r="O82" s="48">
        <v>0.38791140913963318</v>
      </c>
      <c r="P82" s="48">
        <v>0.39937087893486017</v>
      </c>
      <c r="Q82" s="48">
        <v>0.41197642683982849</v>
      </c>
      <c r="R82" s="48">
        <v>0.42071825265884399</v>
      </c>
      <c r="S82" s="48">
        <v>0.42829835414886469</v>
      </c>
      <c r="T82" s="48">
        <v>0.43681856989860529</v>
      </c>
      <c r="U82" s="48">
        <v>0.44579935073852539</v>
      </c>
      <c r="V82" s="48">
        <v>0.45244264602661127</v>
      </c>
      <c r="W82" s="48">
        <v>0.45628136396408081</v>
      </c>
      <c r="X82" s="48">
        <v>0.46061059832572943</v>
      </c>
      <c r="Y82" s="48">
        <v>0.46489930152893072</v>
      </c>
      <c r="Z82" s="48">
        <v>0.46896547079086298</v>
      </c>
      <c r="AA82" s="48">
        <v>0.47049906849861151</v>
      </c>
      <c r="AB82" s="48">
        <v>0.47309783101081848</v>
      </c>
      <c r="AC82" s="48">
        <v>1.247612039707802E-2</v>
      </c>
    </row>
    <row r="83" spans="1:29" s="48" customFormat="1" ht="12">
      <c r="A83" s="48" t="s">
        <v>310</v>
      </c>
      <c r="B83" s="48" t="s">
        <v>1974</v>
      </c>
      <c r="C83" s="48">
        <v>0.27903169393539429</v>
      </c>
      <c r="D83" s="48">
        <v>0.27865901589393621</v>
      </c>
      <c r="E83" s="48">
        <v>0.31821602582931519</v>
      </c>
      <c r="F83" s="48">
        <v>0.34121882915496832</v>
      </c>
      <c r="G83" s="48">
        <v>0.36378458142280579</v>
      </c>
      <c r="H83" s="48">
        <v>0.43037158250808721</v>
      </c>
      <c r="I83" s="48">
        <v>0.46073231101036072</v>
      </c>
      <c r="J83" s="48">
        <v>0.48972490429878229</v>
      </c>
      <c r="K83" s="48">
        <v>0.5114867091178894</v>
      </c>
      <c r="L83" s="48">
        <v>0.54747885465621948</v>
      </c>
      <c r="M83" s="48">
        <v>0.57278168201446533</v>
      </c>
      <c r="N83" s="48">
        <v>0.59237933158874512</v>
      </c>
      <c r="O83" s="48">
        <v>0.60273051261901855</v>
      </c>
      <c r="P83" s="48">
        <v>0.61285126209259033</v>
      </c>
      <c r="Q83" s="48">
        <v>0.62329655885696411</v>
      </c>
      <c r="R83" s="48">
        <v>0.63315993547439575</v>
      </c>
      <c r="S83" s="48">
        <v>0.64396971464157104</v>
      </c>
      <c r="T83" s="48">
        <v>0.65425598621368408</v>
      </c>
      <c r="U83" s="48">
        <v>0.66454219818115234</v>
      </c>
      <c r="V83" s="48">
        <v>0.67612779140472412</v>
      </c>
      <c r="W83" s="48">
        <v>0.68511468172073364</v>
      </c>
      <c r="X83" s="48">
        <v>0.6954008936882019</v>
      </c>
      <c r="Y83" s="48">
        <v>0.70568722486495972</v>
      </c>
      <c r="Z83" s="48">
        <v>0.71212959289550781</v>
      </c>
      <c r="AA83" s="48">
        <v>0.71083033084869385</v>
      </c>
      <c r="AB83" s="48">
        <v>0.71083033084869385</v>
      </c>
      <c r="AC83" s="48">
        <v>3.8112682032922507E-2</v>
      </c>
    </row>
    <row r="84" spans="1:29" s="49" customFormat="1" ht="12">
      <c r="A84" s="49" t="s">
        <v>2</v>
      </c>
      <c r="B84" s="49" t="s">
        <v>1</v>
      </c>
      <c r="C84" s="49">
        <v>14.5510311126709</v>
      </c>
      <c r="D84" s="49">
        <v>14.476326942443849</v>
      </c>
      <c r="E84" s="49">
        <v>14.47751426696777</v>
      </c>
      <c r="F84" s="49">
        <v>14.396957397460939</v>
      </c>
      <c r="G84" s="49">
        <v>14.311806678771971</v>
      </c>
      <c r="H84" s="49">
        <v>14.289201736450201</v>
      </c>
      <c r="I84" s="49">
        <v>14.21160793304443</v>
      </c>
      <c r="J84" s="49">
        <v>14.157730102539061</v>
      </c>
      <c r="K84" s="49">
        <v>14.084725379943849</v>
      </c>
      <c r="L84" s="49">
        <v>14.07565879821777</v>
      </c>
      <c r="M84" s="49">
        <v>14.060012817382811</v>
      </c>
      <c r="N84" s="49">
        <v>14.01973342895508</v>
      </c>
      <c r="O84" s="49">
        <v>13.97547626495361</v>
      </c>
      <c r="P84" s="49">
        <v>13.94332981109619</v>
      </c>
      <c r="Q84" s="49">
        <v>13.91491222381592</v>
      </c>
      <c r="R84" s="49">
        <v>13.899863243103029</v>
      </c>
      <c r="S84" s="49">
        <v>13.88518238067627</v>
      </c>
      <c r="T84" s="49">
        <v>13.86042308807373</v>
      </c>
      <c r="U84" s="49">
        <v>13.856814384460449</v>
      </c>
      <c r="V84" s="49">
        <v>13.84619235992432</v>
      </c>
      <c r="W84" s="49">
        <v>13.841733932495121</v>
      </c>
      <c r="X84" s="49">
        <v>13.83286285400391</v>
      </c>
      <c r="Y84" s="49">
        <v>13.832478523254389</v>
      </c>
      <c r="Z84" s="49">
        <v>13.806050300598139</v>
      </c>
      <c r="AA84" s="49">
        <v>13.765480995178221</v>
      </c>
      <c r="AB84" s="49">
        <v>13.74498844146729</v>
      </c>
      <c r="AC84" s="49">
        <v>-2.2769069964578841E-3</v>
      </c>
    </row>
    <row r="85" spans="1:29" s="48" customFormat="1" ht="12"/>
    <row r="86" spans="1:29" s="48" customFormat="1" ht="12">
      <c r="B86" s="48" t="s">
        <v>1975</v>
      </c>
    </row>
    <row r="87" spans="1:29" s="48" customFormat="1" ht="12">
      <c r="B87" s="48" t="s">
        <v>1976</v>
      </c>
    </row>
    <row r="88" spans="1:29" s="48" customFormat="1" ht="12">
      <c r="A88" s="48" t="s">
        <v>1977</v>
      </c>
      <c r="B88" s="48" t="s">
        <v>1978</v>
      </c>
      <c r="C88" s="48">
        <v>154.50032043457031</v>
      </c>
      <c r="D88" s="48">
        <v>145.98591613769531</v>
      </c>
      <c r="E88" s="48">
        <v>142.30712890625</v>
      </c>
      <c r="F88" s="48">
        <v>139.09686279296881</v>
      </c>
      <c r="G88" s="48">
        <v>136.0453186035156</v>
      </c>
      <c r="H88" s="48">
        <v>133.26542663574219</v>
      </c>
      <c r="I88" s="48">
        <v>130.85728454589841</v>
      </c>
      <c r="J88" s="48">
        <v>128.71568298339841</v>
      </c>
      <c r="K88" s="48">
        <v>126.7545471191406</v>
      </c>
      <c r="L88" s="48">
        <v>124.9419784545898</v>
      </c>
      <c r="M88" s="48">
        <v>123.2548141479492</v>
      </c>
      <c r="N88" s="48">
        <v>121.7258377075195</v>
      </c>
      <c r="O88" s="48">
        <v>120.3315811157227</v>
      </c>
      <c r="P88" s="48">
        <v>119.0954132080078</v>
      </c>
      <c r="Q88" s="48">
        <v>117.9513778686523</v>
      </c>
      <c r="R88" s="48">
        <v>116.9247665405273</v>
      </c>
      <c r="S88" s="48">
        <v>115.9815368652344</v>
      </c>
      <c r="T88" s="48">
        <v>115.1101760864258</v>
      </c>
      <c r="U88" s="48">
        <v>114.30169677734381</v>
      </c>
      <c r="V88" s="48">
        <v>113.5466766357422</v>
      </c>
      <c r="W88" s="48">
        <v>112.8374404907227</v>
      </c>
      <c r="X88" s="48">
        <v>112.17393493652339</v>
      </c>
      <c r="Y88" s="48">
        <v>111.5511169433594</v>
      </c>
      <c r="Z88" s="48">
        <v>110.9589920043945</v>
      </c>
      <c r="AA88" s="48">
        <v>110.4019393920898</v>
      </c>
      <c r="AB88" s="48">
        <v>109.8783416748047</v>
      </c>
      <c r="AC88" s="48">
        <v>-1.3540388984696341E-2</v>
      </c>
    </row>
    <row r="89" spans="1:29" s="48" customFormat="1" ht="12">
      <c r="A89" s="48" t="s">
        <v>1979</v>
      </c>
      <c r="B89" s="48" t="s">
        <v>1980</v>
      </c>
      <c r="C89" s="48">
        <v>449.23648071289063</v>
      </c>
      <c r="D89" s="48">
        <v>419.57449340820313</v>
      </c>
      <c r="E89" s="48">
        <v>406.75848388671881</v>
      </c>
      <c r="F89" s="48">
        <v>395.57476806640619</v>
      </c>
      <c r="G89" s="48">
        <v>384.94393920898438</v>
      </c>
      <c r="H89" s="48">
        <v>375.259521484375</v>
      </c>
      <c r="I89" s="48">
        <v>366.87008666992188</v>
      </c>
      <c r="J89" s="48">
        <v>359.40936279296881</v>
      </c>
      <c r="K89" s="48">
        <v>352.57723999023438</v>
      </c>
      <c r="L89" s="48">
        <v>346.26275634765619</v>
      </c>
      <c r="M89" s="48">
        <v>340.38504028320313</v>
      </c>
      <c r="N89" s="48">
        <v>335.05850219726563</v>
      </c>
      <c r="O89" s="48">
        <v>330.20126342773438</v>
      </c>
      <c r="P89" s="48">
        <v>325.89474487304688</v>
      </c>
      <c r="Q89" s="48">
        <v>321.90924072265619</v>
      </c>
      <c r="R89" s="48">
        <v>318.33279418945313</v>
      </c>
      <c r="S89" s="48">
        <v>315.04678344726563</v>
      </c>
      <c r="T89" s="48">
        <v>312.01113891601563</v>
      </c>
      <c r="U89" s="48">
        <v>309.194580078125</v>
      </c>
      <c r="V89" s="48">
        <v>306.56436157226563</v>
      </c>
      <c r="W89" s="48">
        <v>304.09356689453119</v>
      </c>
      <c r="X89" s="48">
        <v>301.78207397460938</v>
      </c>
      <c r="Y89" s="48">
        <v>299.6123046875</v>
      </c>
      <c r="Z89" s="48">
        <v>297.54953002929688</v>
      </c>
      <c r="AA89" s="48">
        <v>295.60885620117188</v>
      </c>
      <c r="AB89" s="48">
        <v>293.78482055664063</v>
      </c>
      <c r="AC89" s="48">
        <v>-1.6844589761114141E-2</v>
      </c>
    </row>
    <row r="90" spans="1:29" s="48" customFormat="1" ht="12">
      <c r="A90" s="48" t="s">
        <v>1981</v>
      </c>
      <c r="B90" s="48" t="s">
        <v>1982</v>
      </c>
      <c r="C90" s="48">
        <v>449.23648071289063</v>
      </c>
      <c r="D90" s="48">
        <v>419.57449340820313</v>
      </c>
      <c r="E90" s="48">
        <v>406.75848388671881</v>
      </c>
      <c r="F90" s="48">
        <v>395.57476806640619</v>
      </c>
      <c r="G90" s="48">
        <v>384.94393920898438</v>
      </c>
      <c r="H90" s="48">
        <v>375.259521484375</v>
      </c>
      <c r="I90" s="48">
        <v>366.87008666992188</v>
      </c>
      <c r="J90" s="48">
        <v>359.40936279296881</v>
      </c>
      <c r="K90" s="48">
        <v>352.57723999023438</v>
      </c>
      <c r="L90" s="48">
        <v>346.26275634765619</v>
      </c>
      <c r="M90" s="48">
        <v>340.38504028320313</v>
      </c>
      <c r="N90" s="48">
        <v>335.05850219726563</v>
      </c>
      <c r="O90" s="48">
        <v>330.20126342773438</v>
      </c>
      <c r="P90" s="48">
        <v>325.89474487304688</v>
      </c>
      <c r="Q90" s="48">
        <v>321.90924072265619</v>
      </c>
      <c r="R90" s="48">
        <v>318.33279418945313</v>
      </c>
      <c r="S90" s="48">
        <v>315.04678344726563</v>
      </c>
      <c r="T90" s="48">
        <v>312.01113891601563</v>
      </c>
      <c r="U90" s="48">
        <v>309.194580078125</v>
      </c>
      <c r="V90" s="48">
        <v>306.56436157226563</v>
      </c>
      <c r="W90" s="48">
        <v>304.09356689453119</v>
      </c>
      <c r="X90" s="48">
        <v>301.78207397460938</v>
      </c>
      <c r="Y90" s="48">
        <v>299.6123046875</v>
      </c>
      <c r="Z90" s="48">
        <v>297.54953002929688</v>
      </c>
      <c r="AA90" s="48">
        <v>295.60885620117188</v>
      </c>
      <c r="AB90" s="48">
        <v>293.78482055664063</v>
      </c>
      <c r="AC90" s="48">
        <v>-1.6844589761114141E-2</v>
      </c>
    </row>
    <row r="91" spans="1:29" s="48" customFormat="1" ht="12">
      <c r="B91" s="48" t="s">
        <v>1983</v>
      </c>
    </row>
    <row r="92" spans="1:29" s="48" customFormat="1" ht="12">
      <c r="A92" s="48" t="s">
        <v>1984</v>
      </c>
      <c r="B92" s="48" t="s">
        <v>1985</v>
      </c>
      <c r="C92" s="48">
        <v>354.77603149414063</v>
      </c>
      <c r="D92" s="48">
        <v>304.78475952148438</v>
      </c>
      <c r="E92" s="48">
        <v>295.52679443359381</v>
      </c>
      <c r="F92" s="48">
        <v>287.44793701171881</v>
      </c>
      <c r="G92" s="48">
        <v>279.76852416992188</v>
      </c>
      <c r="H92" s="48">
        <v>272.77273559570313</v>
      </c>
      <c r="I92" s="48">
        <v>266.71243286132813</v>
      </c>
      <c r="J92" s="48">
        <v>261.32296752929688</v>
      </c>
      <c r="K92" s="48">
        <v>256.38763427734381</v>
      </c>
      <c r="L92" s="48">
        <v>251.826171875</v>
      </c>
      <c r="M92" s="48">
        <v>247.58030700683591</v>
      </c>
      <c r="N92" s="48">
        <v>243.7325134277344</v>
      </c>
      <c r="O92" s="48">
        <v>240.22380065917969</v>
      </c>
      <c r="P92" s="48">
        <v>237.1128845214844</v>
      </c>
      <c r="Q92" s="48">
        <v>234.23381042480469</v>
      </c>
      <c r="R92" s="48">
        <v>231.65028381347659</v>
      </c>
      <c r="S92" s="48">
        <v>229.2765808105469</v>
      </c>
      <c r="T92" s="48">
        <v>227.083740234375</v>
      </c>
      <c r="U92" s="48">
        <v>225.04911804199219</v>
      </c>
      <c r="V92" s="48">
        <v>223.1490783691406</v>
      </c>
      <c r="W92" s="48">
        <v>221.36424255371091</v>
      </c>
      <c r="X92" s="48">
        <v>219.6944885253906</v>
      </c>
      <c r="Y92" s="48">
        <v>218.1271057128906</v>
      </c>
      <c r="Z92" s="48">
        <v>216.6369934082031</v>
      </c>
      <c r="AA92" s="48">
        <v>215.235107421875</v>
      </c>
      <c r="AB92" s="48">
        <v>213.91748046875</v>
      </c>
      <c r="AC92" s="48">
        <v>-2.0032483516443159E-2</v>
      </c>
    </row>
    <row r="93" spans="1:29" s="48" customFormat="1" ht="12">
      <c r="A93" s="48" t="s">
        <v>1986</v>
      </c>
      <c r="B93" s="48" t="s">
        <v>1987</v>
      </c>
      <c r="C93" s="48">
        <v>501.57989501953119</v>
      </c>
      <c r="D93" s="48">
        <v>437.63955688476563</v>
      </c>
      <c r="E93" s="48">
        <v>424.2061767578125</v>
      </c>
      <c r="F93" s="48">
        <v>412.483642578125</v>
      </c>
      <c r="G93" s="48">
        <v>401.3406982421875</v>
      </c>
      <c r="H93" s="48">
        <v>391.18972778320313</v>
      </c>
      <c r="I93" s="48">
        <v>382.39617919921881</v>
      </c>
      <c r="J93" s="48">
        <v>374.57598876953119</v>
      </c>
      <c r="K93" s="48">
        <v>367.41473388671881</v>
      </c>
      <c r="L93" s="48">
        <v>360.79605102539063</v>
      </c>
      <c r="M93" s="48">
        <v>354.63522338867188</v>
      </c>
      <c r="N93" s="48">
        <v>349.05203247070313</v>
      </c>
      <c r="O93" s="48">
        <v>343.96087646484381</v>
      </c>
      <c r="P93" s="48">
        <v>339.44683837890619</v>
      </c>
      <c r="Q93" s="48">
        <v>335.26934814453119</v>
      </c>
      <c r="R93" s="48">
        <v>331.52059936523438</v>
      </c>
      <c r="S93" s="48">
        <v>328.0762939453125</v>
      </c>
      <c r="T93" s="48">
        <v>324.89447021484381</v>
      </c>
      <c r="U93" s="48">
        <v>321.94216918945313</v>
      </c>
      <c r="V93" s="48">
        <v>319.18524169921881</v>
      </c>
      <c r="W93" s="48">
        <v>316.59542846679688</v>
      </c>
      <c r="X93" s="48">
        <v>314.17257690429688</v>
      </c>
      <c r="Y93" s="48">
        <v>311.89828491210938</v>
      </c>
      <c r="Z93" s="48">
        <v>309.73611450195313</v>
      </c>
      <c r="AA93" s="48">
        <v>307.70193481445313</v>
      </c>
      <c r="AB93" s="48">
        <v>305.7900390625</v>
      </c>
      <c r="AC93" s="48">
        <v>-1.959994133365095E-2</v>
      </c>
    </row>
    <row r="94" spans="1:29" s="48" customFormat="1" ht="12">
      <c r="A94" s="48" t="s">
        <v>1988</v>
      </c>
      <c r="B94" s="48" t="s">
        <v>1989</v>
      </c>
      <c r="C94" s="48">
        <v>373.12652587890619</v>
      </c>
      <c r="D94" s="48">
        <v>328.229736328125</v>
      </c>
      <c r="E94" s="48">
        <v>318.10009765625</v>
      </c>
      <c r="F94" s="48">
        <v>309.26058959960938</v>
      </c>
      <c r="G94" s="48">
        <v>300.85809326171881</v>
      </c>
      <c r="H94" s="48">
        <v>293.20361328125</v>
      </c>
      <c r="I94" s="48">
        <v>286.57272338867188</v>
      </c>
      <c r="J94" s="48">
        <v>280.67584228515619</v>
      </c>
      <c r="K94" s="48">
        <v>275.27578735351563</v>
      </c>
      <c r="L94" s="48">
        <v>270.28488159179688</v>
      </c>
      <c r="M94" s="48">
        <v>265.63922119140619</v>
      </c>
      <c r="N94" s="48">
        <v>261.42916870117188</v>
      </c>
      <c r="O94" s="48">
        <v>257.590087890625</v>
      </c>
      <c r="P94" s="48">
        <v>254.186279296875</v>
      </c>
      <c r="Q94" s="48">
        <v>251.0361328125</v>
      </c>
      <c r="R94" s="48">
        <v>248.2093505859375</v>
      </c>
      <c r="S94" s="48">
        <v>245.6121520996094</v>
      </c>
      <c r="T94" s="48">
        <v>243.21282958984381</v>
      </c>
      <c r="U94" s="48">
        <v>240.98664855957031</v>
      </c>
      <c r="V94" s="48">
        <v>238.90773010253909</v>
      </c>
      <c r="W94" s="48">
        <v>236.95484924316409</v>
      </c>
      <c r="X94" s="48">
        <v>235.12786865234381</v>
      </c>
      <c r="Y94" s="48">
        <v>233.41288757324219</v>
      </c>
      <c r="Z94" s="48">
        <v>231.78248596191409</v>
      </c>
      <c r="AA94" s="48">
        <v>230.24861145019531</v>
      </c>
      <c r="AB94" s="48">
        <v>228.80690002441409</v>
      </c>
      <c r="AC94" s="48">
        <v>-1.9371480323644E-2</v>
      </c>
    </row>
    <row r="95" spans="1:29" s="48" customFormat="1" ht="12">
      <c r="A95" s="48" t="s">
        <v>1990</v>
      </c>
      <c r="B95" s="48" t="s">
        <v>1991</v>
      </c>
      <c r="C95" s="48">
        <v>200.95317077636719</v>
      </c>
      <c r="D95" s="48">
        <v>216.2068176269531</v>
      </c>
      <c r="E95" s="48">
        <v>208.7344665527344</v>
      </c>
      <c r="F95" s="48">
        <v>202.21380615234381</v>
      </c>
      <c r="G95" s="48">
        <v>196.0155334472656</v>
      </c>
      <c r="H95" s="48">
        <v>190.3690490722656</v>
      </c>
      <c r="I95" s="48">
        <v>185.47760009765619</v>
      </c>
      <c r="J95" s="48">
        <v>181.1276550292969</v>
      </c>
      <c r="K95" s="48">
        <v>177.1441650390625</v>
      </c>
      <c r="L95" s="48">
        <v>173.46250915527341</v>
      </c>
      <c r="M95" s="48">
        <v>170.0355529785156</v>
      </c>
      <c r="N95" s="48">
        <v>166.9299011230469</v>
      </c>
      <c r="O95" s="48">
        <v>164.0979309082031</v>
      </c>
      <c r="P95" s="48">
        <v>161.58702087402341</v>
      </c>
      <c r="Q95" s="48">
        <v>159.26324462890619</v>
      </c>
      <c r="R95" s="48">
        <v>157.1780090332031</v>
      </c>
      <c r="S95" s="48">
        <v>155.2621154785156</v>
      </c>
      <c r="T95" s="48">
        <v>153.4922180175781</v>
      </c>
      <c r="U95" s="48">
        <v>151.8500061035156</v>
      </c>
      <c r="V95" s="48">
        <v>150.31645202636719</v>
      </c>
      <c r="W95" s="48">
        <v>148.87586975097659</v>
      </c>
      <c r="X95" s="48">
        <v>147.52815246582031</v>
      </c>
      <c r="Y95" s="48">
        <v>146.26307678222659</v>
      </c>
      <c r="Z95" s="48">
        <v>145.06036376953119</v>
      </c>
      <c r="AA95" s="48">
        <v>143.9288635253906</v>
      </c>
      <c r="AB95" s="48">
        <v>142.8653564453125</v>
      </c>
      <c r="AC95" s="48">
        <v>-1.35540760141234E-2</v>
      </c>
    </row>
    <row r="96" spans="1:29" s="48" customFormat="1" ht="12">
      <c r="A96" s="48" t="s">
        <v>1992</v>
      </c>
      <c r="B96" s="48" t="s">
        <v>1982</v>
      </c>
      <c r="C96" s="48">
        <v>1101.029052734375</v>
      </c>
      <c r="D96" s="48">
        <v>898.72406005859375</v>
      </c>
      <c r="E96" s="48">
        <v>872.404541015625</v>
      </c>
      <c r="F96" s="48">
        <v>849.43719482421875</v>
      </c>
      <c r="G96" s="48">
        <v>827.605224609375</v>
      </c>
      <c r="H96" s="48">
        <v>807.7166748046875</v>
      </c>
      <c r="I96" s="48">
        <v>790.4879150390625</v>
      </c>
      <c r="J96" s="48">
        <v>775.1661376953125</v>
      </c>
      <c r="K96" s="48">
        <v>761.13531494140625</v>
      </c>
      <c r="L96" s="48">
        <v>748.1676025390625</v>
      </c>
      <c r="M96" s="48">
        <v>736.09698486328125</v>
      </c>
      <c r="N96" s="48">
        <v>725.157958984375</v>
      </c>
      <c r="O96" s="48">
        <v>715.1829833984375</v>
      </c>
      <c r="P96" s="48">
        <v>706.3389892578125</v>
      </c>
      <c r="Q96" s="48">
        <v>698.154052734375</v>
      </c>
      <c r="R96" s="48">
        <v>690.809326171875</v>
      </c>
      <c r="S96" s="48">
        <v>684.06103515625</v>
      </c>
      <c r="T96" s="48">
        <v>677.82696533203125</v>
      </c>
      <c r="U96" s="48">
        <v>672.04266357421875</v>
      </c>
      <c r="V96" s="48">
        <v>666.64111328125</v>
      </c>
      <c r="W96" s="48">
        <v>661.56707763671875</v>
      </c>
      <c r="X96" s="48">
        <v>656.82000732421875</v>
      </c>
      <c r="Y96" s="48">
        <v>652.36407470703125</v>
      </c>
      <c r="Z96" s="48">
        <v>648.12774658203125</v>
      </c>
      <c r="AA96" s="48">
        <v>644.14239501953125</v>
      </c>
      <c r="AB96" s="48">
        <v>640.39642333984375</v>
      </c>
      <c r="AC96" s="48">
        <v>-2.1443277617000042E-2</v>
      </c>
    </row>
    <row r="97" spans="1:29" s="48" customFormat="1" ht="12"/>
    <row r="98" spans="1:29" s="48" customFormat="1" ht="12">
      <c r="B98" s="48" t="s">
        <v>1993</v>
      </c>
    </row>
    <row r="99" spans="1:29" s="48" customFormat="1" ht="12">
      <c r="A99" s="48" t="s">
        <v>1994</v>
      </c>
      <c r="B99" s="48" t="s">
        <v>1995</v>
      </c>
      <c r="C99" s="48">
        <v>15.388957812499999</v>
      </c>
      <c r="D99" s="48">
        <v>15.405332812499999</v>
      </c>
      <c r="E99" s="48">
        <v>14.9373015625</v>
      </c>
      <c r="F99" s="48">
        <v>14.336853124999999</v>
      </c>
      <c r="G99" s="48">
        <v>14.427553124999999</v>
      </c>
      <c r="H99" s="48">
        <v>14.5977046875</v>
      </c>
      <c r="I99" s="48">
        <v>14.6332140625</v>
      </c>
      <c r="J99" s="48">
        <v>14.629007812499999</v>
      </c>
      <c r="K99" s="48">
        <v>14.66240625</v>
      </c>
      <c r="L99" s="48">
        <v>14.818175</v>
      </c>
      <c r="M99" s="48">
        <v>14.8739875</v>
      </c>
      <c r="N99" s="48">
        <v>14.9341296875</v>
      </c>
      <c r="O99" s="48">
        <v>15.089590625</v>
      </c>
      <c r="P99" s="48">
        <v>15.2003</v>
      </c>
      <c r="Q99" s="48">
        <v>15.3177453125</v>
      </c>
      <c r="R99" s="48">
        <v>15.386607812499999</v>
      </c>
      <c r="S99" s="48">
        <v>15.392129687500001</v>
      </c>
      <c r="T99" s="48">
        <v>15.408696875</v>
      </c>
      <c r="U99" s="48">
        <v>15.38879375</v>
      </c>
      <c r="V99" s="48">
        <v>15.3924515625</v>
      </c>
      <c r="W99" s="48">
        <v>15.346323437500001</v>
      </c>
      <c r="X99" s="48">
        <v>15.387860937499999</v>
      </c>
      <c r="Y99" s="48">
        <v>15.4639875</v>
      </c>
      <c r="Z99" s="48">
        <v>15.544267187499999</v>
      </c>
      <c r="AA99" s="48">
        <v>15.553146874999999</v>
      </c>
      <c r="AB99" s="48">
        <v>15.5968859375</v>
      </c>
      <c r="AC99" s="48">
        <v>5.3698604005458783E-4</v>
      </c>
    </row>
    <row r="100" spans="1:29" s="48" customFormat="1" ht="12">
      <c r="A100" s="48" t="s">
        <v>1996</v>
      </c>
      <c r="B100" s="48" t="s">
        <v>1976</v>
      </c>
      <c r="C100" s="48">
        <v>29.160768349824949</v>
      </c>
      <c r="D100" s="48">
        <v>29.16695558675038</v>
      </c>
      <c r="E100" s="48">
        <v>28.25842816911981</v>
      </c>
      <c r="F100" s="48">
        <v>27.232263541542999</v>
      </c>
      <c r="G100" s="48">
        <v>27.17834705381096</v>
      </c>
      <c r="H100" s="48">
        <v>27.26795056508583</v>
      </c>
      <c r="I100" s="48">
        <v>27.474704776875392</v>
      </c>
      <c r="J100" s="48">
        <v>27.55476717865626</v>
      </c>
      <c r="K100" s="48">
        <v>27.774624576890911</v>
      </c>
      <c r="L100" s="48">
        <v>28.048420970713849</v>
      </c>
      <c r="M100" s="48">
        <v>28.150736547907389</v>
      </c>
      <c r="N100" s="48">
        <v>28.261603811318651</v>
      </c>
      <c r="O100" s="48">
        <v>28.525972367210251</v>
      </c>
      <c r="P100" s="48">
        <v>28.721874670821371</v>
      </c>
      <c r="Q100" s="48">
        <v>28.921025703682659</v>
      </c>
      <c r="R100" s="48">
        <v>29.14835203911651</v>
      </c>
      <c r="S100" s="48">
        <v>29.256188100222509</v>
      </c>
      <c r="T100" s="48">
        <v>29.345796820946891</v>
      </c>
      <c r="U100" s="48">
        <v>29.338100780554161</v>
      </c>
      <c r="V100" s="48">
        <v>29.346606173462462</v>
      </c>
      <c r="W100" s="48">
        <v>29.311176275941889</v>
      </c>
      <c r="X100" s="48">
        <v>29.443957957040009</v>
      </c>
      <c r="Y100" s="48">
        <v>29.610508598752411</v>
      </c>
      <c r="Z100" s="48">
        <v>29.790560373370749</v>
      </c>
      <c r="AA100" s="48">
        <v>29.886981431759711</v>
      </c>
      <c r="AB100" s="48">
        <v>30.01356955297889</v>
      </c>
      <c r="AC100" s="48">
        <v>1.153678639445932E-3</v>
      </c>
    </row>
    <row r="101" spans="1:29" s="48" customFormat="1" ht="12">
      <c r="A101" s="48" t="s">
        <v>1997</v>
      </c>
      <c r="B101" s="48" t="s">
        <v>1998</v>
      </c>
      <c r="C101" s="48">
        <v>24.9288991927084</v>
      </c>
      <c r="D101" s="48">
        <v>24.820684484375061</v>
      </c>
      <c r="E101" s="48">
        <v>24.1796764895834</v>
      </c>
      <c r="F101" s="48">
        <v>23.283649593750059</v>
      </c>
      <c r="G101" s="48">
        <v>23.16615715104173</v>
      </c>
      <c r="H101" s="48">
        <v>23.189326942708391</v>
      </c>
      <c r="I101" s="48">
        <v>23.315877203125059</v>
      </c>
      <c r="J101" s="48">
        <v>23.367084406250061</v>
      </c>
      <c r="K101" s="48">
        <v>23.525324265625059</v>
      </c>
      <c r="L101" s="48">
        <v>23.7153008489584</v>
      </c>
      <c r="M101" s="48">
        <v>23.783885395833391</v>
      </c>
      <c r="N101" s="48">
        <v>23.86099564062506</v>
      </c>
      <c r="O101" s="48">
        <v>24.051738005208399</v>
      </c>
      <c r="P101" s="48">
        <v>24.1845774895834</v>
      </c>
      <c r="Q101" s="48">
        <v>24.316384151041731</v>
      </c>
      <c r="R101" s="48">
        <v>24.478500041666731</v>
      </c>
      <c r="S101" s="48">
        <v>24.555655447916731</v>
      </c>
      <c r="T101" s="48">
        <v>24.595513380208399</v>
      </c>
      <c r="U101" s="48">
        <v>24.571597442708391</v>
      </c>
      <c r="V101" s="48">
        <v>24.559335125000061</v>
      </c>
      <c r="W101" s="48">
        <v>24.523239338541732</v>
      </c>
      <c r="X101" s="48">
        <v>24.610775989583399</v>
      </c>
      <c r="Y101" s="48">
        <v>24.722140218750059</v>
      </c>
      <c r="Z101" s="48">
        <v>24.840569270833399</v>
      </c>
      <c r="AA101" s="48">
        <v>24.901503859375069</v>
      </c>
      <c r="AB101" s="48">
        <v>24.989097453125069</v>
      </c>
      <c r="AC101" s="48">
        <v>9.6480143542576613E-5</v>
      </c>
    </row>
    <row r="102" spans="1:29" s="48" customFormat="1" ht="12">
      <c r="A102" s="48" t="s">
        <v>1999</v>
      </c>
      <c r="B102" s="48" t="s">
        <v>2000</v>
      </c>
      <c r="C102" s="48">
        <v>30.927497278225751</v>
      </c>
      <c r="D102" s="48">
        <v>31.02091703629026</v>
      </c>
      <c r="E102" s="48">
        <v>29.59887046370962</v>
      </c>
      <c r="F102" s="48">
        <v>28.352700705645109</v>
      </c>
      <c r="G102" s="48">
        <v>28.240594657258001</v>
      </c>
      <c r="H102" s="48">
        <v>28.260982358870901</v>
      </c>
      <c r="I102" s="48">
        <v>28.40697631048381</v>
      </c>
      <c r="J102" s="48">
        <v>28.36054999999994</v>
      </c>
      <c r="K102" s="48">
        <v>28.499980947580578</v>
      </c>
      <c r="L102" s="48">
        <v>28.732720564516072</v>
      </c>
      <c r="M102" s="48">
        <v>28.72536824596769</v>
      </c>
      <c r="N102" s="48">
        <v>28.721409979838651</v>
      </c>
      <c r="O102" s="48">
        <v>28.905983870967681</v>
      </c>
      <c r="P102" s="48">
        <v>29.02271764112897</v>
      </c>
      <c r="Q102" s="48">
        <v>29.146219052419301</v>
      </c>
      <c r="R102" s="48">
        <v>29.288865725806389</v>
      </c>
      <c r="S102" s="48">
        <v>29.2851442540322</v>
      </c>
      <c r="T102" s="48">
        <v>29.309691935483809</v>
      </c>
      <c r="U102" s="48">
        <v>29.21017106854832</v>
      </c>
      <c r="V102" s="48">
        <v>29.135162802419291</v>
      </c>
      <c r="W102" s="48">
        <v>29.000152016128968</v>
      </c>
      <c r="X102" s="48">
        <v>29.06822016129026</v>
      </c>
      <c r="Y102" s="48">
        <v>29.180305745967679</v>
      </c>
      <c r="Z102" s="48">
        <v>29.315927520161232</v>
      </c>
      <c r="AA102" s="48">
        <v>29.349362298387032</v>
      </c>
      <c r="AB102" s="48">
        <v>29.413016129032201</v>
      </c>
      <c r="AC102" s="48">
        <v>-2.006319281467106E-3</v>
      </c>
    </row>
    <row r="103" spans="1:29" s="48" customFormat="1" ht="12">
      <c r="A103" s="48" t="s">
        <v>2001</v>
      </c>
      <c r="B103" s="48" t="s">
        <v>2002</v>
      </c>
      <c r="C103" s="48">
        <v>48.760506804435543</v>
      </c>
      <c r="D103" s="48">
        <v>48.9095448084678</v>
      </c>
      <c r="E103" s="48">
        <v>46.653834601814573</v>
      </c>
      <c r="F103" s="48">
        <v>44.685768296371023</v>
      </c>
      <c r="G103" s="48">
        <v>44.514782283266193</v>
      </c>
      <c r="H103" s="48">
        <v>44.545986365927469</v>
      </c>
      <c r="I103" s="48">
        <v>44.773532661290368</v>
      </c>
      <c r="J103" s="48">
        <v>44.700166633064569</v>
      </c>
      <c r="K103" s="48">
        <v>44.907249949596832</v>
      </c>
      <c r="L103" s="48">
        <v>45.259155997983932</v>
      </c>
      <c r="M103" s="48">
        <v>45.244937525201657</v>
      </c>
      <c r="N103" s="48">
        <v>45.240763760080704</v>
      </c>
      <c r="O103" s="48">
        <v>45.527715877016192</v>
      </c>
      <c r="P103" s="48">
        <v>45.708446824596827</v>
      </c>
      <c r="Q103" s="48">
        <v>45.90764841229845</v>
      </c>
      <c r="R103" s="48">
        <v>46.132911819556497</v>
      </c>
      <c r="S103" s="48">
        <v>46.130919480846828</v>
      </c>
      <c r="T103" s="48">
        <v>46.173454989919414</v>
      </c>
      <c r="U103" s="48">
        <v>46.019648286290384</v>
      </c>
      <c r="V103" s="48">
        <v>45.906942792338761</v>
      </c>
      <c r="W103" s="48">
        <v>45.698162298387153</v>
      </c>
      <c r="X103" s="48">
        <v>45.807404259072641</v>
      </c>
      <c r="Y103" s="48">
        <v>45.986009122983923</v>
      </c>
      <c r="Z103" s="48">
        <v>46.201541431451673</v>
      </c>
      <c r="AA103" s="48">
        <v>46.257705090725857</v>
      </c>
      <c r="AB103" s="48">
        <v>46.359969254032322</v>
      </c>
      <c r="AC103" s="48">
        <v>-2.0173361624189479E-3</v>
      </c>
    </row>
    <row r="104" spans="1:29" s="48" customFormat="1" ht="12">
      <c r="A104" s="48" t="s">
        <v>2003</v>
      </c>
      <c r="B104" s="48" t="s">
        <v>2004</v>
      </c>
      <c r="C104" s="48">
        <v>17.135034596206719</v>
      </c>
      <c r="D104" s="48">
        <v>17.024826354410092</v>
      </c>
      <c r="E104" s="48">
        <v>16.11319103646311</v>
      </c>
      <c r="F104" s="48">
        <v>15.406001656358351</v>
      </c>
      <c r="G104" s="48">
        <v>15.37944828377614</v>
      </c>
      <c r="H104" s="48">
        <v>15.427869877920321</v>
      </c>
      <c r="I104" s="48">
        <v>15.518321516521061</v>
      </c>
      <c r="J104" s="48">
        <v>15.49557433941898</v>
      </c>
      <c r="K104" s="48">
        <v>15.57043184582294</v>
      </c>
      <c r="L104" s="48">
        <v>15.71051619130845</v>
      </c>
      <c r="M104" s="48">
        <v>15.70620533296089</v>
      </c>
      <c r="N104" s="48">
        <v>15.70366622309241</v>
      </c>
      <c r="O104" s="48">
        <v>15.81508196651469</v>
      </c>
      <c r="P104" s="48">
        <v>15.889174128939921</v>
      </c>
      <c r="Q104" s="48">
        <v>15.9634451414013</v>
      </c>
      <c r="R104" s="48">
        <v>16.02519472609001</v>
      </c>
      <c r="S104" s="48">
        <v>16.018934174619709</v>
      </c>
      <c r="T104" s="48">
        <v>16.047840913850919</v>
      </c>
      <c r="U104" s="48">
        <v>15.998413605097721</v>
      </c>
      <c r="V104" s="48">
        <v>15.97006915131526</v>
      </c>
      <c r="W104" s="48">
        <v>15.90022324551061</v>
      </c>
      <c r="X104" s="48">
        <v>15.940343994557621</v>
      </c>
      <c r="Y104" s="48">
        <v>16.00986784674161</v>
      </c>
      <c r="Z104" s="48">
        <v>16.094848836796402</v>
      </c>
      <c r="AA104" s="48">
        <v>16.110000741358999</v>
      </c>
      <c r="AB104" s="48">
        <v>16.158044018364919</v>
      </c>
      <c r="AC104" s="48">
        <v>-2.3455316143056182E-3</v>
      </c>
    </row>
    <row r="105" spans="1:29" s="48" customFormat="1" ht="12">
      <c r="A105" s="48" t="s">
        <v>2005</v>
      </c>
      <c r="B105" s="48" t="s">
        <v>2006</v>
      </c>
      <c r="C105" s="48">
        <v>16.306115625</v>
      </c>
      <c r="D105" s="48">
        <v>16.052189062499998</v>
      </c>
      <c r="E105" s="48">
        <v>15.231225</v>
      </c>
      <c r="F105" s="48">
        <v>14.5988953125</v>
      </c>
      <c r="G105" s="48">
        <v>14.617056249999999</v>
      </c>
      <c r="H105" s="48">
        <v>14.7161828125</v>
      </c>
      <c r="I105" s="48">
        <v>14.768345312499999</v>
      </c>
      <c r="J105" s="48">
        <v>14.759289062500001</v>
      </c>
      <c r="K105" s="48">
        <v>14.8077953125</v>
      </c>
      <c r="L105" s="48">
        <v>14.934253125</v>
      </c>
      <c r="M105" s="48">
        <v>14.9604578125</v>
      </c>
      <c r="N105" s="48">
        <v>14.9872828125</v>
      </c>
      <c r="O105" s="48">
        <v>15.111846874999999</v>
      </c>
      <c r="P105" s="48">
        <v>15.206745312500001</v>
      </c>
      <c r="Q105" s="48">
        <v>15.318690625</v>
      </c>
      <c r="R105" s="48">
        <v>15.3931234375</v>
      </c>
      <c r="S105" s="48">
        <v>15.412490625</v>
      </c>
      <c r="T105" s="48">
        <v>15.4968453125</v>
      </c>
      <c r="U105" s="48">
        <v>15.479254687499999</v>
      </c>
      <c r="V105" s="48">
        <v>15.4847375</v>
      </c>
      <c r="W105" s="48">
        <v>15.425165625</v>
      </c>
      <c r="X105" s="48">
        <v>15.489882812499999</v>
      </c>
      <c r="Y105" s="48">
        <v>15.57624375</v>
      </c>
      <c r="Z105" s="48">
        <v>15.678545312500001</v>
      </c>
      <c r="AA105" s="48">
        <v>15.7075890625</v>
      </c>
      <c r="AB105" s="48">
        <v>15.7747671875</v>
      </c>
      <c r="AC105" s="48">
        <v>-1.324265552109738E-3</v>
      </c>
    </row>
    <row r="106" spans="1:29" s="48" customFormat="1" ht="12">
      <c r="A106" s="48" t="s">
        <v>2007</v>
      </c>
      <c r="B106" s="48" t="s">
        <v>2008</v>
      </c>
      <c r="C106" s="48">
        <v>17.340753124999999</v>
      </c>
      <c r="D106" s="48">
        <v>17.325573437500001</v>
      </c>
      <c r="E106" s="48">
        <v>16.430081250000001</v>
      </c>
      <c r="F106" s="48">
        <v>15.727635937500001</v>
      </c>
      <c r="G106" s="48">
        <v>15.708290625</v>
      </c>
      <c r="H106" s="48">
        <v>15.755646875</v>
      </c>
      <c r="I106" s="48">
        <v>15.8829203125</v>
      </c>
      <c r="J106" s="48">
        <v>15.872078125</v>
      </c>
      <c r="K106" s="48">
        <v>15.9768890625</v>
      </c>
      <c r="L106" s="48">
        <v>16.143010937500001</v>
      </c>
      <c r="M106" s="48">
        <v>16.138876562499998</v>
      </c>
      <c r="N106" s="48">
        <v>16.134989062500001</v>
      </c>
      <c r="O106" s="48">
        <v>16.252629687500001</v>
      </c>
      <c r="P106" s="48">
        <v>16.326759375000002</v>
      </c>
      <c r="Q106" s="48">
        <v>16.3898875</v>
      </c>
      <c r="R106" s="48">
        <v>16.455203125000001</v>
      </c>
      <c r="S106" s="48">
        <v>16.442229687499999</v>
      </c>
      <c r="T106" s="48">
        <v>16.441835937499999</v>
      </c>
      <c r="U106" s="48">
        <v>16.379054687499998</v>
      </c>
      <c r="V106" s="48">
        <v>16.334145312499999</v>
      </c>
      <c r="W106" s="48">
        <v>16.2640828125</v>
      </c>
      <c r="X106" s="48">
        <v>16.292684375</v>
      </c>
      <c r="Y106" s="48">
        <v>16.354925000000001</v>
      </c>
      <c r="Z106" s="48">
        <v>16.432467187499999</v>
      </c>
      <c r="AA106" s="48">
        <v>16.442140625</v>
      </c>
      <c r="AB106" s="48">
        <v>16.4801421875</v>
      </c>
      <c r="AC106" s="48">
        <v>-2.034058529314597E-3</v>
      </c>
    </row>
    <row r="107" spans="1:29" s="48" customFormat="1" ht="12">
      <c r="A107" s="48" t="s">
        <v>2009</v>
      </c>
      <c r="B107" s="48" t="s">
        <v>2010</v>
      </c>
      <c r="C107" s="48">
        <v>13.90315625</v>
      </c>
      <c r="D107" s="48">
        <v>14.030296874999999</v>
      </c>
      <c r="E107" s="48">
        <v>13.606153125000001</v>
      </c>
      <c r="F107" s="48">
        <v>13.261753125</v>
      </c>
      <c r="G107" s="48">
        <v>13.3453484375</v>
      </c>
      <c r="H107" s="48">
        <v>13.4873984375</v>
      </c>
      <c r="I107" s="48">
        <v>13.6456546875</v>
      </c>
      <c r="J107" s="48">
        <v>13.7086734375</v>
      </c>
      <c r="K107" s="48">
        <v>13.8215953125</v>
      </c>
      <c r="L107" s="48">
        <v>13.962459375</v>
      </c>
      <c r="M107" s="48">
        <v>13.998728125</v>
      </c>
      <c r="N107" s="48">
        <v>14.023548437500001</v>
      </c>
      <c r="O107" s="48">
        <v>14.124696875</v>
      </c>
      <c r="P107" s="48">
        <v>14.191714062499999</v>
      </c>
      <c r="Q107" s="48">
        <v>14.2649734375</v>
      </c>
      <c r="R107" s="48">
        <v>14.3274890625</v>
      </c>
      <c r="S107" s="48">
        <v>14.287453125000001</v>
      </c>
      <c r="T107" s="48">
        <v>14.199871874999999</v>
      </c>
      <c r="U107" s="48">
        <v>14.0536328125</v>
      </c>
      <c r="V107" s="48">
        <v>13.900425</v>
      </c>
      <c r="W107" s="48">
        <v>13.697885937500001</v>
      </c>
      <c r="X107" s="48">
        <v>13.638526562499999</v>
      </c>
      <c r="Y107" s="48">
        <v>13.59450625</v>
      </c>
      <c r="Z107" s="48">
        <v>13.5667546875</v>
      </c>
      <c r="AA107" s="48">
        <v>13.507646875000001</v>
      </c>
      <c r="AB107" s="48">
        <v>13.482001562500001</v>
      </c>
      <c r="AC107" s="48">
        <v>-1.2296555284744271E-3</v>
      </c>
    </row>
    <row r="108" spans="1:29" s="48" customFormat="1" ht="12">
      <c r="A108" s="48" t="s">
        <v>2011</v>
      </c>
      <c r="B108" s="48" t="s">
        <v>2012</v>
      </c>
      <c r="C108" s="48">
        <v>21.6670758556264</v>
      </c>
      <c r="D108" s="48">
        <v>21.805407738186101</v>
      </c>
      <c r="E108" s="48">
        <v>21.23047833202272</v>
      </c>
      <c r="F108" s="48">
        <v>20.761544286387121</v>
      </c>
      <c r="G108" s="48">
        <v>20.92190563164236</v>
      </c>
      <c r="H108" s="48">
        <v>21.111678734555401</v>
      </c>
      <c r="I108" s="48">
        <v>21.32617812642054</v>
      </c>
      <c r="J108" s="48">
        <v>21.400198854033569</v>
      </c>
      <c r="K108" s="48">
        <v>21.50597678651792</v>
      </c>
      <c r="L108" s="48">
        <v>21.625151774563619</v>
      </c>
      <c r="M108" s="48">
        <v>21.642563476343732</v>
      </c>
      <c r="N108" s="48">
        <v>21.65058204847611</v>
      </c>
      <c r="O108" s="48">
        <v>21.74939476915679</v>
      </c>
      <c r="P108" s="48">
        <v>21.800195820372391</v>
      </c>
      <c r="Q108" s="48">
        <v>21.859633580806491</v>
      </c>
      <c r="R108" s="48">
        <v>21.71914724604056</v>
      </c>
      <c r="S108" s="48">
        <v>20.990355206928129</v>
      </c>
      <c r="T108" s="48">
        <v>19.787743832861519</v>
      </c>
      <c r="U108" s="48">
        <v>18.53323550111579</v>
      </c>
      <c r="V108" s="48">
        <v>17.432704294973391</v>
      </c>
      <c r="W108" s="48">
        <v>16.49376865623455</v>
      </c>
      <c r="X108" s="48">
        <v>15.952137937826279</v>
      </c>
      <c r="Y108" s="48">
        <v>15.54896918326512</v>
      </c>
      <c r="Z108" s="48">
        <v>15.24814843777401</v>
      </c>
      <c r="AA108" s="48">
        <v>14.9790100302817</v>
      </c>
      <c r="AB108" s="48">
        <v>14.798715747925749</v>
      </c>
      <c r="AC108" s="48">
        <v>-1.5134444042044001E-2</v>
      </c>
    </row>
    <row r="109" spans="1:29" s="48" customFormat="1" ht="12">
      <c r="A109" s="48" t="s">
        <v>2013</v>
      </c>
      <c r="B109" s="48" t="s">
        <v>2014</v>
      </c>
      <c r="C109" s="48">
        <v>13.90315625</v>
      </c>
      <c r="D109" s="48">
        <v>14.030296874999999</v>
      </c>
      <c r="E109" s="48">
        <v>13.606153125000001</v>
      </c>
      <c r="F109" s="48">
        <v>13.261753125</v>
      </c>
      <c r="G109" s="48">
        <v>13.3453484375</v>
      </c>
      <c r="H109" s="48">
        <v>13.4873984375</v>
      </c>
      <c r="I109" s="48">
        <v>13.6456546875</v>
      </c>
      <c r="J109" s="48">
        <v>13.7086734375</v>
      </c>
      <c r="K109" s="48">
        <v>13.8215953125</v>
      </c>
      <c r="L109" s="48">
        <v>13.962459375</v>
      </c>
      <c r="M109" s="48">
        <v>13.998728125</v>
      </c>
      <c r="N109" s="48">
        <v>14.023548437500001</v>
      </c>
      <c r="O109" s="48">
        <v>14.124696875</v>
      </c>
      <c r="P109" s="48">
        <v>14.191714062499999</v>
      </c>
      <c r="Q109" s="48">
        <v>14.2649734375</v>
      </c>
      <c r="R109" s="48">
        <v>14.3274890625</v>
      </c>
      <c r="S109" s="48">
        <v>14.287453125000001</v>
      </c>
      <c r="T109" s="48">
        <v>14.199871874999999</v>
      </c>
      <c r="U109" s="48">
        <v>14.0536328125</v>
      </c>
      <c r="V109" s="48">
        <v>13.900425</v>
      </c>
      <c r="W109" s="48">
        <v>13.697885937500001</v>
      </c>
      <c r="X109" s="48">
        <v>13.638526562499999</v>
      </c>
      <c r="Y109" s="48">
        <v>13.59450625</v>
      </c>
      <c r="Z109" s="48">
        <v>13.5667546875</v>
      </c>
      <c r="AA109" s="48">
        <v>13.507646875000001</v>
      </c>
      <c r="AB109" s="48">
        <v>13.482001562500001</v>
      </c>
      <c r="AC109" s="48">
        <v>-1.2296555284744271E-3</v>
      </c>
    </row>
    <row r="110" spans="1:29" s="48" customFormat="1" ht="12">
      <c r="A110" s="48" t="s">
        <v>2015</v>
      </c>
      <c r="B110" s="48" t="s">
        <v>2016</v>
      </c>
      <c r="C110" s="48">
        <v>31.51393697706656</v>
      </c>
      <c r="D110" s="48">
        <v>31.4219942918347</v>
      </c>
      <c r="E110" s="48">
        <v>30.510374206149219</v>
      </c>
      <c r="F110" s="48">
        <v>29.79923617061495</v>
      </c>
      <c r="G110" s="48">
        <v>30.02635272807462</v>
      </c>
      <c r="H110" s="48">
        <v>30.388193441280269</v>
      </c>
      <c r="I110" s="48">
        <v>30.738141003024221</v>
      </c>
      <c r="J110" s="48">
        <v>30.916721276461718</v>
      </c>
      <c r="K110" s="48">
        <v>31.110695091985921</v>
      </c>
      <c r="L110" s="48">
        <v>31.286304511088741</v>
      </c>
      <c r="M110" s="48">
        <v>31.365935477570591</v>
      </c>
      <c r="N110" s="48">
        <v>31.435752501260119</v>
      </c>
      <c r="O110" s="48">
        <v>31.62196238029237</v>
      </c>
      <c r="P110" s="48">
        <v>31.748515713205681</v>
      </c>
      <c r="Q110" s="48">
        <v>31.91160120967745</v>
      </c>
      <c r="R110" s="48">
        <v>32.070954643397208</v>
      </c>
      <c r="S110" s="48">
        <v>32.089017282006083</v>
      </c>
      <c r="T110" s="48">
        <v>32.025770791330679</v>
      </c>
      <c r="U110" s="48">
        <v>31.911394846270191</v>
      </c>
      <c r="V110" s="48">
        <v>31.82487796118955</v>
      </c>
      <c r="W110" s="48">
        <v>31.608686983366962</v>
      </c>
      <c r="X110" s="48">
        <v>31.75239962827624</v>
      </c>
      <c r="Y110" s="48">
        <v>31.853576102570599</v>
      </c>
      <c r="Z110" s="48">
        <v>31.95971892641132</v>
      </c>
      <c r="AA110" s="48">
        <v>31.97392490549398</v>
      </c>
      <c r="AB110" s="48">
        <v>32.075628969254069</v>
      </c>
      <c r="AC110" s="48">
        <v>7.0691486424534489E-4</v>
      </c>
    </row>
    <row r="111" spans="1:29" s="48" customFormat="1" ht="12">
      <c r="B111" s="48" t="s">
        <v>2017</v>
      </c>
    </row>
    <row r="112" spans="1:29" s="48" customFormat="1" ht="12">
      <c r="A112" s="48" t="s">
        <v>2018</v>
      </c>
      <c r="B112" s="48" t="s">
        <v>2014</v>
      </c>
      <c r="C112" s="48">
        <v>13.90315625</v>
      </c>
      <c r="D112" s="48">
        <v>14.030296874999999</v>
      </c>
      <c r="E112" s="48">
        <v>13.606153125000001</v>
      </c>
      <c r="F112" s="48">
        <v>13.261753125</v>
      </c>
      <c r="G112" s="48">
        <v>13.3453484375</v>
      </c>
      <c r="H112" s="48">
        <v>13.4873984375</v>
      </c>
      <c r="I112" s="48">
        <v>13.6456546875</v>
      </c>
      <c r="J112" s="48">
        <v>13.7086734375</v>
      </c>
      <c r="K112" s="48">
        <v>13.8215953125</v>
      </c>
      <c r="L112" s="48">
        <v>13.962459375</v>
      </c>
      <c r="M112" s="48">
        <v>13.998728125</v>
      </c>
      <c r="N112" s="48">
        <v>14.023548437500001</v>
      </c>
      <c r="O112" s="48">
        <v>14.124696875</v>
      </c>
      <c r="P112" s="48">
        <v>14.191714062499999</v>
      </c>
      <c r="Q112" s="48">
        <v>14.2649734375</v>
      </c>
      <c r="R112" s="48">
        <v>14.3274890625</v>
      </c>
      <c r="S112" s="48">
        <v>14.287453125000001</v>
      </c>
      <c r="T112" s="48">
        <v>14.199871874999999</v>
      </c>
      <c r="U112" s="48">
        <v>14.0536328125</v>
      </c>
      <c r="V112" s="48">
        <v>13.900425</v>
      </c>
      <c r="W112" s="48">
        <v>13.697885937500001</v>
      </c>
      <c r="X112" s="48">
        <v>13.638526562499999</v>
      </c>
      <c r="Y112" s="48">
        <v>13.59450625</v>
      </c>
      <c r="Z112" s="48">
        <v>13.5667546875</v>
      </c>
      <c r="AA112" s="48">
        <v>13.507646875000001</v>
      </c>
      <c r="AB112" s="48">
        <v>13.482001562500001</v>
      </c>
      <c r="AC112" s="48">
        <v>-1.2296555284744271E-3</v>
      </c>
    </row>
    <row r="113" spans="1:29" s="48" customFormat="1" ht="12">
      <c r="A113" s="48" t="s">
        <v>2019</v>
      </c>
      <c r="B113" s="48" t="s">
        <v>2016</v>
      </c>
      <c r="C113" s="48">
        <v>31.51393697706656</v>
      </c>
      <c r="D113" s="48">
        <v>31.4219942918347</v>
      </c>
      <c r="E113" s="48">
        <v>30.510374206149219</v>
      </c>
      <c r="F113" s="48">
        <v>29.79923617061495</v>
      </c>
      <c r="G113" s="48">
        <v>30.02635272807462</v>
      </c>
      <c r="H113" s="48">
        <v>30.388193441280269</v>
      </c>
      <c r="I113" s="48">
        <v>30.738141003024221</v>
      </c>
      <c r="J113" s="48">
        <v>30.916721276461718</v>
      </c>
      <c r="K113" s="48">
        <v>31.110695091985921</v>
      </c>
      <c r="L113" s="48">
        <v>31.286304511088741</v>
      </c>
      <c r="M113" s="48">
        <v>31.365935477570591</v>
      </c>
      <c r="N113" s="48">
        <v>31.435752501260119</v>
      </c>
      <c r="O113" s="48">
        <v>31.62196238029237</v>
      </c>
      <c r="P113" s="48">
        <v>31.748515713205681</v>
      </c>
      <c r="Q113" s="48">
        <v>31.91160120967745</v>
      </c>
      <c r="R113" s="48">
        <v>32.070954643397208</v>
      </c>
      <c r="S113" s="48">
        <v>32.089017282006083</v>
      </c>
      <c r="T113" s="48">
        <v>32.025770791330679</v>
      </c>
      <c r="U113" s="48">
        <v>31.911394846270191</v>
      </c>
      <c r="V113" s="48">
        <v>31.82487796118955</v>
      </c>
      <c r="W113" s="48">
        <v>31.608686983366962</v>
      </c>
      <c r="X113" s="48">
        <v>31.75239962827624</v>
      </c>
      <c r="Y113" s="48">
        <v>31.853576102570599</v>
      </c>
      <c r="Z113" s="48">
        <v>31.95971892641132</v>
      </c>
      <c r="AA113" s="48">
        <v>31.97392490549398</v>
      </c>
      <c r="AB113" s="48">
        <v>32.075628969254069</v>
      </c>
      <c r="AC113" s="48">
        <v>7.0691486424534489E-4</v>
      </c>
    </row>
    <row r="114" spans="1:29" s="48" customFormat="1" ht="12"/>
    <row r="115" spans="1:29" s="48" customFormat="1" ht="12">
      <c r="A115" s="48" t="s">
        <v>2020</v>
      </c>
      <c r="B115" s="48" t="s">
        <v>2021</v>
      </c>
      <c r="C115" s="48">
        <v>8.3724832534790039</v>
      </c>
      <c r="D115" s="48">
        <v>8.4224052429199219</v>
      </c>
      <c r="E115" s="48">
        <v>8.4212923049926758</v>
      </c>
      <c r="F115" s="48">
        <v>8.4584474563598633</v>
      </c>
      <c r="G115" s="48">
        <v>8.462946891784668</v>
      </c>
      <c r="H115" s="48">
        <v>8.5446615219116211</v>
      </c>
      <c r="I115" s="48">
        <v>8.5924816131591797</v>
      </c>
      <c r="J115" s="48">
        <v>8.6137886047363281</v>
      </c>
      <c r="K115" s="48">
        <v>8.5899667739868164</v>
      </c>
      <c r="L115" s="48">
        <v>8.5977363586425781</v>
      </c>
      <c r="M115" s="48">
        <v>8.592717170715332</v>
      </c>
      <c r="N115" s="48">
        <v>8.6166524887084961</v>
      </c>
      <c r="O115" s="48">
        <v>8.6175804138183594</v>
      </c>
      <c r="P115" s="48">
        <v>8.6283445358276367</v>
      </c>
      <c r="Q115" s="48">
        <v>8.6335239410400391</v>
      </c>
      <c r="R115" s="48">
        <v>8.6421279907226563</v>
      </c>
      <c r="S115" s="48">
        <v>8.6375713348388672</v>
      </c>
      <c r="T115" s="48">
        <v>8.6138505935668945</v>
      </c>
      <c r="U115" s="48">
        <v>8.5670595169067383</v>
      </c>
      <c r="V115" s="48">
        <v>8.5220794677734375</v>
      </c>
      <c r="W115" s="48">
        <v>8.5003423690795898</v>
      </c>
      <c r="X115" s="48">
        <v>8.4977807998657227</v>
      </c>
      <c r="Y115" s="48">
        <v>8.4992570877075195</v>
      </c>
      <c r="Z115" s="48">
        <v>8.4988346099853516</v>
      </c>
      <c r="AA115" s="48">
        <v>8.4924087524414063</v>
      </c>
      <c r="AB115" s="48">
        <v>8.4849472045898438</v>
      </c>
      <c r="AC115" s="48">
        <v>5.3386849545278281E-4</v>
      </c>
    </row>
    <row r="116" spans="1:29" s="48" customFormat="1" ht="12"/>
    <row r="117" spans="1:29" s="48" customFormat="1" ht="12">
      <c r="B117" s="48" t="s">
        <v>2022</v>
      </c>
    </row>
    <row r="118" spans="1:29" s="48" customFormat="1" ht="12">
      <c r="B118" s="48" t="s">
        <v>415</v>
      </c>
    </row>
    <row r="119" spans="1:29" s="48" customFormat="1" ht="12">
      <c r="A119" s="48" t="s">
        <v>2023</v>
      </c>
      <c r="B119" s="48" t="s">
        <v>20</v>
      </c>
      <c r="C119" s="48">
        <v>22.039875030517582</v>
      </c>
      <c r="D119" s="48">
        <v>22.191267013549801</v>
      </c>
      <c r="E119" s="48">
        <v>22.09578895568848</v>
      </c>
      <c r="F119" s="48">
        <v>22.133064270019531</v>
      </c>
      <c r="G119" s="48">
        <v>22.19556999206543</v>
      </c>
      <c r="H119" s="48">
        <v>22.413175582885739</v>
      </c>
      <c r="I119" s="48">
        <v>22.576370239257809</v>
      </c>
      <c r="J119" s="48">
        <v>22.640562057495121</v>
      </c>
      <c r="K119" s="48">
        <v>23.845609664916989</v>
      </c>
      <c r="L119" s="48">
        <v>23.811203002929691</v>
      </c>
      <c r="M119" s="48">
        <v>23.839658737182621</v>
      </c>
      <c r="N119" s="48">
        <v>23.779230117797852</v>
      </c>
      <c r="O119" s="48">
        <v>23.965299606323239</v>
      </c>
      <c r="P119" s="48">
        <v>23.943084716796879</v>
      </c>
      <c r="Q119" s="48">
        <v>23.9307861328125</v>
      </c>
      <c r="R119" s="48">
        <v>23.909030914306641</v>
      </c>
      <c r="S119" s="48">
        <v>23.850116729736332</v>
      </c>
      <c r="T119" s="48">
        <v>23.69107818603516</v>
      </c>
      <c r="U119" s="48">
        <v>23.498176574707031</v>
      </c>
      <c r="V119" s="48">
        <v>23.29987716674805</v>
      </c>
      <c r="W119" s="48">
        <v>23.200569152832031</v>
      </c>
      <c r="X119" s="48">
        <v>23.178901672363281</v>
      </c>
      <c r="Y119" s="48">
        <v>23.170866012573239</v>
      </c>
      <c r="Z119" s="48">
        <v>23.155450820922852</v>
      </c>
      <c r="AA119" s="48">
        <v>23.133804321289059</v>
      </c>
      <c r="AB119" s="48">
        <v>23.1011848449707</v>
      </c>
      <c r="AC119" s="48">
        <v>1.8829943737732611E-3</v>
      </c>
    </row>
    <row r="120" spans="1:29" s="48" customFormat="1" ht="12">
      <c r="A120" s="48" t="s">
        <v>2024</v>
      </c>
      <c r="B120" s="48" t="s">
        <v>2025</v>
      </c>
      <c r="C120" s="48">
        <v>24.280620574951168</v>
      </c>
      <c r="D120" s="48">
        <v>24.394817352294918</v>
      </c>
      <c r="E120" s="48">
        <v>24.237873077392582</v>
      </c>
      <c r="F120" s="48">
        <v>24.24101638793945</v>
      </c>
      <c r="G120" s="48">
        <v>24.29904937744141</v>
      </c>
      <c r="H120" s="48">
        <v>24.518585205078121</v>
      </c>
      <c r="I120" s="48">
        <v>24.662275314331051</v>
      </c>
      <c r="J120" s="48">
        <v>24.714559555053711</v>
      </c>
      <c r="K120" s="48">
        <v>25.267934799194339</v>
      </c>
      <c r="L120" s="48">
        <v>25.230426788330082</v>
      </c>
      <c r="M120" s="48">
        <v>25.271673202514648</v>
      </c>
      <c r="N120" s="48">
        <v>25.20286750793457</v>
      </c>
      <c r="O120" s="48">
        <v>25.316720962524411</v>
      </c>
      <c r="P120" s="48">
        <v>25.296205520629879</v>
      </c>
      <c r="Q120" s="48">
        <v>25.290451049804691</v>
      </c>
      <c r="R120" s="48">
        <v>25.266925811767582</v>
      </c>
      <c r="S120" s="48">
        <v>25.202329635620121</v>
      </c>
      <c r="T120" s="48">
        <v>25.033418655395511</v>
      </c>
      <c r="U120" s="48">
        <v>24.840206146240231</v>
      </c>
      <c r="V120" s="48">
        <v>24.62907791137695</v>
      </c>
      <c r="W120" s="48">
        <v>24.51572418212891</v>
      </c>
      <c r="X120" s="48">
        <v>24.48420524597168</v>
      </c>
      <c r="Y120" s="48">
        <v>24.464071273803711</v>
      </c>
      <c r="Z120" s="48">
        <v>24.43120193481445</v>
      </c>
      <c r="AA120" s="48">
        <v>24.3966178894043</v>
      </c>
      <c r="AB120" s="48">
        <v>24.34056282043457</v>
      </c>
      <c r="AC120" s="48">
        <v>9.8632287804267804E-5</v>
      </c>
    </row>
    <row r="121" spans="1:29" s="48" customFormat="1" ht="12">
      <c r="A121" s="48" t="s">
        <v>2026</v>
      </c>
      <c r="B121" s="48" t="s">
        <v>2027</v>
      </c>
      <c r="C121" s="48">
        <v>21.802654266357418</v>
      </c>
      <c r="D121" s="48">
        <v>21.911489486694339</v>
      </c>
      <c r="E121" s="48">
        <v>21.80975341796875</v>
      </c>
      <c r="F121" s="48">
        <v>21.845211029052731</v>
      </c>
      <c r="G121" s="48">
        <v>21.903863906860352</v>
      </c>
      <c r="H121" s="48">
        <v>22.114711761474609</v>
      </c>
      <c r="I121" s="48">
        <v>22.275083541870121</v>
      </c>
      <c r="J121" s="48">
        <v>22.33320426940918</v>
      </c>
      <c r="K121" s="48">
        <v>23.63034629821777</v>
      </c>
      <c r="L121" s="48">
        <v>23.590444564819339</v>
      </c>
      <c r="M121" s="48">
        <v>23.609897613525391</v>
      </c>
      <c r="N121" s="48">
        <v>23.544450759887699</v>
      </c>
      <c r="O121" s="48">
        <v>23.73429107666016</v>
      </c>
      <c r="P121" s="48">
        <v>23.70322418212891</v>
      </c>
      <c r="Q121" s="48">
        <v>23.680154800415039</v>
      </c>
      <c r="R121" s="48">
        <v>23.64510536193848</v>
      </c>
      <c r="S121" s="48">
        <v>23.571647644042969</v>
      </c>
      <c r="T121" s="48">
        <v>23.393417358398441</v>
      </c>
      <c r="U121" s="48">
        <v>23.176603317260739</v>
      </c>
      <c r="V121" s="48">
        <v>22.954452514648441</v>
      </c>
      <c r="W121" s="48">
        <v>22.82609748840332</v>
      </c>
      <c r="X121" s="48">
        <v>22.773614883422852</v>
      </c>
      <c r="Y121" s="48">
        <v>22.7314453125</v>
      </c>
      <c r="Z121" s="48">
        <v>22.678838729858398</v>
      </c>
      <c r="AA121" s="48">
        <v>22.620027542114261</v>
      </c>
      <c r="AB121" s="48">
        <v>22.546257019042969</v>
      </c>
      <c r="AC121" s="48">
        <v>1.342394149447923E-3</v>
      </c>
    </row>
    <row r="122" spans="1:29" s="48" customFormat="1" ht="12">
      <c r="A122" s="48" t="s">
        <v>2028</v>
      </c>
      <c r="B122" s="48" t="s">
        <v>2029</v>
      </c>
      <c r="C122" s="48">
        <v>0</v>
      </c>
      <c r="D122" s="48">
        <v>0</v>
      </c>
      <c r="E122" s="48">
        <v>0</v>
      </c>
      <c r="F122" s="48">
        <v>0</v>
      </c>
      <c r="G122" s="48">
        <v>0</v>
      </c>
      <c r="H122" s="48">
        <v>0</v>
      </c>
      <c r="I122" s="48">
        <v>0</v>
      </c>
      <c r="J122" s="48">
        <v>0</v>
      </c>
      <c r="K122" s="48">
        <v>0</v>
      </c>
      <c r="L122" s="48">
        <v>0</v>
      </c>
      <c r="M122" s="48">
        <v>0</v>
      </c>
      <c r="N122" s="48">
        <v>0</v>
      </c>
      <c r="O122" s="48">
        <v>0</v>
      </c>
      <c r="P122" s="48">
        <v>0</v>
      </c>
      <c r="Q122" s="48">
        <v>0</v>
      </c>
      <c r="R122" s="48">
        <v>0</v>
      </c>
      <c r="S122" s="48">
        <v>0</v>
      </c>
      <c r="T122" s="48">
        <v>0</v>
      </c>
      <c r="U122" s="48">
        <v>0</v>
      </c>
      <c r="V122" s="48">
        <v>0</v>
      </c>
      <c r="W122" s="48">
        <v>0</v>
      </c>
      <c r="X122" s="48">
        <v>0</v>
      </c>
      <c r="Y122" s="48">
        <v>0</v>
      </c>
      <c r="Z122" s="48">
        <v>0</v>
      </c>
      <c r="AA122" s="48">
        <v>0</v>
      </c>
      <c r="AB122" s="48">
        <v>0</v>
      </c>
      <c r="AC122" s="48" t="s">
        <v>397</v>
      </c>
    </row>
    <row r="123" spans="1:29" s="48" customFormat="1" ht="12">
      <c r="A123" s="48" t="s">
        <v>2030</v>
      </c>
      <c r="B123" s="48" t="s">
        <v>2031</v>
      </c>
      <c r="C123" s="48">
        <v>12.84196758270264</v>
      </c>
      <c r="D123" s="48">
        <v>13.02306079864502</v>
      </c>
      <c r="E123" s="48">
        <v>12.8076229095459</v>
      </c>
      <c r="F123" s="48">
        <v>12.86207103729248</v>
      </c>
      <c r="G123" s="48">
        <v>12.923365592956539</v>
      </c>
      <c r="H123" s="48">
        <v>13.258071899414061</v>
      </c>
      <c r="I123" s="48">
        <v>13.44189929962158</v>
      </c>
      <c r="J123" s="48">
        <v>13.502707481384279</v>
      </c>
      <c r="K123" s="48">
        <v>13.869401931762701</v>
      </c>
      <c r="L123" s="48">
        <v>13.863107681274411</v>
      </c>
      <c r="M123" s="48">
        <v>13.909799575805661</v>
      </c>
      <c r="N123" s="48">
        <v>13.928080558776861</v>
      </c>
      <c r="O123" s="48">
        <v>14.03026866912842</v>
      </c>
      <c r="P123" s="48">
        <v>14.0416202545166</v>
      </c>
      <c r="Q123" s="48">
        <v>14.0595817565918</v>
      </c>
      <c r="R123" s="48">
        <v>14.0552225112915</v>
      </c>
      <c r="S123" s="48">
        <v>14.001259803771971</v>
      </c>
      <c r="T123" s="48">
        <v>13.82656764984131</v>
      </c>
      <c r="U123" s="48">
        <v>13.61361122131348</v>
      </c>
      <c r="V123" s="48">
        <v>13.360336303710939</v>
      </c>
      <c r="W123" s="48">
        <v>13.233634948730471</v>
      </c>
      <c r="X123" s="48">
        <v>13.22142314910889</v>
      </c>
      <c r="Y123" s="48">
        <v>13.22838020324707</v>
      </c>
      <c r="Z123" s="48">
        <v>13.22042083740234</v>
      </c>
      <c r="AA123" s="48">
        <v>13.204408645629879</v>
      </c>
      <c r="AB123" s="48">
        <v>13.16260433197021</v>
      </c>
      <c r="AC123" s="48">
        <v>9.8693785631898123E-4</v>
      </c>
    </row>
    <row r="124" spans="1:29" s="48" customFormat="1" ht="12">
      <c r="A124" s="48" t="s">
        <v>2032</v>
      </c>
      <c r="B124" s="48" t="s">
        <v>2033</v>
      </c>
      <c r="C124" s="48">
        <v>12.84196758270264</v>
      </c>
      <c r="D124" s="48">
        <v>13.02306079864502</v>
      </c>
      <c r="E124" s="48">
        <v>12.8076229095459</v>
      </c>
      <c r="F124" s="48">
        <v>12.86207103729248</v>
      </c>
      <c r="G124" s="48">
        <v>12.923365592956539</v>
      </c>
      <c r="H124" s="48">
        <v>13.258071899414061</v>
      </c>
      <c r="I124" s="48">
        <v>13.44189929962158</v>
      </c>
      <c r="J124" s="48">
        <v>13.502707481384279</v>
      </c>
      <c r="K124" s="48">
        <v>13.869401931762701</v>
      </c>
      <c r="L124" s="48">
        <v>13.863107681274411</v>
      </c>
      <c r="M124" s="48">
        <v>13.909799575805661</v>
      </c>
      <c r="N124" s="48">
        <v>13.928080558776861</v>
      </c>
      <c r="O124" s="48">
        <v>14.03026866912842</v>
      </c>
      <c r="P124" s="48">
        <v>14.0416202545166</v>
      </c>
      <c r="Q124" s="48">
        <v>14.0595817565918</v>
      </c>
      <c r="R124" s="48">
        <v>14.0552225112915</v>
      </c>
      <c r="S124" s="48">
        <v>14.001259803771971</v>
      </c>
      <c r="T124" s="48">
        <v>13.82656764984131</v>
      </c>
      <c r="U124" s="48">
        <v>13.61361122131348</v>
      </c>
      <c r="V124" s="48">
        <v>13.360336303710939</v>
      </c>
      <c r="W124" s="48">
        <v>13.233634948730471</v>
      </c>
      <c r="X124" s="48">
        <v>13.22142314910889</v>
      </c>
      <c r="Y124" s="48">
        <v>13.22838020324707</v>
      </c>
      <c r="Z124" s="48">
        <v>13.22042083740234</v>
      </c>
      <c r="AA124" s="48">
        <v>13.204408645629879</v>
      </c>
      <c r="AB124" s="48">
        <v>13.16260433197021</v>
      </c>
      <c r="AC124" s="48">
        <v>9.8693785631898123E-4</v>
      </c>
    </row>
    <row r="125" spans="1:29" s="48" customFormat="1" ht="12">
      <c r="B125" s="48" t="s">
        <v>417</v>
      </c>
    </row>
    <row r="126" spans="1:29" s="48" customFormat="1" ht="12">
      <c r="A126" s="48" t="s">
        <v>2034</v>
      </c>
      <c r="B126" s="48" t="s">
        <v>20</v>
      </c>
      <c r="C126" s="48">
        <v>29.683391571044918</v>
      </c>
      <c r="D126" s="48">
        <v>30.037422180175781</v>
      </c>
      <c r="E126" s="48">
        <v>29.680255889892582</v>
      </c>
      <c r="F126" s="48">
        <v>29.775014877319339</v>
      </c>
      <c r="G126" s="48">
        <v>29.874336242675781</v>
      </c>
      <c r="H126" s="48">
        <v>30.678714752197269</v>
      </c>
      <c r="I126" s="48">
        <v>31.086566925048832</v>
      </c>
      <c r="J126" s="48">
        <v>31.201572418212891</v>
      </c>
      <c r="K126" s="48">
        <v>31.674224853515621</v>
      </c>
      <c r="L126" s="48">
        <v>31.591909408569339</v>
      </c>
      <c r="M126" s="48">
        <v>31.6005744934082</v>
      </c>
      <c r="N126" s="48">
        <v>31.582965850830082</v>
      </c>
      <c r="O126" s="48">
        <v>31.679925918579102</v>
      </c>
      <c r="P126" s="48">
        <v>31.629892349243161</v>
      </c>
      <c r="Q126" s="48">
        <v>31.597030639648441</v>
      </c>
      <c r="R126" s="48">
        <v>31.514312744140621</v>
      </c>
      <c r="S126" s="48">
        <v>31.262578964233398</v>
      </c>
      <c r="T126" s="48">
        <v>30.755107879638668</v>
      </c>
      <c r="U126" s="48">
        <v>30.14838790893555</v>
      </c>
      <c r="V126" s="48">
        <v>29.536909103393551</v>
      </c>
      <c r="W126" s="48">
        <v>29.195291519165039</v>
      </c>
      <c r="X126" s="48">
        <v>29.094924926757809</v>
      </c>
      <c r="Y126" s="48">
        <v>29.047788619995121</v>
      </c>
      <c r="Z126" s="48">
        <v>28.984600067138668</v>
      </c>
      <c r="AA126" s="48">
        <v>28.891044616699219</v>
      </c>
      <c r="AB126" s="48">
        <v>28.75579833984375</v>
      </c>
      <c r="AC126" s="48">
        <v>-1.2691241694120501E-3</v>
      </c>
    </row>
    <row r="127" spans="1:29" s="48" customFormat="1" ht="12">
      <c r="A127" s="48" t="s">
        <v>2035</v>
      </c>
      <c r="B127" s="48" t="s">
        <v>2025</v>
      </c>
      <c r="C127" s="48">
        <v>30.795400619506839</v>
      </c>
      <c r="D127" s="48">
        <v>31.167388916015621</v>
      </c>
      <c r="E127" s="48">
        <v>30.824787139892582</v>
      </c>
      <c r="F127" s="48">
        <v>30.927824020385739</v>
      </c>
      <c r="G127" s="48">
        <v>31.03544807434082</v>
      </c>
      <c r="H127" s="48">
        <v>31.850051879882809</v>
      </c>
      <c r="I127" s="48">
        <v>32.267459869384773</v>
      </c>
      <c r="J127" s="48">
        <v>32.392436981201172</v>
      </c>
      <c r="K127" s="48">
        <v>32.876274108886719</v>
      </c>
      <c r="L127" s="48">
        <v>32.808311462402337</v>
      </c>
      <c r="M127" s="48">
        <v>32.835292816162109</v>
      </c>
      <c r="N127" s="48">
        <v>32.838821411132813</v>
      </c>
      <c r="O127" s="48">
        <v>32.962718963623047</v>
      </c>
      <c r="P127" s="48">
        <v>32.941074371337891</v>
      </c>
      <c r="Q127" s="48">
        <v>32.940090179443359</v>
      </c>
      <c r="R127" s="48">
        <v>32.893661499023438</v>
      </c>
      <c r="S127" s="48">
        <v>32.678890228271477</v>
      </c>
      <c r="T127" s="48">
        <v>32.209236145019531</v>
      </c>
      <c r="U127" s="48">
        <v>31.641025543212891</v>
      </c>
      <c r="V127" s="48">
        <v>31.06198883056641</v>
      </c>
      <c r="W127" s="48">
        <v>30.73836517333984</v>
      </c>
      <c r="X127" s="48">
        <v>30.65754508972168</v>
      </c>
      <c r="Y127" s="48">
        <v>30.615781784057621</v>
      </c>
      <c r="Z127" s="48">
        <v>30.555088043212891</v>
      </c>
      <c r="AA127" s="48">
        <v>30.45283317565918</v>
      </c>
      <c r="AB127" s="48">
        <v>30.302497863769531</v>
      </c>
      <c r="AC127" s="48">
        <v>-6.4519982611765947E-4</v>
      </c>
    </row>
    <row r="128" spans="1:29" s="48" customFormat="1" ht="12">
      <c r="A128" s="48" t="s">
        <v>2036</v>
      </c>
      <c r="B128" s="48" t="s">
        <v>2027</v>
      </c>
      <c r="C128" s="48">
        <v>27.75629806518555</v>
      </c>
      <c r="D128" s="48">
        <v>28.123325347900391</v>
      </c>
      <c r="E128" s="48">
        <v>27.782646179199219</v>
      </c>
      <c r="F128" s="48">
        <v>27.883550643920898</v>
      </c>
      <c r="G128" s="48">
        <v>27.989040374755859</v>
      </c>
      <c r="H128" s="48">
        <v>28.795248031616211</v>
      </c>
      <c r="I128" s="48">
        <v>29.207790374755859</v>
      </c>
      <c r="J128" s="48">
        <v>29.3305549621582</v>
      </c>
      <c r="K128" s="48">
        <v>29.814519882202148</v>
      </c>
      <c r="L128" s="48">
        <v>29.74609375</v>
      </c>
      <c r="M128" s="48">
        <v>29.771781921386719</v>
      </c>
      <c r="N128" s="48">
        <v>29.774274826049801</v>
      </c>
      <c r="O128" s="48">
        <v>29.896921157836911</v>
      </c>
      <c r="P128" s="48">
        <v>29.874553680419918</v>
      </c>
      <c r="Q128" s="48">
        <v>29.872684478759769</v>
      </c>
      <c r="R128" s="48">
        <v>29.825790405273441</v>
      </c>
      <c r="S128" s="48">
        <v>29.6120719909668</v>
      </c>
      <c r="T128" s="48">
        <v>29.14577484130859</v>
      </c>
      <c r="U128" s="48">
        <v>28.581821441650391</v>
      </c>
      <c r="V128" s="48">
        <v>28.00716590881348</v>
      </c>
      <c r="W128" s="48">
        <v>27.6856803894043</v>
      </c>
      <c r="X128" s="48">
        <v>27.604854583740231</v>
      </c>
      <c r="Y128" s="48">
        <v>27.562749862670898</v>
      </c>
      <c r="Z128" s="48">
        <v>27.50189208984375</v>
      </c>
      <c r="AA128" s="48">
        <v>27.399860382080082</v>
      </c>
      <c r="AB128" s="48">
        <v>27.250204086303711</v>
      </c>
      <c r="AC128" s="48">
        <v>-7.3579961694758556E-4</v>
      </c>
    </row>
    <row r="129" spans="1:29" s="48" customFormat="1" ht="12">
      <c r="A129" s="48" t="s">
        <v>2037</v>
      </c>
      <c r="B129" s="48" t="s">
        <v>2038</v>
      </c>
      <c r="C129" s="48">
        <v>18.771913528442379</v>
      </c>
      <c r="D129" s="48">
        <v>19.2592887878418</v>
      </c>
      <c r="E129" s="48">
        <v>18.835456848144531</v>
      </c>
      <c r="F129" s="48">
        <v>19.017608642578121</v>
      </c>
      <c r="G129" s="48">
        <v>19.21314811706543</v>
      </c>
      <c r="H129" s="48">
        <v>20.018112182617191</v>
      </c>
      <c r="I129" s="48">
        <v>20.4856071472168</v>
      </c>
      <c r="J129" s="48">
        <v>20.67668342590332</v>
      </c>
      <c r="K129" s="48">
        <v>21.458919525146481</v>
      </c>
      <c r="L129" s="48">
        <v>21.498580932617191</v>
      </c>
      <c r="M129" s="48">
        <v>21.65603065490723</v>
      </c>
      <c r="N129" s="48">
        <v>21.7476806640625</v>
      </c>
      <c r="O129" s="48">
        <v>22.010110855102539</v>
      </c>
      <c r="P129" s="48">
        <v>22.082332611083981</v>
      </c>
      <c r="Q129" s="48">
        <v>22.167886734008789</v>
      </c>
      <c r="R129" s="48">
        <v>22.20291900634766</v>
      </c>
      <c r="S129" s="48">
        <v>22.125871658325199</v>
      </c>
      <c r="T129" s="48">
        <v>21.777791976928711</v>
      </c>
      <c r="U129" s="48">
        <v>21.34304237365723</v>
      </c>
      <c r="V129" s="48">
        <v>20.817037582397461</v>
      </c>
      <c r="W129" s="48">
        <v>20.572282791137699</v>
      </c>
      <c r="X129" s="48">
        <v>20.582223892211911</v>
      </c>
      <c r="Y129" s="48">
        <v>20.63434982299805</v>
      </c>
      <c r="Z129" s="48">
        <v>20.652694702148441</v>
      </c>
      <c r="AA129" s="48">
        <v>20.652252197265621</v>
      </c>
      <c r="AB129" s="48">
        <v>20.593156814575199</v>
      </c>
      <c r="AC129" s="48">
        <v>3.710749270609659E-3</v>
      </c>
    </row>
    <row r="130" spans="1:29" s="48" customFormat="1" ht="12">
      <c r="A130" s="48" t="s">
        <v>2039</v>
      </c>
      <c r="B130" s="48" t="s">
        <v>2029</v>
      </c>
      <c r="C130" s="48">
        <v>12.612541198730471</v>
      </c>
      <c r="D130" s="48">
        <v>12.83408737182617</v>
      </c>
      <c r="E130" s="48">
        <v>12.66527271270752</v>
      </c>
      <c r="F130" s="48">
        <v>12.76011276245117</v>
      </c>
      <c r="G130" s="48">
        <v>12.847880363464361</v>
      </c>
      <c r="H130" s="48">
        <v>13.312883377075201</v>
      </c>
      <c r="I130" s="48">
        <v>13.60855102539062</v>
      </c>
      <c r="J130" s="48">
        <v>13.72580718994141</v>
      </c>
      <c r="K130" s="48">
        <v>15.02704524993896</v>
      </c>
      <c r="L130" s="48">
        <v>15.04117393493652</v>
      </c>
      <c r="M130" s="48">
        <v>15.097978591918951</v>
      </c>
      <c r="N130" s="48">
        <v>15.143978118896481</v>
      </c>
      <c r="O130" s="48">
        <v>15.38075160980225</v>
      </c>
      <c r="P130" s="48">
        <v>15.41701126098633</v>
      </c>
      <c r="Q130" s="48">
        <v>15.469279289245611</v>
      </c>
      <c r="R130" s="48">
        <v>15.506936073303221</v>
      </c>
      <c r="S130" s="48">
        <v>15.44016170501709</v>
      </c>
      <c r="T130" s="48">
        <v>15.214340209960939</v>
      </c>
      <c r="U130" s="48">
        <v>14.91354274749756</v>
      </c>
      <c r="V130" s="48">
        <v>14.6239070892334</v>
      </c>
      <c r="W130" s="48">
        <v>14.47358989715576</v>
      </c>
      <c r="X130" s="48">
        <v>14.43455123901367</v>
      </c>
      <c r="Y130" s="48">
        <v>14.41295909881592</v>
      </c>
      <c r="Z130" s="48">
        <v>14.38296508789062</v>
      </c>
      <c r="AA130" s="48">
        <v>14.32445240020752</v>
      </c>
      <c r="AB130" s="48">
        <v>14.25072002410889</v>
      </c>
      <c r="AC130" s="48">
        <v>4.8965805100735782E-3</v>
      </c>
    </row>
    <row r="131" spans="1:29" s="48" customFormat="1" ht="12">
      <c r="A131" s="48" t="s">
        <v>2040</v>
      </c>
      <c r="B131" s="48" t="s">
        <v>2031</v>
      </c>
      <c r="C131" s="48">
        <v>12.06707286834717</v>
      </c>
      <c r="D131" s="48">
        <v>12.297183990478519</v>
      </c>
      <c r="E131" s="48">
        <v>12.1313009262085</v>
      </c>
      <c r="F131" s="48">
        <v>12.21360492706299</v>
      </c>
      <c r="G131" s="48">
        <v>12.292764663696291</v>
      </c>
      <c r="H131" s="48">
        <v>12.76146984100342</v>
      </c>
      <c r="I131" s="48">
        <v>13.01923656463623</v>
      </c>
      <c r="J131" s="48">
        <v>13.119384765625</v>
      </c>
      <c r="K131" s="48">
        <v>13.520707130432131</v>
      </c>
      <c r="L131" s="48">
        <v>13.509312629699711</v>
      </c>
      <c r="M131" s="48">
        <v>13.55859279632568</v>
      </c>
      <c r="N131" s="48">
        <v>13.59067535400391</v>
      </c>
      <c r="O131" s="48">
        <v>13.68543815612793</v>
      </c>
      <c r="P131" s="48">
        <v>13.71230316162109</v>
      </c>
      <c r="Q131" s="48">
        <v>13.75453567504883</v>
      </c>
      <c r="R131" s="48">
        <v>13.77816104888916</v>
      </c>
      <c r="S131" s="48">
        <v>13.70265007019043</v>
      </c>
      <c r="T131" s="48">
        <v>13.47880268096924</v>
      </c>
      <c r="U131" s="48">
        <v>13.19680881500244</v>
      </c>
      <c r="V131" s="48">
        <v>12.923966407775881</v>
      </c>
      <c r="W131" s="48">
        <v>12.77644062042236</v>
      </c>
      <c r="X131" s="48">
        <v>12.742087364196779</v>
      </c>
      <c r="Y131" s="48">
        <v>12.73032760620117</v>
      </c>
      <c r="Z131" s="48">
        <v>12.70776271820068</v>
      </c>
      <c r="AA131" s="48">
        <v>12.66269588470459</v>
      </c>
      <c r="AB131" s="48">
        <v>12.598231315612789</v>
      </c>
      <c r="AC131" s="48">
        <v>1.7245228665181409E-3</v>
      </c>
    </row>
    <row r="132" spans="1:29" s="48" customFormat="1" ht="12">
      <c r="A132" s="48" t="s">
        <v>2041</v>
      </c>
      <c r="B132" s="48" t="s">
        <v>2033</v>
      </c>
      <c r="C132" s="48">
        <v>12.680105209350589</v>
      </c>
      <c r="D132" s="48">
        <v>12.909067153930661</v>
      </c>
      <c r="E132" s="48">
        <v>12.743869781494141</v>
      </c>
      <c r="F132" s="48">
        <v>12.848470687866209</v>
      </c>
      <c r="G132" s="48">
        <v>12.934384346008301</v>
      </c>
      <c r="H132" s="48">
        <v>13.400203704833981</v>
      </c>
      <c r="I132" s="48">
        <v>13.69898891448975</v>
      </c>
      <c r="J132" s="48">
        <v>13.817215919494631</v>
      </c>
      <c r="K132" s="48">
        <v>15.25269603729248</v>
      </c>
      <c r="L132" s="48">
        <v>15.26950263977051</v>
      </c>
      <c r="M132" s="48">
        <v>15.32431793212891</v>
      </c>
      <c r="N132" s="48">
        <v>15.37236976623535</v>
      </c>
      <c r="O132" s="48">
        <v>15.63234710693359</v>
      </c>
      <c r="P132" s="48">
        <v>15.672977447509769</v>
      </c>
      <c r="Q132" s="48">
        <v>15.73295974731445</v>
      </c>
      <c r="R132" s="48">
        <v>15.784200668334959</v>
      </c>
      <c r="S132" s="48">
        <v>15.72930812835693</v>
      </c>
      <c r="T132" s="48">
        <v>15.51547050476074</v>
      </c>
      <c r="U132" s="48">
        <v>15.22324752807617</v>
      </c>
      <c r="V132" s="48">
        <v>14.940427780151371</v>
      </c>
      <c r="W132" s="48">
        <v>14.79769992828369</v>
      </c>
      <c r="X132" s="48">
        <v>14.76876831054688</v>
      </c>
      <c r="Y132" s="48">
        <v>14.75734901428223</v>
      </c>
      <c r="Z132" s="48">
        <v>14.7386531829834</v>
      </c>
      <c r="AA132" s="48">
        <v>14.69149589538574</v>
      </c>
      <c r="AB132" s="48">
        <v>14.631295204162599</v>
      </c>
      <c r="AC132" s="48">
        <v>5.7415597564256524E-3</v>
      </c>
    </row>
    <row r="133" spans="1:29" s="48" customFormat="1" ht="15.75" thickBot="1">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row>
    <row r="134" spans="1:29" s="48" customFormat="1" ht="12.75" thickTop="1">
      <c r="B134" s="48" t="s">
        <v>2042</v>
      </c>
    </row>
    <row r="135" spans="1:29" s="48" customFormat="1" ht="12">
      <c r="B135" s="48" t="s">
        <v>2043</v>
      </c>
    </row>
    <row r="136" spans="1:29" s="48" customFormat="1" ht="12">
      <c r="B136" s="48" t="s">
        <v>2044</v>
      </c>
    </row>
    <row r="137" spans="1:29" s="48" customFormat="1" ht="12">
      <c r="B137" s="48" t="s">
        <v>311</v>
      </c>
    </row>
    <row r="138" spans="1:29" s="48" customFormat="1" ht="12">
      <c r="B138" s="48" t="s">
        <v>2045</v>
      </c>
    </row>
    <row r="139" spans="1:29" s="48" customFormat="1" ht="12">
      <c r="B139" s="48" t="s">
        <v>2046</v>
      </c>
    </row>
    <row r="140" spans="1:29" s="48" customFormat="1" ht="12">
      <c r="B140" s="48" t="s">
        <v>2047</v>
      </c>
    </row>
    <row r="141" spans="1:29" s="48" customFormat="1" ht="12">
      <c r="B141" s="48" t="s">
        <v>2048</v>
      </c>
    </row>
    <row r="142" spans="1:29" s="48" customFormat="1" ht="12">
      <c r="B142" s="48" t="s">
        <v>2049</v>
      </c>
    </row>
    <row r="143" spans="1:29" s="48" customFormat="1" ht="12">
      <c r="B143" s="48" t="s">
        <v>312</v>
      </c>
    </row>
    <row r="144" spans="1:29" s="48" customFormat="1" ht="12">
      <c r="B144" s="48" t="s">
        <v>2050</v>
      </c>
    </row>
    <row r="145" spans="2:2" s="48" customFormat="1" ht="12">
      <c r="B145" s="48" t="s">
        <v>141</v>
      </c>
    </row>
    <row r="146" spans="2:2" s="48" customFormat="1" ht="12">
      <c r="B146" s="48" t="s">
        <v>2051</v>
      </c>
    </row>
    <row r="147" spans="2:2" s="48" customFormat="1" ht="12">
      <c r="B147" s="48" t="s">
        <v>2052</v>
      </c>
    </row>
    <row r="148" spans="2:2" s="48" customFormat="1" ht="12">
      <c r="B148" s="48" t="s">
        <v>2053</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5"/>
  <cols>
    <col min="2" max="2" width="22" customWidth="1"/>
  </cols>
  <sheetData>
    <row r="1" spans="1:30">
      <c r="A1" t="s">
        <v>2054</v>
      </c>
      <c r="B1" t="s">
        <v>2055</v>
      </c>
      <c r="C1" t="s">
        <v>184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2082</v>
      </c>
    </row>
    <row r="2" spans="1:30">
      <c r="A2">
        <v>1</v>
      </c>
    </row>
    <row r="3" spans="1:30">
      <c r="A3">
        <v>2</v>
      </c>
      <c r="B3" t="s">
        <v>44</v>
      </c>
    </row>
    <row r="4" spans="1:30">
      <c r="A4">
        <v>3</v>
      </c>
      <c r="B4" t="s">
        <v>143</v>
      </c>
    </row>
    <row r="5" spans="1:30">
      <c r="A5">
        <v>4</v>
      </c>
      <c r="B5" t="s">
        <v>144</v>
      </c>
      <c r="C5" t="s">
        <v>185</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145</v>
      </c>
      <c r="C6" t="s">
        <v>185</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146</v>
      </c>
      <c r="C7" t="s">
        <v>185</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147</v>
      </c>
      <c r="C8" t="s">
        <v>185</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148</v>
      </c>
      <c r="C9" t="s">
        <v>185</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149</v>
      </c>
      <c r="C10" t="s">
        <v>185</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150</v>
      </c>
      <c r="C11" t="s">
        <v>185</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151</v>
      </c>
      <c r="C12" t="s">
        <v>185</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152</v>
      </c>
      <c r="C13" t="s">
        <v>185</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153</v>
      </c>
      <c r="C14" t="s">
        <v>185</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154</v>
      </c>
      <c r="C15" t="s">
        <v>185</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155</v>
      </c>
      <c r="C16" t="s">
        <v>185</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226</v>
      </c>
      <c r="C17" t="s">
        <v>185</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156</v>
      </c>
    </row>
    <row r="20" spans="1:30">
      <c r="A20">
        <v>19</v>
      </c>
      <c r="B20" t="s">
        <v>157</v>
      </c>
      <c r="C20" t="s">
        <v>185</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158</v>
      </c>
      <c r="C21" t="s">
        <v>185</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187</v>
      </c>
      <c r="C22" t="s">
        <v>185</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188</v>
      </c>
      <c r="C23" t="s">
        <v>185</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189</v>
      </c>
      <c r="C24" t="s">
        <v>185</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159</v>
      </c>
      <c r="C25" t="s">
        <v>185</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160</v>
      </c>
      <c r="C26" t="s">
        <v>185</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139</v>
      </c>
      <c r="C27" t="s">
        <v>185</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140</v>
      </c>
      <c r="C28" t="s">
        <v>185</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161</v>
      </c>
      <c r="C29" t="s">
        <v>185</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162</v>
      </c>
      <c r="C30" t="s">
        <v>185</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160</v>
      </c>
      <c r="C31" t="s">
        <v>185</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163</v>
      </c>
      <c r="C32" t="s">
        <v>185</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151</v>
      </c>
      <c r="C33" t="s">
        <v>185</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150</v>
      </c>
      <c r="C34" t="s">
        <v>185</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164</v>
      </c>
      <c r="C35" t="s">
        <v>185</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165</v>
      </c>
      <c r="C36" t="s">
        <v>185</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166</v>
      </c>
      <c r="C37" t="s">
        <v>185</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313</v>
      </c>
      <c r="C38" t="s">
        <v>185</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167</v>
      </c>
      <c r="C40" t="s">
        <v>185</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168</v>
      </c>
      <c r="C41" t="s">
        <v>185</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169</v>
      </c>
      <c r="C42" t="s">
        <v>185</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170</v>
      </c>
      <c r="C43" t="s">
        <v>185</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130</v>
      </c>
      <c r="C45" t="s">
        <v>185</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131</v>
      </c>
    </row>
    <row r="48" spans="1:30">
      <c r="A48">
        <v>47</v>
      </c>
      <c r="B48" t="s">
        <v>171</v>
      </c>
      <c r="C48" t="s">
        <v>185</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172</v>
      </c>
      <c r="C49" t="s">
        <v>185</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173</v>
      </c>
      <c r="C50" t="s">
        <v>185</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174</v>
      </c>
      <c r="C51" t="s">
        <v>185</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169</v>
      </c>
      <c r="C52" t="s">
        <v>185</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175</v>
      </c>
      <c r="C53" t="s">
        <v>185</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176</v>
      </c>
      <c r="C54" t="s">
        <v>185</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165</v>
      </c>
      <c r="C55" t="s">
        <v>185</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177</v>
      </c>
      <c r="C56" t="s">
        <v>185</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178</v>
      </c>
      <c r="C57" t="s">
        <v>185</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179</v>
      </c>
      <c r="C58" t="s">
        <v>185</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180</v>
      </c>
      <c r="C59" t="s">
        <v>185</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166</v>
      </c>
      <c r="C60" t="s">
        <v>185</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313</v>
      </c>
      <c r="C61" t="s">
        <v>185</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132</v>
      </c>
      <c r="C63" t="s">
        <v>185</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5"/>
  <cols>
    <col min="1" max="1" width="39.28515625" customWidth="1"/>
  </cols>
  <sheetData>
    <row r="1" spans="1:31">
      <c r="A1" t="s">
        <v>2174</v>
      </c>
    </row>
    <row r="2" spans="1:31">
      <c r="A2" t="s">
        <v>2173</v>
      </c>
    </row>
    <row r="3" spans="1:31">
      <c r="A3" t="s">
        <v>2172</v>
      </c>
    </row>
    <row r="4" spans="1:31">
      <c r="A4" t="s">
        <v>135</v>
      </c>
    </row>
    <row r="5" spans="1:31">
      <c r="B5" t="s">
        <v>182</v>
      </c>
      <c r="C5" t="s">
        <v>183</v>
      </c>
      <c r="D5" t="s">
        <v>184</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2171</v>
      </c>
    </row>
    <row r="6" spans="1:31">
      <c r="A6" t="s">
        <v>2170</v>
      </c>
    </row>
    <row r="7" spans="1:31">
      <c r="A7" t="s">
        <v>280</v>
      </c>
    </row>
    <row r="8" spans="1:31">
      <c r="A8" t="s">
        <v>281</v>
      </c>
      <c r="B8" t="s">
        <v>2169</v>
      </c>
      <c r="C8" t="s">
        <v>2168</v>
      </c>
      <c r="D8" t="s">
        <v>253</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8">
        <v>-3.6999999999999998E-2</v>
      </c>
    </row>
    <row r="9" spans="1:31">
      <c r="A9" t="s">
        <v>282</v>
      </c>
      <c r="B9" t="s">
        <v>2167</v>
      </c>
      <c r="C9" t="s">
        <v>2166</v>
      </c>
      <c r="D9" t="s">
        <v>253</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8">
        <v>-0.11700000000000001</v>
      </c>
    </row>
    <row r="10" spans="1:31">
      <c r="A10" t="s">
        <v>283</v>
      </c>
      <c r="B10" t="s">
        <v>2165</v>
      </c>
      <c r="C10" t="s">
        <v>2164</v>
      </c>
      <c r="D10" t="s">
        <v>253</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8">
        <v>-3.6999999999999998E-2</v>
      </c>
    </row>
    <row r="11" spans="1:31">
      <c r="A11" t="s">
        <v>284</v>
      </c>
    </row>
    <row r="12" spans="1:31">
      <c r="A12" t="s">
        <v>285</v>
      </c>
      <c r="B12" t="s">
        <v>2163</v>
      </c>
      <c r="C12" t="s">
        <v>2162</v>
      </c>
      <c r="D12" t="s">
        <v>253</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8">
        <v>-0.113</v>
      </c>
    </row>
    <row r="13" spans="1:31">
      <c r="A13" t="s">
        <v>314</v>
      </c>
      <c r="B13" t="s">
        <v>2161</v>
      </c>
      <c r="C13" t="s">
        <v>2160</v>
      </c>
      <c r="D13" t="s">
        <v>253</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8">
        <v>1.7000000000000001E-2</v>
      </c>
    </row>
    <row r="14" spans="1:31">
      <c r="A14" t="s">
        <v>315</v>
      </c>
      <c r="B14" t="s">
        <v>2159</v>
      </c>
      <c r="C14" t="s">
        <v>2158</v>
      </c>
      <c r="D14" t="s">
        <v>253</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8">
        <v>5.3999999999999999E-2</v>
      </c>
    </row>
    <row r="15" spans="1:31">
      <c r="A15" t="s">
        <v>316</v>
      </c>
      <c r="B15" t="s">
        <v>2157</v>
      </c>
      <c r="C15" t="s">
        <v>2156</v>
      </c>
      <c r="D15" t="s">
        <v>253</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8">
        <v>6.2E-2</v>
      </c>
    </row>
    <row r="16" spans="1:31">
      <c r="A16" t="s">
        <v>286</v>
      </c>
      <c r="B16" t="s">
        <v>2155</v>
      </c>
      <c r="C16" t="s">
        <v>2154</v>
      </c>
      <c r="D16" t="s">
        <v>253</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8">
        <v>-3.2000000000000001E-2</v>
      </c>
    </row>
    <row r="17" spans="1:31">
      <c r="A17" t="s">
        <v>287</v>
      </c>
      <c r="B17" t="s">
        <v>2153</v>
      </c>
      <c r="C17" t="s">
        <v>2152</v>
      </c>
      <c r="D17" t="s">
        <v>253</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8">
        <v>0.01</v>
      </c>
    </row>
    <row r="18" spans="1:31">
      <c r="A18" t="s">
        <v>289</v>
      </c>
      <c r="B18" t="s">
        <v>2151</v>
      </c>
      <c r="C18" t="s">
        <v>2150</v>
      </c>
      <c r="D18" t="s">
        <v>253</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8">
        <v>2.3E-2</v>
      </c>
    </row>
    <row r="19" spans="1:31">
      <c r="A19" t="s">
        <v>295</v>
      </c>
      <c r="B19" t="s">
        <v>2149</v>
      </c>
      <c r="C19" t="s">
        <v>2148</v>
      </c>
      <c r="D19" t="s">
        <v>253</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8">
        <v>-0.113</v>
      </c>
    </row>
    <row r="20" spans="1:31">
      <c r="A20" t="s">
        <v>296</v>
      </c>
      <c r="B20" t="s">
        <v>2147</v>
      </c>
      <c r="C20" t="s">
        <v>2146</v>
      </c>
      <c r="D20" t="s">
        <v>253</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8">
        <v>3.3000000000000002E-2</v>
      </c>
    </row>
    <row r="21" spans="1:31">
      <c r="A21" t="s">
        <v>2145</v>
      </c>
      <c r="B21" t="s">
        <v>2144</v>
      </c>
      <c r="C21" t="s">
        <v>2143</v>
      </c>
      <c r="D21" t="s">
        <v>253</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8">
        <v>-1.7000000000000001E-2</v>
      </c>
    </row>
    <row r="22" spans="1:31">
      <c r="A22" t="s">
        <v>2142</v>
      </c>
    </row>
    <row r="23" spans="1:31">
      <c r="A23" t="s">
        <v>298</v>
      </c>
    </row>
    <row r="24" spans="1:31">
      <c r="A24" t="s">
        <v>281</v>
      </c>
      <c r="B24" t="s">
        <v>2141</v>
      </c>
      <c r="C24" t="s">
        <v>2140</v>
      </c>
      <c r="D24" t="s">
        <v>253</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8">
        <v>-5.0000000000000001E-3</v>
      </c>
    </row>
    <row r="25" spans="1:31">
      <c r="A25" t="s">
        <v>282</v>
      </c>
      <c r="B25" t="s">
        <v>2139</v>
      </c>
      <c r="C25" t="s">
        <v>2138</v>
      </c>
      <c r="D25" t="s">
        <v>253</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8">
        <v>2.1999999999999999E-2</v>
      </c>
    </row>
    <row r="26" spans="1:31">
      <c r="A26" t="s">
        <v>299</v>
      </c>
      <c r="B26" t="s">
        <v>2137</v>
      </c>
      <c r="C26" t="s">
        <v>2136</v>
      </c>
      <c r="D26" t="s">
        <v>253</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8">
        <v>-4.0000000000000001E-3</v>
      </c>
    </row>
    <row r="27" spans="1:31">
      <c r="A27" t="s">
        <v>300</v>
      </c>
    </row>
    <row r="28" spans="1:31">
      <c r="A28" t="s">
        <v>285</v>
      </c>
      <c r="B28" t="s">
        <v>2135</v>
      </c>
      <c r="C28" t="s">
        <v>2134</v>
      </c>
      <c r="D28" t="s">
        <v>253</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8">
        <v>-0.114</v>
      </c>
    </row>
    <row r="29" spans="1:31">
      <c r="A29" t="s">
        <v>314</v>
      </c>
      <c r="B29" t="s">
        <v>2133</v>
      </c>
      <c r="C29" t="s">
        <v>2132</v>
      </c>
      <c r="D29" t="s">
        <v>253</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8">
        <v>8.8999999999999996E-2</v>
      </c>
    </row>
    <row r="30" spans="1:31">
      <c r="A30" t="s">
        <v>315</v>
      </c>
      <c r="B30" t="s">
        <v>2131</v>
      </c>
      <c r="C30" t="s">
        <v>2130</v>
      </c>
      <c r="D30" t="s">
        <v>253</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8">
        <v>0.14199999999999999</v>
      </c>
    </row>
    <row r="31" spans="1:31">
      <c r="A31" t="s">
        <v>316</v>
      </c>
      <c r="B31" t="s">
        <v>2129</v>
      </c>
      <c r="C31" t="s">
        <v>2128</v>
      </c>
      <c r="D31" t="s">
        <v>253</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8">
        <v>0.113</v>
      </c>
    </row>
    <row r="32" spans="1:31">
      <c r="A32" t="s">
        <v>286</v>
      </c>
      <c r="B32" t="s">
        <v>2127</v>
      </c>
      <c r="C32" t="s">
        <v>2126</v>
      </c>
      <c r="D32" t="s">
        <v>253</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8">
        <v>3.5000000000000003E-2</v>
      </c>
    </row>
    <row r="33" spans="1:31">
      <c r="A33" t="s">
        <v>287</v>
      </c>
      <c r="B33" t="s">
        <v>2125</v>
      </c>
      <c r="C33" t="s">
        <v>2124</v>
      </c>
      <c r="D33" t="s">
        <v>253</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8">
        <v>6.5000000000000002E-2</v>
      </c>
    </row>
    <row r="34" spans="1:31">
      <c r="A34" t="s">
        <v>289</v>
      </c>
      <c r="B34" t="s">
        <v>2123</v>
      </c>
      <c r="C34" t="s">
        <v>2122</v>
      </c>
      <c r="D34" t="s">
        <v>253</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8">
        <v>7.3999999999999996E-2</v>
      </c>
    </row>
    <row r="35" spans="1:31">
      <c r="A35" t="s">
        <v>295</v>
      </c>
      <c r="B35" t="s">
        <v>2121</v>
      </c>
      <c r="C35" t="s">
        <v>2120</v>
      </c>
      <c r="D35" t="s">
        <v>253</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109</v>
      </c>
    </row>
    <row r="36" spans="1:31">
      <c r="A36" t="s">
        <v>301</v>
      </c>
      <c r="B36" t="s">
        <v>2119</v>
      </c>
      <c r="C36" t="s">
        <v>2118</v>
      </c>
      <c r="D36" t="s">
        <v>253</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8">
        <v>5.0999999999999997E-2</v>
      </c>
    </row>
    <row r="37" spans="1:31">
      <c r="A37" t="s">
        <v>2117</v>
      </c>
      <c r="B37" t="s">
        <v>2116</v>
      </c>
      <c r="C37" t="s">
        <v>2115</v>
      </c>
      <c r="D37" t="s">
        <v>253</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8">
        <v>1.0999999999999999E-2</v>
      </c>
    </row>
    <row r="38" spans="1:31">
      <c r="A38" t="s">
        <v>271</v>
      </c>
      <c r="B38" t="s">
        <v>2114</v>
      </c>
      <c r="C38" t="s">
        <v>2113</v>
      </c>
      <c r="D38" t="s">
        <v>253</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8">
        <v>3.0000000000000001E-3</v>
      </c>
    </row>
    <row r="39" spans="1:31">
      <c r="A39" t="s">
        <v>218</v>
      </c>
      <c r="B39" t="s">
        <v>2112</v>
      </c>
      <c r="C39" t="s">
        <v>2111</v>
      </c>
      <c r="D39" t="s">
        <v>253</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8">
        <v>-8.9999999999999993E-3</v>
      </c>
    </row>
    <row r="40" spans="1:31">
      <c r="A40" t="s">
        <v>173</v>
      </c>
      <c r="B40" t="s">
        <v>2110</v>
      </c>
      <c r="C40" t="s">
        <v>2109</v>
      </c>
      <c r="D40" t="s">
        <v>253</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8">
        <v>-3.5999999999999997E-2</v>
      </c>
    </row>
    <row r="41" spans="1:31">
      <c r="A41" t="s">
        <v>176</v>
      </c>
      <c r="B41" t="s">
        <v>2108</v>
      </c>
      <c r="C41" t="s">
        <v>2107</v>
      </c>
      <c r="D41" t="s">
        <v>253</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8">
        <v>5.8000000000000003E-2</v>
      </c>
    </row>
    <row r="42" spans="1:31">
      <c r="A42" t="s">
        <v>179</v>
      </c>
      <c r="B42" t="s">
        <v>2106</v>
      </c>
      <c r="C42" t="s">
        <v>2105</v>
      </c>
      <c r="D42" t="s">
        <v>253</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8">
        <v>0.11799999999999999</v>
      </c>
    </row>
    <row r="43" spans="1:31">
      <c r="A43" t="s">
        <v>219</v>
      </c>
      <c r="B43" t="s">
        <v>2104</v>
      </c>
      <c r="C43" t="s">
        <v>2103</v>
      </c>
      <c r="D43" t="s">
        <v>253</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8">
        <v>-6.4000000000000001E-2</v>
      </c>
    </row>
    <row r="44" spans="1:31">
      <c r="A44" t="s">
        <v>220</v>
      </c>
      <c r="B44" t="s">
        <v>2102</v>
      </c>
      <c r="C44" t="s">
        <v>2101</v>
      </c>
      <c r="D44" t="s">
        <v>253</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8">
        <v>0.10100000000000001</v>
      </c>
    </row>
    <row r="45" spans="1:31">
      <c r="A45" t="s">
        <v>222</v>
      </c>
      <c r="B45" t="s">
        <v>2100</v>
      </c>
      <c r="C45" t="s">
        <v>2099</v>
      </c>
      <c r="D45" t="s">
        <v>253</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109</v>
      </c>
    </row>
    <row r="46" spans="1:31">
      <c r="A46" t="s">
        <v>221</v>
      </c>
      <c r="B46" t="s">
        <v>2098</v>
      </c>
      <c r="C46" t="s">
        <v>2097</v>
      </c>
      <c r="D46" t="s">
        <v>253</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109</v>
      </c>
    </row>
    <row r="47" spans="1:31">
      <c r="A47" t="s">
        <v>223</v>
      </c>
      <c r="B47" t="s">
        <v>2096</v>
      </c>
      <c r="C47" t="s">
        <v>2095</v>
      </c>
      <c r="D47" t="s">
        <v>253</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109</v>
      </c>
    </row>
    <row r="48" spans="1:31">
      <c r="A48" t="s">
        <v>514</v>
      </c>
      <c r="B48" t="s">
        <v>2094</v>
      </c>
      <c r="C48" t="s">
        <v>2093</v>
      </c>
      <c r="D48" t="s">
        <v>253</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109</v>
      </c>
    </row>
    <row r="49" spans="1:31">
      <c r="A49" t="s">
        <v>511</v>
      </c>
      <c r="B49" t="s">
        <v>2092</v>
      </c>
      <c r="C49" t="s">
        <v>2091</v>
      </c>
      <c r="D49" t="s">
        <v>253</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8">
        <v>0.35499999999999998</v>
      </c>
    </row>
    <row r="50" spans="1:31">
      <c r="A50" t="s">
        <v>508</v>
      </c>
      <c r="B50" t="s">
        <v>2090</v>
      </c>
      <c r="C50" t="s">
        <v>2089</v>
      </c>
      <c r="D50" t="s">
        <v>253</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109</v>
      </c>
    </row>
    <row r="51" spans="1:31">
      <c r="A51" t="s">
        <v>2088</v>
      </c>
      <c r="B51" t="s">
        <v>2087</v>
      </c>
      <c r="C51" t="s">
        <v>2086</v>
      </c>
      <c r="D51" t="s">
        <v>253</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8">
        <v>-1E-3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5"/>
  <sheetData>
    <row r="1" spans="1:30">
      <c r="A1" t="s">
        <v>2054</v>
      </c>
      <c r="B1" t="s">
        <v>2055</v>
      </c>
      <c r="C1" t="s">
        <v>184</v>
      </c>
      <c r="D1" t="s">
        <v>2056</v>
      </c>
      <c r="E1" t="s">
        <v>2057</v>
      </c>
      <c r="F1" t="s">
        <v>2058</v>
      </c>
      <c r="G1" t="s">
        <v>2059</v>
      </c>
      <c r="H1" t="s">
        <v>2060</v>
      </c>
      <c r="I1" t="s">
        <v>2061</v>
      </c>
      <c r="J1" t="s">
        <v>2062</v>
      </c>
      <c r="K1" t="s">
        <v>2063</v>
      </c>
      <c r="L1" t="s">
        <v>2064</v>
      </c>
      <c r="M1" t="s">
        <v>2065</v>
      </c>
      <c r="N1" t="s">
        <v>2066</v>
      </c>
      <c r="O1" t="s">
        <v>2067</v>
      </c>
      <c r="P1" t="s">
        <v>2068</v>
      </c>
      <c r="Q1" t="s">
        <v>2069</v>
      </c>
      <c r="R1" t="s">
        <v>2070</v>
      </c>
      <c r="S1" t="s">
        <v>2071</v>
      </c>
      <c r="T1" t="s">
        <v>2072</v>
      </c>
      <c r="U1" t="s">
        <v>2073</v>
      </c>
      <c r="V1" t="s">
        <v>2074</v>
      </c>
      <c r="W1" t="s">
        <v>2075</v>
      </c>
      <c r="X1" t="s">
        <v>2076</v>
      </c>
      <c r="Y1" t="s">
        <v>2077</v>
      </c>
      <c r="Z1" t="s">
        <v>2078</v>
      </c>
      <c r="AA1" t="s">
        <v>2079</v>
      </c>
      <c r="AB1" t="s">
        <v>2080</v>
      </c>
      <c r="AC1" t="s">
        <v>2081</v>
      </c>
      <c r="AD1" t="s">
        <v>2082</v>
      </c>
    </row>
    <row r="2" spans="1:30">
      <c r="A2">
        <v>1</v>
      </c>
    </row>
    <row r="3" spans="1:30">
      <c r="A3">
        <v>2</v>
      </c>
      <c r="B3" t="s">
        <v>279</v>
      </c>
    </row>
    <row r="4" spans="1:30">
      <c r="A4">
        <v>3</v>
      </c>
      <c r="B4" t="s">
        <v>280</v>
      </c>
    </row>
    <row r="5" spans="1:30">
      <c r="A5">
        <v>4</v>
      </c>
      <c r="B5" t="s">
        <v>281</v>
      </c>
      <c r="C5" t="s">
        <v>186</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282</v>
      </c>
      <c r="C6" t="s">
        <v>186</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283</v>
      </c>
      <c r="C7" t="s">
        <v>186</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284</v>
      </c>
    </row>
    <row r="10" spans="1:30">
      <c r="A10">
        <v>9</v>
      </c>
      <c r="B10" t="s">
        <v>285</v>
      </c>
      <c r="C10" t="s">
        <v>186</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314</v>
      </c>
      <c r="C11" t="s">
        <v>186</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315</v>
      </c>
      <c r="C12" t="s">
        <v>186</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316</v>
      </c>
      <c r="C13" t="s">
        <v>186</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286</v>
      </c>
      <c r="C14" t="s">
        <v>186</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287</v>
      </c>
      <c r="C15" t="s">
        <v>186</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289</v>
      </c>
      <c r="C16" t="s">
        <v>186</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295</v>
      </c>
      <c r="C17" t="s">
        <v>186</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296</v>
      </c>
      <c r="C18" t="s">
        <v>186</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297</v>
      </c>
      <c r="C20" t="s">
        <v>186</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146</v>
      </c>
    </row>
    <row r="23" spans="1:30">
      <c r="A23">
        <v>26</v>
      </c>
      <c r="B23" t="s">
        <v>298</v>
      </c>
    </row>
    <row r="24" spans="1:30">
      <c r="A24">
        <v>27</v>
      </c>
      <c r="B24" t="s">
        <v>281</v>
      </c>
      <c r="C24" t="s">
        <v>186</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282</v>
      </c>
      <c r="C25" t="s">
        <v>186</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299</v>
      </c>
      <c r="C26" t="s">
        <v>186</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300</v>
      </c>
    </row>
    <row r="29" spans="1:30">
      <c r="A29">
        <v>32</v>
      </c>
      <c r="B29" t="s">
        <v>285</v>
      </c>
      <c r="C29" t="s">
        <v>186</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314</v>
      </c>
      <c r="C30" t="s">
        <v>186</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315</v>
      </c>
      <c r="C31" t="s">
        <v>186</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316</v>
      </c>
      <c r="C32" t="s">
        <v>186</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286</v>
      </c>
      <c r="C33" t="s">
        <v>186</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287</v>
      </c>
      <c r="C34" t="s">
        <v>186</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289</v>
      </c>
      <c r="C35" t="s">
        <v>186</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295</v>
      </c>
      <c r="C36" t="s">
        <v>186</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301</v>
      </c>
      <c r="C37" t="s">
        <v>186</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302</v>
      </c>
      <c r="C39" t="s">
        <v>186</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271</v>
      </c>
      <c r="C41" t="s">
        <v>186</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218</v>
      </c>
      <c r="C43" t="s">
        <v>186</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173</v>
      </c>
      <c r="C44" t="s">
        <v>186</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176</v>
      </c>
      <c r="C45" t="s">
        <v>186</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179</v>
      </c>
      <c r="C46" t="s">
        <v>186</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219</v>
      </c>
      <c r="C47" t="s">
        <v>186</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220</v>
      </c>
      <c r="C48" t="s">
        <v>186</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222</v>
      </c>
      <c r="C49" t="s">
        <v>186</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221</v>
      </c>
      <c r="C50" t="s">
        <v>186</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223</v>
      </c>
      <c r="C51" t="s">
        <v>186</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514</v>
      </c>
      <c r="C52" t="s">
        <v>186</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511</v>
      </c>
      <c r="C53" t="s">
        <v>186</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508</v>
      </c>
      <c r="C54" t="s">
        <v>186</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303</v>
      </c>
      <c r="C55" t="s">
        <v>186</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5"/>
  <cols>
    <col min="2" max="2" width="35.28515625" bestFit="1" customWidth="1"/>
  </cols>
  <sheetData>
    <row r="1" spans="1:30">
      <c r="A1" t="s">
        <v>2054</v>
      </c>
      <c r="B1" t="s">
        <v>2055</v>
      </c>
      <c r="C1" t="s">
        <v>184</v>
      </c>
      <c r="D1" t="s">
        <v>2056</v>
      </c>
      <c r="E1" t="s">
        <v>2057</v>
      </c>
      <c r="F1" t="s">
        <v>2058</v>
      </c>
      <c r="G1" t="s">
        <v>2059</v>
      </c>
      <c r="H1" t="s">
        <v>2060</v>
      </c>
      <c r="I1" t="s">
        <v>2061</v>
      </c>
      <c r="J1" t="s">
        <v>2062</v>
      </c>
      <c r="K1" t="s">
        <v>2063</v>
      </c>
      <c r="L1" t="s">
        <v>2064</v>
      </c>
      <c r="M1" t="s">
        <v>2065</v>
      </c>
      <c r="N1" t="s">
        <v>2066</v>
      </c>
      <c r="O1" t="s">
        <v>2067</v>
      </c>
      <c r="P1" t="s">
        <v>2068</v>
      </c>
      <c r="Q1" t="s">
        <v>2069</v>
      </c>
      <c r="R1" t="s">
        <v>2070</v>
      </c>
      <c r="S1" t="s">
        <v>2071</v>
      </c>
      <c r="T1" t="s">
        <v>2072</v>
      </c>
      <c r="U1" t="s">
        <v>2073</v>
      </c>
      <c r="V1" t="s">
        <v>2074</v>
      </c>
      <c r="W1" t="s">
        <v>2075</v>
      </c>
      <c r="X1" t="s">
        <v>2076</v>
      </c>
      <c r="Y1" t="s">
        <v>2077</v>
      </c>
      <c r="Z1" t="s">
        <v>2078</v>
      </c>
      <c r="AA1" t="s">
        <v>2079</v>
      </c>
      <c r="AB1" t="s">
        <v>2080</v>
      </c>
      <c r="AC1" t="s">
        <v>2081</v>
      </c>
      <c r="AD1" t="s">
        <v>2082</v>
      </c>
    </row>
    <row r="2" spans="1:30">
      <c r="A2">
        <v>1</v>
      </c>
    </row>
    <row r="3" spans="1:30">
      <c r="A3">
        <v>2</v>
      </c>
      <c r="B3" t="s">
        <v>136</v>
      </c>
    </row>
    <row r="4" spans="1:30">
      <c r="A4">
        <v>3</v>
      </c>
    </row>
    <row r="5" spans="1:30">
      <c r="A5">
        <v>4</v>
      </c>
      <c r="B5" t="s">
        <v>217</v>
      </c>
    </row>
    <row r="6" spans="1:30">
      <c r="A6">
        <v>5</v>
      </c>
      <c r="B6" t="s">
        <v>154</v>
      </c>
    </row>
    <row r="7" spans="1:30">
      <c r="A7">
        <v>6</v>
      </c>
      <c r="B7" t="s">
        <v>173</v>
      </c>
      <c r="C7" t="s">
        <v>186</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218</v>
      </c>
      <c r="C8" t="s">
        <v>186</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176</v>
      </c>
      <c r="C9" t="s">
        <v>186</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179</v>
      </c>
      <c r="C10" t="s">
        <v>186</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219</v>
      </c>
      <c r="C11" t="s">
        <v>186</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220</v>
      </c>
      <c r="C12" t="s">
        <v>186</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221</v>
      </c>
      <c r="C13" t="s">
        <v>186</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222</v>
      </c>
      <c r="C14" t="s">
        <v>186</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223</v>
      </c>
      <c r="C15" t="s">
        <v>186</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514</v>
      </c>
      <c r="C16" t="s">
        <v>186</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511</v>
      </c>
      <c r="C17" t="s">
        <v>186</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508</v>
      </c>
      <c r="C18" t="s">
        <v>186</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224</v>
      </c>
      <c r="C19" s="5" t="s">
        <v>186</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155</v>
      </c>
    </row>
    <row r="21" spans="1:30">
      <c r="A21">
        <v>20</v>
      </c>
      <c r="B21" t="s">
        <v>173</v>
      </c>
      <c r="C21" t="s">
        <v>186</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218</v>
      </c>
      <c r="C22" t="s">
        <v>186</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176</v>
      </c>
      <c r="C23" t="s">
        <v>186</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179</v>
      </c>
      <c r="C24" t="s">
        <v>186</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219</v>
      </c>
      <c r="C25" t="s">
        <v>186</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220</v>
      </c>
      <c r="C26" t="s">
        <v>186</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221</v>
      </c>
      <c r="C27" t="s">
        <v>186</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222</v>
      </c>
      <c r="C28" t="s">
        <v>186</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223</v>
      </c>
      <c r="C29" t="s">
        <v>186</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514</v>
      </c>
      <c r="C30" t="s">
        <v>186</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511</v>
      </c>
      <c r="C31" t="s">
        <v>186</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508</v>
      </c>
      <c r="C32" t="s">
        <v>186</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225</v>
      </c>
      <c r="C33" s="5" t="s">
        <v>186</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226</v>
      </c>
    </row>
    <row r="35" spans="1:30">
      <c r="A35">
        <v>34</v>
      </c>
      <c r="B35" t="s">
        <v>173</v>
      </c>
      <c r="C35" t="s">
        <v>186</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218</v>
      </c>
      <c r="C36" t="s">
        <v>186</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176</v>
      </c>
      <c r="C37" t="s">
        <v>186</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179</v>
      </c>
      <c r="C38" t="s">
        <v>186</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219</v>
      </c>
      <c r="C39" t="s">
        <v>186</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220</v>
      </c>
      <c r="C40" t="s">
        <v>186</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221</v>
      </c>
      <c r="C41" t="s">
        <v>186</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222</v>
      </c>
      <c r="C42" t="s">
        <v>186</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223</v>
      </c>
      <c r="C43" t="s">
        <v>186</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514</v>
      </c>
      <c r="C44" t="s">
        <v>186</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511</v>
      </c>
      <c r="C45" t="s">
        <v>186</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508</v>
      </c>
      <c r="C46" t="s">
        <v>186</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227</v>
      </c>
      <c r="C47" t="s">
        <v>186</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228</v>
      </c>
      <c r="C48" t="s">
        <v>186</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229</v>
      </c>
    </row>
    <row r="51" spans="1:30">
      <c r="A51">
        <v>50</v>
      </c>
      <c r="B51" t="s">
        <v>154</v>
      </c>
    </row>
    <row r="52" spans="1:30">
      <c r="A52">
        <v>51</v>
      </c>
      <c r="B52" t="s">
        <v>173</v>
      </c>
      <c r="C52" t="s">
        <v>185</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218</v>
      </c>
      <c r="C53" t="s">
        <v>185</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176</v>
      </c>
      <c r="C54" t="s">
        <v>185</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179</v>
      </c>
      <c r="C55" t="s">
        <v>185</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219</v>
      </c>
      <c r="C56" t="s">
        <v>185</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220</v>
      </c>
      <c r="C57" t="s">
        <v>185</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221</v>
      </c>
      <c r="C58" t="s">
        <v>185</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222</v>
      </c>
      <c r="C59" t="s">
        <v>185</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223</v>
      </c>
      <c r="C60" t="s">
        <v>185</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514</v>
      </c>
      <c r="C61" t="s">
        <v>185</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511</v>
      </c>
      <c r="C62" t="s">
        <v>185</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508</v>
      </c>
      <c r="C63" t="s">
        <v>185</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224</v>
      </c>
      <c r="C64" t="s">
        <v>185</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155</v>
      </c>
    </row>
    <row r="66" spans="1:30">
      <c r="A66">
        <v>65</v>
      </c>
      <c r="B66" t="s">
        <v>173</v>
      </c>
      <c r="C66" t="s">
        <v>185</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218</v>
      </c>
      <c r="C67" t="s">
        <v>185</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176</v>
      </c>
      <c r="C68" t="s">
        <v>185</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179</v>
      </c>
      <c r="C69" t="s">
        <v>185</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219</v>
      </c>
      <c r="C70" t="s">
        <v>185</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220</v>
      </c>
      <c r="C71" t="s">
        <v>185</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221</v>
      </c>
      <c r="C72" t="s">
        <v>185</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222</v>
      </c>
      <c r="C73" t="s">
        <v>185</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223</v>
      </c>
      <c r="C74" t="s">
        <v>185</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514</v>
      </c>
      <c r="C75" t="s">
        <v>185</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511</v>
      </c>
      <c r="C76" t="s">
        <v>185</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508</v>
      </c>
      <c r="C77" t="s">
        <v>185</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225</v>
      </c>
      <c r="C78" t="s">
        <v>185</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226</v>
      </c>
    </row>
    <row r="80" spans="1:30">
      <c r="A80">
        <v>79</v>
      </c>
      <c r="B80" t="s">
        <v>173</v>
      </c>
      <c r="C80" t="s">
        <v>185</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218</v>
      </c>
      <c r="C81" t="s">
        <v>185</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176</v>
      </c>
      <c r="C82" t="s">
        <v>185</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179</v>
      </c>
      <c r="C83" t="s">
        <v>185</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219</v>
      </c>
      <c r="C84" t="s">
        <v>185</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220</v>
      </c>
      <c r="C85" t="s">
        <v>185</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221</v>
      </c>
      <c r="C86" t="s">
        <v>185</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222</v>
      </c>
      <c r="C87" t="s">
        <v>185</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223</v>
      </c>
      <c r="C88" t="s">
        <v>185</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514</v>
      </c>
      <c r="C89" t="s">
        <v>185</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511</v>
      </c>
      <c r="C90" t="s">
        <v>185</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508</v>
      </c>
      <c r="C91" t="s">
        <v>185</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227</v>
      </c>
      <c r="C92" t="s">
        <v>185</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2083</v>
      </c>
    </row>
    <row r="94" spans="1:30">
      <c r="A94">
        <v>93</v>
      </c>
      <c r="B94" t="s">
        <v>173</v>
      </c>
      <c r="C94" t="s">
        <v>185</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218</v>
      </c>
      <c r="C95" t="s">
        <v>185</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176</v>
      </c>
      <c r="C96" t="s">
        <v>185</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179</v>
      </c>
      <c r="C97" t="s">
        <v>185</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219</v>
      </c>
      <c r="C98" t="s">
        <v>185</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220</v>
      </c>
      <c r="C99" t="s">
        <v>185</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221</v>
      </c>
      <c r="C100" t="s">
        <v>185</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222</v>
      </c>
      <c r="C101" t="s">
        <v>185</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223</v>
      </c>
      <c r="C102" t="s">
        <v>185</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514</v>
      </c>
      <c r="C103" t="s">
        <v>185</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511</v>
      </c>
      <c r="C104" t="s">
        <v>185</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508</v>
      </c>
      <c r="C105" t="s">
        <v>185</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132</v>
      </c>
      <c r="C106" t="s">
        <v>185</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231</v>
      </c>
    </row>
    <row r="109" spans="1:30">
      <c r="A109">
        <v>108</v>
      </c>
      <c r="B109" t="s">
        <v>154</v>
      </c>
    </row>
    <row r="110" spans="1:30">
      <c r="A110">
        <v>109</v>
      </c>
      <c r="B110" t="s">
        <v>173</v>
      </c>
      <c r="C110" t="s">
        <v>250</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218</v>
      </c>
      <c r="C111" t="s">
        <v>251</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176</v>
      </c>
      <c r="C112" t="s">
        <v>251</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179</v>
      </c>
      <c r="C113" t="s">
        <v>251</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219</v>
      </c>
      <c r="C114" t="s">
        <v>251</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220</v>
      </c>
      <c r="C115" t="s">
        <v>250</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221</v>
      </c>
      <c r="C116" t="s">
        <v>250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222</v>
      </c>
      <c r="C117" t="s">
        <v>251</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223</v>
      </c>
      <c r="C118" t="s">
        <v>250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514</v>
      </c>
      <c r="C119" t="s">
        <v>250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511</v>
      </c>
      <c r="C120" t="s">
        <v>251</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508</v>
      </c>
      <c r="C121" t="s">
        <v>250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232</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155</v>
      </c>
    </row>
    <row r="124" spans="1:30">
      <c r="A124">
        <v>123</v>
      </c>
      <c r="B124" t="s">
        <v>173</v>
      </c>
      <c r="C124" t="s">
        <v>250</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218</v>
      </c>
      <c r="C125" t="s">
        <v>251</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176</v>
      </c>
      <c r="C126" t="s">
        <v>251</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179</v>
      </c>
      <c r="C127" t="s">
        <v>251</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219</v>
      </c>
      <c r="C128" t="s">
        <v>252</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220</v>
      </c>
      <c r="C129" t="s">
        <v>251</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221</v>
      </c>
      <c r="C130" t="s">
        <v>251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222</v>
      </c>
      <c r="C131" t="s">
        <v>251</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223</v>
      </c>
      <c r="C132" t="s">
        <v>251</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514</v>
      </c>
      <c r="C133" t="s">
        <v>250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511</v>
      </c>
      <c r="C134" t="s">
        <v>251</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508</v>
      </c>
      <c r="C135" t="s">
        <v>250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233</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226</v>
      </c>
    </row>
    <row r="138" spans="1:30">
      <c r="A138">
        <v>137</v>
      </c>
      <c r="B138" t="s">
        <v>173</v>
      </c>
      <c r="C138" t="s">
        <v>250</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218</v>
      </c>
      <c r="C139" t="s">
        <v>251</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176</v>
      </c>
      <c r="C140" t="s">
        <v>251</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179</v>
      </c>
      <c r="C141" t="s">
        <v>250</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219</v>
      </c>
      <c r="C142" t="s">
        <v>251</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220</v>
      </c>
      <c r="C143" t="s">
        <v>250</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221</v>
      </c>
      <c r="C144" t="s">
        <v>250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222</v>
      </c>
      <c r="C145" t="s">
        <v>251</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223</v>
      </c>
      <c r="C146" t="s">
        <v>250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514</v>
      </c>
      <c r="C147" t="s">
        <v>250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511</v>
      </c>
      <c r="C148" t="s">
        <v>251</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508</v>
      </c>
      <c r="C149" t="s">
        <v>250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234</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235</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236</v>
      </c>
    </row>
    <row r="154" spans="1:30">
      <c r="A154">
        <v>153</v>
      </c>
      <c r="B154" t="s">
        <v>154</v>
      </c>
    </row>
    <row r="155" spans="1:30">
      <c r="A155">
        <v>154</v>
      </c>
      <c r="B155" t="s">
        <v>173</v>
      </c>
      <c r="C155" t="s">
        <v>214</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218</v>
      </c>
      <c r="C156" t="s">
        <v>214</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176</v>
      </c>
      <c r="C157" t="s">
        <v>214</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179</v>
      </c>
      <c r="C158" t="s">
        <v>214</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219</v>
      </c>
      <c r="C159" t="s">
        <v>214</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220</v>
      </c>
      <c r="C160" t="s">
        <v>214</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221</v>
      </c>
      <c r="C161" t="s">
        <v>214</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222</v>
      </c>
      <c r="C162" t="s">
        <v>214</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223</v>
      </c>
      <c r="C163" t="s">
        <v>214</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514</v>
      </c>
      <c r="C164" t="s">
        <v>214</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511</v>
      </c>
      <c r="C165" t="s">
        <v>214</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508</v>
      </c>
      <c r="C166" t="s">
        <v>214</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224</v>
      </c>
      <c r="C167" t="s">
        <v>214</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155</v>
      </c>
    </row>
    <row r="169" spans="1:30">
      <c r="A169">
        <v>168</v>
      </c>
      <c r="B169" t="s">
        <v>173</v>
      </c>
      <c r="C169" t="s">
        <v>214</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218</v>
      </c>
      <c r="C170" t="s">
        <v>214</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176</v>
      </c>
      <c r="C171" t="s">
        <v>214</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179</v>
      </c>
      <c r="C172" t="s">
        <v>214</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219</v>
      </c>
      <c r="C173" t="s">
        <v>214</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220</v>
      </c>
      <c r="C174" t="s">
        <v>214</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221</v>
      </c>
      <c r="C175" t="s">
        <v>214</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222</v>
      </c>
      <c r="C176" t="s">
        <v>214</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223</v>
      </c>
      <c r="C177" t="s">
        <v>214</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514</v>
      </c>
      <c r="C178" t="s">
        <v>214</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511</v>
      </c>
      <c r="C179" t="s">
        <v>214</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508</v>
      </c>
      <c r="C180" t="s">
        <v>214</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225</v>
      </c>
      <c r="C181" t="s">
        <v>214</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226</v>
      </c>
    </row>
    <row r="183" spans="1:30">
      <c r="A183">
        <v>182</v>
      </c>
      <c r="B183" t="s">
        <v>173</v>
      </c>
      <c r="C183" t="s">
        <v>214</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218</v>
      </c>
      <c r="C184" t="s">
        <v>214</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176</v>
      </c>
      <c r="C185" t="s">
        <v>214</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179</v>
      </c>
      <c r="C186" t="s">
        <v>214</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219</v>
      </c>
      <c r="C187" t="s">
        <v>214</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220</v>
      </c>
      <c r="C188" t="s">
        <v>214</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221</v>
      </c>
      <c r="C189" t="s">
        <v>214</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222</v>
      </c>
      <c r="C190" t="s">
        <v>214</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223</v>
      </c>
      <c r="C191" t="s">
        <v>214</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514</v>
      </c>
      <c r="C192" t="s">
        <v>214</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511</v>
      </c>
      <c r="C193" t="s">
        <v>214</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508</v>
      </c>
      <c r="C194" t="s">
        <v>214</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227</v>
      </c>
      <c r="C195" t="s">
        <v>214</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237</v>
      </c>
      <c r="C196" t="s">
        <v>214</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137</v>
      </c>
    </row>
    <row r="199" spans="1:30">
      <c r="A199">
        <v>198</v>
      </c>
    </row>
    <row r="200" spans="1:30">
      <c r="A200">
        <v>199</v>
      </c>
      <c r="B200" t="s">
        <v>231</v>
      </c>
    </row>
    <row r="201" spans="1:30">
      <c r="A201">
        <v>200</v>
      </c>
      <c r="B201" t="s">
        <v>154</v>
      </c>
    </row>
    <row r="202" spans="1:30">
      <c r="A202">
        <v>201</v>
      </c>
      <c r="B202" t="s">
        <v>173</v>
      </c>
      <c r="C202" t="s">
        <v>250</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218</v>
      </c>
      <c r="C203" t="s">
        <v>251</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176</v>
      </c>
      <c r="C204" t="s">
        <v>251</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179</v>
      </c>
      <c r="C205" t="s">
        <v>251</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219</v>
      </c>
      <c r="C206" t="s">
        <v>251</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220</v>
      </c>
      <c r="C207" t="s">
        <v>250</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221</v>
      </c>
      <c r="C208" t="s">
        <v>250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222</v>
      </c>
      <c r="C209" t="s">
        <v>251</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223</v>
      </c>
      <c r="C210" t="s">
        <v>250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514</v>
      </c>
      <c r="C211" t="s">
        <v>250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511</v>
      </c>
      <c r="C212" t="s">
        <v>251</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508</v>
      </c>
      <c r="C213" t="s">
        <v>250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232</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155</v>
      </c>
    </row>
    <row r="216" spans="1:30">
      <c r="A216">
        <v>215</v>
      </c>
      <c r="B216" t="s">
        <v>173</v>
      </c>
      <c r="C216" t="s">
        <v>250</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218</v>
      </c>
      <c r="C217" t="s">
        <v>251</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176</v>
      </c>
      <c r="C218" t="s">
        <v>251</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179</v>
      </c>
      <c r="C219" t="s">
        <v>251</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219</v>
      </c>
      <c r="C220" t="s">
        <v>252</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220</v>
      </c>
      <c r="C221" t="s">
        <v>251</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221</v>
      </c>
      <c r="C222" t="s">
        <v>251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222</v>
      </c>
      <c r="C223" t="s">
        <v>251</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223</v>
      </c>
      <c r="C224" t="s">
        <v>251</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514</v>
      </c>
      <c r="C225" t="s">
        <v>250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511</v>
      </c>
      <c r="C226" t="s">
        <v>251</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508</v>
      </c>
      <c r="C227" t="s">
        <v>250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233</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226</v>
      </c>
    </row>
    <row r="230" spans="1:30">
      <c r="A230">
        <v>229</v>
      </c>
      <c r="B230" t="s">
        <v>173</v>
      </c>
      <c r="C230" t="s">
        <v>250</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218</v>
      </c>
      <c r="C231" t="s">
        <v>251</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176</v>
      </c>
      <c r="C232" t="s">
        <v>251</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179</v>
      </c>
      <c r="C233" t="s">
        <v>250</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219</v>
      </c>
      <c r="C234" t="s">
        <v>251</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220</v>
      </c>
      <c r="C235" t="s">
        <v>250</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221</v>
      </c>
      <c r="C236" t="s">
        <v>250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222</v>
      </c>
      <c r="C237" t="s">
        <v>251</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223</v>
      </c>
      <c r="C238" t="s">
        <v>250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514</v>
      </c>
      <c r="C239" t="s">
        <v>250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511</v>
      </c>
      <c r="C240" t="s">
        <v>251</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508</v>
      </c>
      <c r="C241" t="s">
        <v>250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234</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235</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238</v>
      </c>
    </row>
    <row r="246" spans="1:30">
      <c r="A246">
        <v>245</v>
      </c>
      <c r="B246" t="s">
        <v>154</v>
      </c>
    </row>
    <row r="247" spans="1:30">
      <c r="A247">
        <v>246</v>
      </c>
      <c r="B247" t="s">
        <v>173</v>
      </c>
      <c r="C247" t="s">
        <v>253</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218</v>
      </c>
      <c r="C248" t="s">
        <v>253</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176</v>
      </c>
      <c r="C249" t="s">
        <v>253</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179</v>
      </c>
      <c r="C250" t="s">
        <v>253</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219</v>
      </c>
      <c r="C251" t="s">
        <v>253</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220</v>
      </c>
      <c r="C252" t="s">
        <v>253</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221</v>
      </c>
      <c r="C253" t="s">
        <v>253</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222</v>
      </c>
      <c r="C254" t="s">
        <v>253</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223</v>
      </c>
      <c r="C255" t="s">
        <v>253</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514</v>
      </c>
      <c r="C256" t="s">
        <v>253</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511</v>
      </c>
      <c r="C257" t="s">
        <v>253</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508</v>
      </c>
      <c r="C258" t="s">
        <v>253</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224</v>
      </c>
      <c r="C259" t="s">
        <v>253</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155</v>
      </c>
    </row>
    <row r="261" spans="1:30">
      <c r="A261">
        <v>260</v>
      </c>
      <c r="B261" t="s">
        <v>173</v>
      </c>
      <c r="C261" t="s">
        <v>253</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218</v>
      </c>
      <c r="C262" t="s">
        <v>253</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176</v>
      </c>
      <c r="C263" t="s">
        <v>253</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179</v>
      </c>
      <c r="C264" t="s">
        <v>253</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219</v>
      </c>
      <c r="C265" t="s">
        <v>253</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220</v>
      </c>
      <c r="C266" t="s">
        <v>253</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221</v>
      </c>
      <c r="C267" t="s">
        <v>253</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222</v>
      </c>
      <c r="C268" t="s">
        <v>253</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223</v>
      </c>
      <c r="C269" t="s">
        <v>253</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514</v>
      </c>
      <c r="C270" t="s">
        <v>253</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511</v>
      </c>
      <c r="C271" t="s">
        <v>253</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508</v>
      </c>
      <c r="C272" t="s">
        <v>253</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225</v>
      </c>
      <c r="C273" t="s">
        <v>253</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226</v>
      </c>
    </row>
    <row r="275" spans="1:30">
      <c r="A275">
        <v>274</v>
      </c>
      <c r="B275" t="s">
        <v>173</v>
      </c>
      <c r="C275" t="s">
        <v>253</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218</v>
      </c>
      <c r="C276" t="s">
        <v>253</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176</v>
      </c>
      <c r="C277" t="s">
        <v>253</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179</v>
      </c>
      <c r="C278" t="s">
        <v>253</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219</v>
      </c>
      <c r="C279" t="s">
        <v>253</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220</v>
      </c>
      <c r="C280" t="s">
        <v>253</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221</v>
      </c>
      <c r="C281" t="s">
        <v>253</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222</v>
      </c>
      <c r="C282" t="s">
        <v>253</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223</v>
      </c>
      <c r="C283" t="s">
        <v>253</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514</v>
      </c>
      <c r="C284" t="s">
        <v>253</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511</v>
      </c>
      <c r="C285" t="s">
        <v>253</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508</v>
      </c>
      <c r="C286" t="s">
        <v>253</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227</v>
      </c>
      <c r="C287" t="s">
        <v>253</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239</v>
      </c>
      <c r="C288" t="s">
        <v>253</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138</v>
      </c>
    </row>
    <row r="293" spans="1:30">
      <c r="A293">
        <v>324</v>
      </c>
      <c r="B293" t="s">
        <v>240</v>
      </c>
      <c r="C293" t="s">
        <v>254</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241</v>
      </c>
      <c r="C294" t="s">
        <v>1114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108</v>
      </c>
    </row>
    <row r="296" spans="1:30">
      <c r="A296">
        <v>327</v>
      </c>
      <c r="B296" t="s">
        <v>242</v>
      </c>
      <c r="C296" t="s">
        <v>185</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169</v>
      </c>
      <c r="C297" t="s">
        <v>185</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243</v>
      </c>
      <c r="C298" t="s">
        <v>185</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244</v>
      </c>
      <c r="C299" t="s">
        <v>185</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139</v>
      </c>
    </row>
    <row r="302" spans="1:30">
      <c r="A302">
        <v>333</v>
      </c>
      <c r="B302" t="s">
        <v>245</v>
      </c>
      <c r="C302" t="s">
        <v>254</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241</v>
      </c>
      <c r="C303" t="s">
        <v>1114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108</v>
      </c>
    </row>
    <row r="305" spans="1:30">
      <c r="A305">
        <v>336</v>
      </c>
      <c r="B305" t="s">
        <v>242</v>
      </c>
      <c r="C305" t="s">
        <v>185</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169</v>
      </c>
      <c r="C306" t="s">
        <v>185</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243</v>
      </c>
      <c r="C307" t="s">
        <v>185</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244</v>
      </c>
      <c r="C308" t="s">
        <v>185</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140</v>
      </c>
    </row>
    <row r="311" spans="1:30">
      <c r="A311">
        <v>342</v>
      </c>
      <c r="B311" t="s">
        <v>246</v>
      </c>
      <c r="C311" t="s">
        <v>255</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247</v>
      </c>
      <c r="C312" t="s">
        <v>255</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248</v>
      </c>
      <c r="C313" t="s">
        <v>255</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108</v>
      </c>
    </row>
    <row r="315" spans="1:30">
      <c r="A315">
        <v>346</v>
      </c>
      <c r="B315" t="s">
        <v>242</v>
      </c>
      <c r="C315" t="s">
        <v>185</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169</v>
      </c>
      <c r="C316" t="s">
        <v>185</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243</v>
      </c>
      <c r="C317" t="s">
        <v>185</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244</v>
      </c>
      <c r="C318" t="s">
        <v>185</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5"/>
  <cols>
    <col min="1" max="1" width="41.28515625" customWidth="1"/>
  </cols>
  <sheetData>
    <row r="1" spans="1:31">
      <c r="A1" t="s">
        <v>211</v>
      </c>
    </row>
    <row r="2" spans="1:31">
      <c r="A2" t="s">
        <v>2751</v>
      </c>
    </row>
    <row r="3" spans="1:31">
      <c r="A3" t="s">
        <v>2750</v>
      </c>
    </row>
    <row r="4" spans="1:31">
      <c r="A4" t="s">
        <v>135</v>
      </c>
    </row>
    <row r="5" spans="1:31">
      <c r="B5" t="s">
        <v>182</v>
      </c>
      <c r="C5" t="s">
        <v>183</v>
      </c>
      <c r="D5" t="s">
        <v>184</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2171</v>
      </c>
    </row>
    <row r="6" spans="1:31">
      <c r="A6" t="s">
        <v>1089</v>
      </c>
      <c r="B6" t="s">
        <v>2749</v>
      </c>
      <c r="C6" t="s">
        <v>2748</v>
      </c>
      <c r="D6" t="s">
        <v>212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8">
        <v>1.2E-2</v>
      </c>
    </row>
    <row r="7" spans="1:31">
      <c r="A7" t="s">
        <v>114</v>
      </c>
    </row>
    <row r="8" spans="1:31">
      <c r="A8" t="s">
        <v>192</v>
      </c>
      <c r="B8" t="s">
        <v>2747</v>
      </c>
      <c r="C8" t="s">
        <v>2746</v>
      </c>
      <c r="D8" t="s">
        <v>213</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8">
        <v>0</v>
      </c>
    </row>
    <row r="9" spans="1:31">
      <c r="A9" t="s">
        <v>193</v>
      </c>
      <c r="B9" t="s">
        <v>2745</v>
      </c>
      <c r="C9" t="s">
        <v>2744</v>
      </c>
      <c r="D9" t="s">
        <v>213</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8">
        <v>1E-3</v>
      </c>
    </row>
    <row r="10" spans="1:31">
      <c r="A10" t="s">
        <v>113</v>
      </c>
    </row>
    <row r="11" spans="1:31">
      <c r="A11" t="s">
        <v>194</v>
      </c>
    </row>
    <row r="12" spans="1:31">
      <c r="A12" t="s">
        <v>195</v>
      </c>
      <c r="B12" t="s">
        <v>2743</v>
      </c>
      <c r="C12" t="s">
        <v>2742</v>
      </c>
      <c r="D12" t="s">
        <v>214</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8">
        <v>3.0000000000000001E-3</v>
      </c>
    </row>
    <row r="13" spans="1:31">
      <c r="A13" t="s">
        <v>196</v>
      </c>
      <c r="B13" t="s">
        <v>2741</v>
      </c>
      <c r="C13" t="s">
        <v>2740</v>
      </c>
      <c r="D13" t="s">
        <v>214</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8">
        <v>8.9999999999999993E-3</v>
      </c>
    </row>
    <row r="14" spans="1:31">
      <c r="A14" t="s">
        <v>653</v>
      </c>
      <c r="B14" t="s">
        <v>2739</v>
      </c>
      <c r="C14" t="s">
        <v>2738</v>
      </c>
      <c r="D14" t="s">
        <v>214</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8">
        <v>5.0000000000000001E-3</v>
      </c>
    </row>
    <row r="15" spans="1:31">
      <c r="A15" t="s">
        <v>650</v>
      </c>
      <c r="B15" t="s">
        <v>2737</v>
      </c>
      <c r="C15" t="s">
        <v>2736</v>
      </c>
      <c r="D15" t="s">
        <v>214</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8">
        <v>0</v>
      </c>
    </row>
    <row r="16" spans="1:31">
      <c r="A16" t="s">
        <v>317</v>
      </c>
      <c r="B16" t="s">
        <v>2735</v>
      </c>
      <c r="C16" t="s">
        <v>2734</v>
      </c>
      <c r="D16" t="s">
        <v>214</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8">
        <v>-6.0000000000000001E-3</v>
      </c>
    </row>
    <row r="17" spans="1:31">
      <c r="A17" t="s">
        <v>318</v>
      </c>
      <c r="B17" t="s">
        <v>2733</v>
      </c>
      <c r="C17" t="s">
        <v>2732</v>
      </c>
      <c r="D17" t="s">
        <v>214</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8">
        <v>8.9999999999999993E-3</v>
      </c>
    </row>
    <row r="18" spans="1:31">
      <c r="A18" t="s">
        <v>319</v>
      </c>
      <c r="B18" t="s">
        <v>2731</v>
      </c>
      <c r="C18" t="s">
        <v>2730</v>
      </c>
      <c r="D18" t="s">
        <v>214</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8">
        <v>-5.0000000000000001E-3</v>
      </c>
    </row>
    <row r="19" spans="1:31">
      <c r="A19" t="s">
        <v>320</v>
      </c>
      <c r="B19" t="s">
        <v>2729</v>
      </c>
      <c r="C19" t="s">
        <v>2728</v>
      </c>
      <c r="D19" t="s">
        <v>214</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8">
        <v>-2E-3</v>
      </c>
    </row>
    <row r="20" spans="1:31">
      <c r="A20" t="s">
        <v>639</v>
      </c>
      <c r="B20" t="s">
        <v>2727</v>
      </c>
      <c r="C20" t="s">
        <v>2726</v>
      </c>
      <c r="D20" t="s">
        <v>214</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8">
        <v>5.0000000000000001E-3</v>
      </c>
    </row>
    <row r="21" spans="1:31">
      <c r="A21" t="s">
        <v>198</v>
      </c>
      <c r="B21" t="s">
        <v>2725</v>
      </c>
      <c r="C21" t="s">
        <v>2724</v>
      </c>
      <c r="D21" t="s">
        <v>214</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8">
        <v>-5.0000000000000001E-3</v>
      </c>
    </row>
    <row r="22" spans="1:31">
      <c r="A22" t="s">
        <v>321</v>
      </c>
      <c r="B22" t="s">
        <v>2723</v>
      </c>
      <c r="C22" t="s">
        <v>2722</v>
      </c>
      <c r="D22" t="s">
        <v>214</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8">
        <v>6.0000000000000001E-3</v>
      </c>
    </row>
    <row r="23" spans="1:31">
      <c r="A23" t="s">
        <v>632</v>
      </c>
      <c r="B23" t="s">
        <v>2721</v>
      </c>
      <c r="C23" t="s">
        <v>2720</v>
      </c>
      <c r="D23" t="s">
        <v>214</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8">
        <v>8.0000000000000002E-3</v>
      </c>
    </row>
    <row r="24" spans="1:31">
      <c r="A24" t="s">
        <v>322</v>
      </c>
      <c r="B24" t="s">
        <v>2719</v>
      </c>
      <c r="C24" t="s">
        <v>2718</v>
      </c>
      <c r="D24" t="s">
        <v>214</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8">
        <v>1.2999999999999999E-2</v>
      </c>
    </row>
    <row r="25" spans="1:31">
      <c r="A25" t="s">
        <v>197</v>
      </c>
      <c r="B25" t="s">
        <v>2717</v>
      </c>
      <c r="C25" t="s">
        <v>2716</v>
      </c>
      <c r="D25" t="s">
        <v>214</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8">
        <v>1.9E-2</v>
      </c>
    </row>
    <row r="26" spans="1:31">
      <c r="A26" t="s">
        <v>323</v>
      </c>
      <c r="B26" t="s">
        <v>2715</v>
      </c>
      <c r="C26" t="s">
        <v>2714</v>
      </c>
      <c r="D26" t="s">
        <v>214</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8">
        <v>1E-3</v>
      </c>
    </row>
    <row r="27" spans="1:31">
      <c r="A27" t="s">
        <v>623</v>
      </c>
      <c r="B27" t="s">
        <v>2713</v>
      </c>
      <c r="C27" t="s">
        <v>2712</v>
      </c>
      <c r="D27" t="s">
        <v>214</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8">
        <v>5.0000000000000001E-3</v>
      </c>
    </row>
    <row r="28" spans="1:31">
      <c r="A28" t="s">
        <v>112</v>
      </c>
    </row>
    <row r="29" spans="1:31">
      <c r="A29" t="s">
        <v>199</v>
      </c>
    </row>
    <row r="30" spans="1:31">
      <c r="A30" t="s">
        <v>190</v>
      </c>
    </row>
    <row r="31" spans="1:31">
      <c r="A31" t="s">
        <v>195</v>
      </c>
      <c r="B31" t="s">
        <v>2711</v>
      </c>
      <c r="C31" t="s">
        <v>2710</v>
      </c>
      <c r="D31" t="s">
        <v>186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8">
        <v>1.6E-2</v>
      </c>
    </row>
    <row r="32" spans="1:31">
      <c r="A32" t="s">
        <v>196</v>
      </c>
      <c r="B32" t="s">
        <v>2709</v>
      </c>
      <c r="C32" t="s">
        <v>2708</v>
      </c>
      <c r="D32" t="s">
        <v>186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8">
        <v>1.7000000000000001E-2</v>
      </c>
    </row>
    <row r="33" spans="1:31">
      <c r="A33" t="s">
        <v>653</v>
      </c>
      <c r="B33" t="s">
        <v>2707</v>
      </c>
      <c r="C33" t="s">
        <v>2706</v>
      </c>
      <c r="D33" t="s">
        <v>186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8">
        <v>3.5000000000000003E-2</v>
      </c>
    </row>
    <row r="34" spans="1:31">
      <c r="A34" t="s">
        <v>650</v>
      </c>
      <c r="B34" t="s">
        <v>2705</v>
      </c>
      <c r="C34" t="s">
        <v>2704</v>
      </c>
      <c r="D34" t="s">
        <v>186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8">
        <v>2.1000000000000001E-2</v>
      </c>
    </row>
    <row r="35" spans="1:31">
      <c r="A35" t="s">
        <v>317</v>
      </c>
      <c r="B35" t="s">
        <v>2703</v>
      </c>
      <c r="C35" t="s">
        <v>2702</v>
      </c>
      <c r="D35" t="s">
        <v>186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8">
        <v>5.0000000000000001E-3</v>
      </c>
    </row>
    <row r="36" spans="1:31">
      <c r="A36" t="s">
        <v>318</v>
      </c>
      <c r="B36" t="s">
        <v>2701</v>
      </c>
      <c r="C36" t="s">
        <v>2700</v>
      </c>
      <c r="D36" t="s">
        <v>186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8">
        <v>2.3E-2</v>
      </c>
    </row>
    <row r="37" spans="1:31">
      <c r="A37" t="s">
        <v>319</v>
      </c>
      <c r="B37" t="s">
        <v>2699</v>
      </c>
      <c r="C37" t="s">
        <v>2698</v>
      </c>
      <c r="D37" t="s">
        <v>186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8">
        <v>0.01</v>
      </c>
    </row>
    <row r="38" spans="1:31">
      <c r="A38" t="s">
        <v>320</v>
      </c>
      <c r="B38" t="s">
        <v>2697</v>
      </c>
      <c r="C38" t="s">
        <v>2696</v>
      </c>
      <c r="D38" t="s">
        <v>186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8">
        <v>1.2E-2</v>
      </c>
    </row>
    <row r="39" spans="1:31">
      <c r="A39" t="s">
        <v>639</v>
      </c>
      <c r="B39" t="s">
        <v>2695</v>
      </c>
      <c r="C39" t="s">
        <v>2694</v>
      </c>
      <c r="D39" t="s">
        <v>186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8">
        <v>3.2000000000000001E-2</v>
      </c>
    </row>
    <row r="40" spans="1:31">
      <c r="A40" t="s">
        <v>198</v>
      </c>
      <c r="B40" t="s">
        <v>2693</v>
      </c>
      <c r="C40" t="s">
        <v>2692</v>
      </c>
      <c r="D40" t="s">
        <v>186</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8">
        <v>4.2999999999999997E-2</v>
      </c>
    </row>
    <row r="41" spans="1:31">
      <c r="A41" t="s">
        <v>321</v>
      </c>
      <c r="B41" t="s">
        <v>2691</v>
      </c>
      <c r="C41" t="s">
        <v>2690</v>
      </c>
      <c r="D41" t="s">
        <v>186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8">
        <v>0.06</v>
      </c>
    </row>
    <row r="42" spans="1:31">
      <c r="A42" t="s">
        <v>632</v>
      </c>
      <c r="B42" t="s">
        <v>2689</v>
      </c>
      <c r="C42" t="s">
        <v>2688</v>
      </c>
      <c r="D42" t="s">
        <v>186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8">
        <v>4.2999999999999997E-2</v>
      </c>
    </row>
    <row r="43" spans="1:31">
      <c r="A43" t="s">
        <v>322</v>
      </c>
      <c r="B43" t="s">
        <v>2687</v>
      </c>
      <c r="C43" t="s">
        <v>2686</v>
      </c>
      <c r="D43" t="s">
        <v>186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8">
        <v>3.5999999999999997E-2</v>
      </c>
    </row>
    <row r="44" spans="1:31">
      <c r="A44" t="s">
        <v>197</v>
      </c>
      <c r="B44" t="s">
        <v>2685</v>
      </c>
      <c r="C44" t="s">
        <v>2684</v>
      </c>
      <c r="D44" t="s">
        <v>186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8">
        <v>4.2999999999999997E-2</v>
      </c>
    </row>
    <row r="45" spans="1:31">
      <c r="A45" t="s">
        <v>323</v>
      </c>
      <c r="B45" t="s">
        <v>2683</v>
      </c>
      <c r="C45" t="s">
        <v>2682</v>
      </c>
      <c r="D45" t="s">
        <v>186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8">
        <v>1.6E-2</v>
      </c>
    </row>
    <row r="46" spans="1:31">
      <c r="A46" t="s">
        <v>623</v>
      </c>
      <c r="B46" t="s">
        <v>2681</v>
      </c>
      <c r="C46" t="s">
        <v>2680</v>
      </c>
      <c r="D46" t="s">
        <v>186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8">
        <v>2.4E-2</v>
      </c>
    </row>
    <row r="47" spans="1:31">
      <c r="A47" t="s">
        <v>324</v>
      </c>
      <c r="B47" t="s">
        <v>2679</v>
      </c>
      <c r="C47" t="s">
        <v>2678</v>
      </c>
      <c r="D47" t="s">
        <v>186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8">
        <v>0.03</v>
      </c>
    </row>
    <row r="48" spans="1:31">
      <c r="A48" t="s">
        <v>191</v>
      </c>
    </row>
    <row r="49" spans="1:31">
      <c r="A49" t="s">
        <v>195</v>
      </c>
      <c r="B49" t="s">
        <v>2677</v>
      </c>
      <c r="C49" t="s">
        <v>2676</v>
      </c>
      <c r="D49" t="s">
        <v>186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8">
        <v>0.02</v>
      </c>
    </row>
    <row r="50" spans="1:31">
      <c r="A50" t="s">
        <v>196</v>
      </c>
      <c r="B50" t="s">
        <v>2675</v>
      </c>
      <c r="C50" t="s">
        <v>2674</v>
      </c>
      <c r="D50" t="s">
        <v>186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8">
        <v>2.5000000000000001E-2</v>
      </c>
    </row>
    <row r="51" spans="1:31">
      <c r="A51" t="s">
        <v>653</v>
      </c>
      <c r="B51" t="s">
        <v>2673</v>
      </c>
      <c r="C51" t="s">
        <v>2672</v>
      </c>
      <c r="D51" t="s">
        <v>186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8">
        <v>0.03</v>
      </c>
    </row>
    <row r="52" spans="1:31">
      <c r="A52" t="s">
        <v>650</v>
      </c>
      <c r="B52" t="s">
        <v>2671</v>
      </c>
      <c r="C52" t="s">
        <v>2670</v>
      </c>
      <c r="D52" t="s">
        <v>186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8">
        <v>1.9E-2</v>
      </c>
    </row>
    <row r="53" spans="1:31">
      <c r="A53" t="s">
        <v>317</v>
      </c>
      <c r="B53" t="s">
        <v>2669</v>
      </c>
      <c r="C53" t="s">
        <v>2668</v>
      </c>
      <c r="D53" t="s">
        <v>186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8">
        <v>1E-3</v>
      </c>
    </row>
    <row r="54" spans="1:31">
      <c r="A54" t="s">
        <v>318</v>
      </c>
      <c r="B54" t="s">
        <v>2667</v>
      </c>
      <c r="C54" t="s">
        <v>2666</v>
      </c>
      <c r="D54" t="s">
        <v>186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8">
        <v>2.8000000000000001E-2</v>
      </c>
    </row>
    <row r="55" spans="1:31">
      <c r="A55" t="s">
        <v>319</v>
      </c>
      <c r="B55" t="s">
        <v>2665</v>
      </c>
      <c r="C55" t="s">
        <v>2664</v>
      </c>
      <c r="D55" t="s">
        <v>186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8">
        <v>0.03</v>
      </c>
    </row>
    <row r="56" spans="1:31">
      <c r="A56" t="s">
        <v>320</v>
      </c>
      <c r="B56" t="s">
        <v>2663</v>
      </c>
      <c r="C56" t="s">
        <v>2662</v>
      </c>
      <c r="D56" t="s">
        <v>186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8">
        <v>3.5000000000000003E-2</v>
      </c>
    </row>
    <row r="57" spans="1:31">
      <c r="A57" t="s">
        <v>639</v>
      </c>
      <c r="B57" t="s">
        <v>2661</v>
      </c>
      <c r="C57" t="s">
        <v>2660</v>
      </c>
      <c r="D57" t="s">
        <v>186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8">
        <v>3.4000000000000002E-2</v>
      </c>
    </row>
    <row r="58" spans="1:31">
      <c r="A58" t="s">
        <v>198</v>
      </c>
      <c r="B58" t="s">
        <v>2659</v>
      </c>
      <c r="C58" t="s">
        <v>2658</v>
      </c>
      <c r="D58" t="s">
        <v>186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8">
        <v>4.3999999999999997E-2</v>
      </c>
    </row>
    <row r="59" spans="1:31">
      <c r="A59" t="s">
        <v>321</v>
      </c>
      <c r="B59" t="s">
        <v>2657</v>
      </c>
      <c r="C59" t="s">
        <v>2656</v>
      </c>
      <c r="D59" t="s">
        <v>186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8">
        <v>5.2999999999999999E-2</v>
      </c>
    </row>
    <row r="60" spans="1:31">
      <c r="A60" t="s">
        <v>632</v>
      </c>
      <c r="B60" t="s">
        <v>2655</v>
      </c>
      <c r="C60" t="s">
        <v>2654</v>
      </c>
      <c r="D60" t="s">
        <v>186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8">
        <v>3.6999999999999998E-2</v>
      </c>
    </row>
    <row r="61" spans="1:31">
      <c r="A61" t="s">
        <v>322</v>
      </c>
      <c r="B61" t="s">
        <v>2653</v>
      </c>
      <c r="C61" t="s">
        <v>2652</v>
      </c>
      <c r="D61" t="s">
        <v>186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8">
        <v>0.04</v>
      </c>
    </row>
    <row r="62" spans="1:31">
      <c r="A62" t="s">
        <v>197</v>
      </c>
      <c r="B62" t="s">
        <v>2651</v>
      </c>
      <c r="C62" t="s">
        <v>2650</v>
      </c>
      <c r="D62" t="s">
        <v>186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8">
        <v>3.9E-2</v>
      </c>
    </row>
    <row r="63" spans="1:31">
      <c r="A63" t="s">
        <v>323</v>
      </c>
      <c r="B63" t="s">
        <v>2649</v>
      </c>
      <c r="C63" t="s">
        <v>2648</v>
      </c>
      <c r="D63" t="s">
        <v>186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8">
        <v>1.9E-2</v>
      </c>
    </row>
    <row r="64" spans="1:31">
      <c r="A64" t="s">
        <v>623</v>
      </c>
      <c r="B64" t="s">
        <v>2647</v>
      </c>
      <c r="C64" t="s">
        <v>2646</v>
      </c>
      <c r="D64" t="s">
        <v>186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8">
        <v>0.03</v>
      </c>
    </row>
    <row r="65" spans="1:31">
      <c r="A65" t="s">
        <v>325</v>
      </c>
      <c r="B65" t="s">
        <v>2645</v>
      </c>
      <c r="C65" t="s">
        <v>2643</v>
      </c>
      <c r="D65" t="s">
        <v>186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8">
        <v>0.03</v>
      </c>
    </row>
    <row r="66" spans="1:31">
      <c r="A66" t="s">
        <v>110</v>
      </c>
      <c r="B66" t="s">
        <v>2644</v>
      </c>
      <c r="C66" t="s">
        <v>2643</v>
      </c>
      <c r="D66" t="s">
        <v>186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8">
        <v>0.03</v>
      </c>
    </row>
    <row r="67" spans="1:31" s="5" customFormat="1">
      <c r="A67" s="5" t="s">
        <v>200</v>
      </c>
    </row>
    <row r="68" spans="1:31" s="5" customFormat="1">
      <c r="A68" s="5" t="s">
        <v>195</v>
      </c>
      <c r="B68" s="5" t="s">
        <v>2642</v>
      </c>
      <c r="C68" s="5" t="s">
        <v>2641</v>
      </c>
      <c r="D68" s="5" t="s">
        <v>186</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0">
        <v>1.9E-2</v>
      </c>
    </row>
    <row r="69" spans="1:31">
      <c r="A69" t="s">
        <v>196</v>
      </c>
      <c r="B69" t="s">
        <v>2640</v>
      </c>
      <c r="C69" t="s">
        <v>2639</v>
      </c>
      <c r="D69" t="s">
        <v>186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8">
        <v>4.0000000000000001E-3</v>
      </c>
    </row>
    <row r="70" spans="1:31">
      <c r="A70" t="s">
        <v>653</v>
      </c>
      <c r="B70" t="s">
        <v>2638</v>
      </c>
      <c r="C70" t="s">
        <v>2637</v>
      </c>
      <c r="D70" t="s">
        <v>186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8">
        <v>2.5999999999999999E-2</v>
      </c>
    </row>
    <row r="71" spans="1:31">
      <c r="A71" t="s">
        <v>650</v>
      </c>
      <c r="B71" t="s">
        <v>2636</v>
      </c>
      <c r="C71" t="s">
        <v>2635</v>
      </c>
      <c r="D71" t="s">
        <v>186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8">
        <v>2.9000000000000001E-2</v>
      </c>
    </row>
    <row r="72" spans="1:31">
      <c r="A72" t="s">
        <v>317</v>
      </c>
      <c r="B72" t="s">
        <v>2634</v>
      </c>
      <c r="C72" t="s">
        <v>2633</v>
      </c>
      <c r="D72" t="s">
        <v>186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8">
        <v>2E-3</v>
      </c>
    </row>
    <row r="73" spans="1:31">
      <c r="A73" t="s">
        <v>318</v>
      </c>
      <c r="B73" t="s">
        <v>2632</v>
      </c>
      <c r="C73" t="s">
        <v>2631</v>
      </c>
      <c r="D73" t="s">
        <v>186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8">
        <v>1.7000000000000001E-2</v>
      </c>
    </row>
    <row r="74" spans="1:31">
      <c r="A74" t="s">
        <v>319</v>
      </c>
      <c r="B74" t="s">
        <v>2630</v>
      </c>
      <c r="C74" t="s">
        <v>2629</v>
      </c>
      <c r="D74" t="s">
        <v>186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8">
        <v>1.4E-2</v>
      </c>
    </row>
    <row r="75" spans="1:31">
      <c r="A75" t="s">
        <v>320</v>
      </c>
      <c r="B75" t="s">
        <v>2628</v>
      </c>
      <c r="C75" t="s">
        <v>2627</v>
      </c>
      <c r="D75" t="s">
        <v>186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8">
        <v>1.6E-2</v>
      </c>
    </row>
    <row r="76" spans="1:31">
      <c r="A76" t="s">
        <v>639</v>
      </c>
      <c r="B76" t="s">
        <v>2626</v>
      </c>
      <c r="C76" t="s">
        <v>2625</v>
      </c>
      <c r="D76" t="s">
        <v>186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8">
        <v>-3.9E-2</v>
      </c>
    </row>
    <row r="77" spans="1:31">
      <c r="A77" t="s">
        <v>198</v>
      </c>
      <c r="B77" t="s">
        <v>2624</v>
      </c>
      <c r="C77" t="s">
        <v>2623</v>
      </c>
      <c r="D77" t="s">
        <v>186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8">
        <v>2.5000000000000001E-2</v>
      </c>
    </row>
    <row r="78" spans="1:31">
      <c r="A78" t="s">
        <v>321</v>
      </c>
      <c r="B78" t="s">
        <v>2622</v>
      </c>
      <c r="C78" t="s">
        <v>2621</v>
      </c>
      <c r="D78" t="s">
        <v>186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8">
        <v>3.4000000000000002E-2</v>
      </c>
    </row>
    <row r="79" spans="1:31">
      <c r="A79" t="s">
        <v>632</v>
      </c>
      <c r="B79" t="s">
        <v>2620</v>
      </c>
      <c r="C79" t="s">
        <v>2619</v>
      </c>
      <c r="D79" t="s">
        <v>186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8">
        <v>1.2E-2</v>
      </c>
    </row>
    <row r="80" spans="1:31">
      <c r="A80" t="s">
        <v>322</v>
      </c>
      <c r="B80" t="s">
        <v>2618</v>
      </c>
      <c r="C80" t="s">
        <v>2617</v>
      </c>
      <c r="D80" t="s">
        <v>186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8">
        <v>-1.7999999999999999E-2</v>
      </c>
    </row>
    <row r="81" spans="1:31">
      <c r="A81" t="s">
        <v>197</v>
      </c>
      <c r="B81" t="s">
        <v>2616</v>
      </c>
      <c r="C81" t="s">
        <v>2615</v>
      </c>
      <c r="D81" t="s">
        <v>186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8">
        <v>3.5999999999999997E-2</v>
      </c>
    </row>
    <row r="82" spans="1:31">
      <c r="A82" t="s">
        <v>323</v>
      </c>
      <c r="B82" t="s">
        <v>2614</v>
      </c>
      <c r="C82" t="s">
        <v>2613</v>
      </c>
      <c r="D82" t="s">
        <v>186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8">
        <v>8.9999999999999993E-3</v>
      </c>
    </row>
    <row r="83" spans="1:31">
      <c r="A83" t="s">
        <v>623</v>
      </c>
      <c r="B83" t="s">
        <v>2612</v>
      </c>
      <c r="C83" t="s">
        <v>2611</v>
      </c>
      <c r="D83" t="s">
        <v>186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8">
        <v>3.5000000000000003E-2</v>
      </c>
    </row>
    <row r="84" spans="1:31">
      <c r="A84" t="s">
        <v>324</v>
      </c>
      <c r="B84" t="s">
        <v>2610</v>
      </c>
      <c r="C84" t="s">
        <v>2607</v>
      </c>
      <c r="D84" t="s">
        <v>186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8">
        <v>1.4999999999999999E-2</v>
      </c>
    </row>
    <row r="85" spans="1:31">
      <c r="A85" t="s">
        <v>325</v>
      </c>
      <c r="B85" t="s">
        <v>2609</v>
      </c>
      <c r="C85" t="s">
        <v>2607</v>
      </c>
      <c r="D85" t="s">
        <v>186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8">
        <v>2.1999999999999999E-2</v>
      </c>
    </row>
    <row r="86" spans="1:31">
      <c r="A86" t="s">
        <v>110</v>
      </c>
      <c r="B86" t="s">
        <v>2608</v>
      </c>
      <c r="C86" t="s">
        <v>2607</v>
      </c>
      <c r="D86" t="s">
        <v>186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8">
        <v>0.02</v>
      </c>
    </row>
    <row r="87" spans="1:31">
      <c r="A87" t="s">
        <v>111</v>
      </c>
    </row>
    <row r="88" spans="1:31">
      <c r="A88" t="s">
        <v>195</v>
      </c>
      <c r="B88" t="s">
        <v>2606</v>
      </c>
      <c r="C88" t="s">
        <v>2605</v>
      </c>
      <c r="D88" t="s">
        <v>186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8">
        <v>1.7000000000000001E-2</v>
      </c>
    </row>
    <row r="89" spans="1:31">
      <c r="A89" t="s">
        <v>201</v>
      </c>
      <c r="B89" t="s">
        <v>2604</v>
      </c>
      <c r="C89" t="s">
        <v>2603</v>
      </c>
      <c r="D89" t="s">
        <v>186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8">
        <v>1.6E-2</v>
      </c>
    </row>
    <row r="90" spans="1:31">
      <c r="A90" t="s">
        <v>202</v>
      </c>
      <c r="B90" t="s">
        <v>2602</v>
      </c>
      <c r="C90" t="s">
        <v>2601</v>
      </c>
      <c r="D90" t="s">
        <v>186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8">
        <v>1.9E-2</v>
      </c>
    </row>
    <row r="91" spans="1:31">
      <c r="A91" t="s">
        <v>203</v>
      </c>
      <c r="B91" t="s">
        <v>2600</v>
      </c>
      <c r="C91" t="s">
        <v>2599</v>
      </c>
      <c r="D91" t="s">
        <v>186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8">
        <v>1.6E-2</v>
      </c>
    </row>
    <row r="92" spans="1:31">
      <c r="A92" t="s">
        <v>196</v>
      </c>
      <c r="B92" t="s">
        <v>2598</v>
      </c>
      <c r="C92" t="s">
        <v>2597</v>
      </c>
      <c r="D92" t="s">
        <v>186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8">
        <v>2.1999999999999999E-2</v>
      </c>
    </row>
    <row r="93" spans="1:31">
      <c r="A93" t="s">
        <v>201</v>
      </c>
      <c r="B93" t="s">
        <v>2596</v>
      </c>
      <c r="C93" t="s">
        <v>2595</v>
      </c>
      <c r="D93" t="s">
        <v>186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8">
        <v>1.9E-2</v>
      </c>
    </row>
    <row r="94" spans="1:31">
      <c r="A94" t="s">
        <v>202</v>
      </c>
      <c r="B94" t="s">
        <v>2594</v>
      </c>
      <c r="C94" t="s">
        <v>2593</v>
      </c>
      <c r="D94" t="s">
        <v>186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8">
        <v>2.4E-2</v>
      </c>
    </row>
    <row r="95" spans="1:31">
      <c r="A95" t="s">
        <v>203</v>
      </c>
      <c r="B95" t="s">
        <v>2592</v>
      </c>
      <c r="C95" t="s">
        <v>2591</v>
      </c>
      <c r="D95" t="s">
        <v>186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8">
        <v>0.02</v>
      </c>
    </row>
    <row r="96" spans="1:31">
      <c r="A96" t="s">
        <v>653</v>
      </c>
      <c r="B96" t="s">
        <v>2590</v>
      </c>
      <c r="C96" t="s">
        <v>2589</v>
      </c>
      <c r="D96" t="s">
        <v>186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8">
        <v>3.2000000000000001E-2</v>
      </c>
    </row>
    <row r="97" spans="1:31">
      <c r="A97" t="s">
        <v>201</v>
      </c>
      <c r="B97" t="s">
        <v>2588</v>
      </c>
      <c r="C97" t="s">
        <v>2587</v>
      </c>
      <c r="D97" t="s">
        <v>186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8">
        <v>3.2000000000000001E-2</v>
      </c>
    </row>
    <row r="98" spans="1:31">
      <c r="A98" t="s">
        <v>202</v>
      </c>
      <c r="B98" t="s">
        <v>2586</v>
      </c>
      <c r="C98" t="s">
        <v>2585</v>
      </c>
      <c r="D98" t="s">
        <v>186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8">
        <v>0.03</v>
      </c>
    </row>
    <row r="99" spans="1:31">
      <c r="A99" t="s">
        <v>203</v>
      </c>
      <c r="B99" t="s">
        <v>2584</v>
      </c>
      <c r="C99" t="s">
        <v>2583</v>
      </c>
      <c r="D99" t="s">
        <v>186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8">
        <v>3.4000000000000002E-2</v>
      </c>
    </row>
    <row r="100" spans="1:31">
      <c r="A100" t="s">
        <v>650</v>
      </c>
      <c r="B100" t="s">
        <v>2582</v>
      </c>
      <c r="C100" t="s">
        <v>2581</v>
      </c>
      <c r="D100" t="s">
        <v>186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8">
        <v>1.9E-2</v>
      </c>
    </row>
    <row r="101" spans="1:31">
      <c r="A101" t="s">
        <v>201</v>
      </c>
      <c r="B101" t="s">
        <v>2580</v>
      </c>
      <c r="C101" t="s">
        <v>2579</v>
      </c>
      <c r="D101" t="s">
        <v>186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8">
        <v>0.02</v>
      </c>
    </row>
    <row r="102" spans="1:31">
      <c r="A102" t="s">
        <v>202</v>
      </c>
      <c r="B102" t="s">
        <v>2578</v>
      </c>
      <c r="C102" t="s">
        <v>2577</v>
      </c>
      <c r="D102" t="s">
        <v>186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8">
        <v>1.7999999999999999E-2</v>
      </c>
    </row>
    <row r="103" spans="1:31">
      <c r="A103" t="s">
        <v>203</v>
      </c>
      <c r="B103" t="s">
        <v>2576</v>
      </c>
      <c r="C103" t="s">
        <v>2575</v>
      </c>
      <c r="D103" t="s">
        <v>186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8">
        <v>0.02</v>
      </c>
    </row>
    <row r="104" spans="1:31">
      <c r="A104" t="s">
        <v>317</v>
      </c>
      <c r="B104" t="s">
        <v>2574</v>
      </c>
      <c r="C104" t="s">
        <v>2573</v>
      </c>
      <c r="D104" t="s">
        <v>186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8">
        <v>1E-3</v>
      </c>
    </row>
    <row r="105" spans="1:31">
      <c r="A105" t="s">
        <v>201</v>
      </c>
      <c r="B105" t="s">
        <v>2572</v>
      </c>
      <c r="C105" t="s">
        <v>2571</v>
      </c>
      <c r="D105" t="s">
        <v>186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8">
        <v>4.0000000000000001E-3</v>
      </c>
    </row>
    <row r="106" spans="1:31">
      <c r="A106" t="s">
        <v>202</v>
      </c>
      <c r="B106" t="s">
        <v>2570</v>
      </c>
      <c r="C106" t="s">
        <v>2569</v>
      </c>
      <c r="D106" t="s">
        <v>186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8">
        <v>0</v>
      </c>
    </row>
    <row r="107" spans="1:31">
      <c r="A107" t="s">
        <v>203</v>
      </c>
      <c r="B107" t="s">
        <v>2568</v>
      </c>
      <c r="C107" t="s">
        <v>2567</v>
      </c>
      <c r="D107" t="s">
        <v>186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8">
        <v>5.0000000000000001E-3</v>
      </c>
    </row>
    <row r="108" spans="1:31">
      <c r="A108" t="s">
        <v>318</v>
      </c>
      <c r="B108" t="s">
        <v>2566</v>
      </c>
      <c r="C108" t="s">
        <v>2565</v>
      </c>
      <c r="D108" t="s">
        <v>186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8">
        <v>2.5000000000000001E-2</v>
      </c>
    </row>
    <row r="109" spans="1:31">
      <c r="A109" t="s">
        <v>201</v>
      </c>
      <c r="B109" t="s">
        <v>2564</v>
      </c>
      <c r="C109" t="s">
        <v>2563</v>
      </c>
      <c r="D109" t="s">
        <v>186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8">
        <v>2.3E-2</v>
      </c>
    </row>
    <row r="110" spans="1:31">
      <c r="A110" t="s">
        <v>202</v>
      </c>
      <c r="B110" t="s">
        <v>2562</v>
      </c>
      <c r="C110" t="s">
        <v>2561</v>
      </c>
      <c r="D110" t="s">
        <v>186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8">
        <v>2.7E-2</v>
      </c>
    </row>
    <row r="111" spans="1:31">
      <c r="A111" t="s">
        <v>203</v>
      </c>
      <c r="B111" t="s">
        <v>2560</v>
      </c>
      <c r="C111" t="s">
        <v>2559</v>
      </c>
      <c r="D111" t="s">
        <v>186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8">
        <v>2.3E-2</v>
      </c>
    </row>
    <row r="112" spans="1:31">
      <c r="A112" t="s">
        <v>319</v>
      </c>
      <c r="B112" t="s">
        <v>2558</v>
      </c>
      <c r="C112" t="s">
        <v>2557</v>
      </c>
      <c r="D112" t="s">
        <v>186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8">
        <v>2.8000000000000001E-2</v>
      </c>
    </row>
    <row r="113" spans="1:31">
      <c r="A113" t="s">
        <v>201</v>
      </c>
      <c r="B113" t="s">
        <v>2556</v>
      </c>
      <c r="C113" t="s">
        <v>2555</v>
      </c>
      <c r="D113" t="s">
        <v>186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8">
        <v>2.3E-2</v>
      </c>
    </row>
    <row r="114" spans="1:31">
      <c r="A114" t="s">
        <v>202</v>
      </c>
      <c r="B114" t="s">
        <v>2554</v>
      </c>
      <c r="C114" t="s">
        <v>2553</v>
      </c>
      <c r="D114" t="s">
        <v>186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8">
        <v>2.9000000000000001E-2</v>
      </c>
    </row>
    <row r="115" spans="1:31">
      <c r="A115" t="s">
        <v>203</v>
      </c>
      <c r="B115" t="s">
        <v>2552</v>
      </c>
      <c r="C115" t="s">
        <v>2551</v>
      </c>
      <c r="D115" t="s">
        <v>186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8">
        <v>1.7999999999999999E-2</v>
      </c>
    </row>
    <row r="116" spans="1:31">
      <c r="A116" t="s">
        <v>320</v>
      </c>
      <c r="B116" t="s">
        <v>2550</v>
      </c>
      <c r="C116" t="s">
        <v>2549</v>
      </c>
      <c r="D116" t="s">
        <v>186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8">
        <v>2.3E-2</v>
      </c>
    </row>
    <row r="117" spans="1:31">
      <c r="A117" t="s">
        <v>201</v>
      </c>
      <c r="B117" t="s">
        <v>2548</v>
      </c>
      <c r="C117" t="s">
        <v>2547</v>
      </c>
      <c r="D117" t="s">
        <v>186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8">
        <v>0.02</v>
      </c>
    </row>
    <row r="118" spans="1:31">
      <c r="A118" t="s">
        <v>202</v>
      </c>
      <c r="B118" t="s">
        <v>2546</v>
      </c>
      <c r="C118" t="s">
        <v>2545</v>
      </c>
      <c r="D118" t="s">
        <v>186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8">
        <v>3.1E-2</v>
      </c>
    </row>
    <row r="119" spans="1:31">
      <c r="A119" t="s">
        <v>203</v>
      </c>
      <c r="B119" t="s">
        <v>2544</v>
      </c>
      <c r="C119" t="s">
        <v>2543</v>
      </c>
      <c r="D119" t="s">
        <v>186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8">
        <v>1.6E-2</v>
      </c>
    </row>
    <row r="120" spans="1:31">
      <c r="A120" t="s">
        <v>639</v>
      </c>
      <c r="B120" t="s">
        <v>2542</v>
      </c>
      <c r="C120" t="s">
        <v>2541</v>
      </c>
      <c r="D120" t="s">
        <v>186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8">
        <v>3.3000000000000002E-2</v>
      </c>
    </row>
    <row r="121" spans="1:31">
      <c r="A121" t="s">
        <v>201</v>
      </c>
      <c r="B121" t="s">
        <v>2540</v>
      </c>
      <c r="C121" t="s">
        <v>2539</v>
      </c>
      <c r="D121" t="s">
        <v>186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8">
        <v>3.3000000000000002E-2</v>
      </c>
    </row>
    <row r="122" spans="1:31">
      <c r="A122" t="s">
        <v>202</v>
      </c>
      <c r="B122" t="s">
        <v>2538</v>
      </c>
      <c r="C122" t="s">
        <v>2537</v>
      </c>
      <c r="D122" t="s">
        <v>186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8">
        <v>3.3000000000000002E-2</v>
      </c>
    </row>
    <row r="123" spans="1:31">
      <c r="A123" t="s">
        <v>203</v>
      </c>
      <c r="B123" t="s">
        <v>2536</v>
      </c>
      <c r="C123" t="s">
        <v>2535</v>
      </c>
      <c r="D123" t="s">
        <v>186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8">
        <v>3.2000000000000001E-2</v>
      </c>
    </row>
    <row r="124" spans="1:31">
      <c r="A124" t="s">
        <v>198</v>
      </c>
      <c r="B124" t="s">
        <v>2534</v>
      </c>
      <c r="C124" t="s">
        <v>2533</v>
      </c>
      <c r="D124" t="s">
        <v>186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8">
        <v>4.2999999999999997E-2</v>
      </c>
    </row>
    <row r="125" spans="1:31">
      <c r="A125" t="s">
        <v>201</v>
      </c>
      <c r="B125" t="s">
        <v>2532</v>
      </c>
      <c r="C125" t="s">
        <v>2531</v>
      </c>
      <c r="D125" t="s">
        <v>186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8">
        <v>4.2000000000000003E-2</v>
      </c>
    </row>
    <row r="126" spans="1:31">
      <c r="A126" t="s">
        <v>202</v>
      </c>
      <c r="B126" t="s">
        <v>2530</v>
      </c>
      <c r="C126" t="s">
        <v>2529</v>
      </c>
      <c r="D126" t="s">
        <v>186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8">
        <v>4.2999999999999997E-2</v>
      </c>
    </row>
    <row r="127" spans="1:31">
      <c r="A127" t="s">
        <v>203</v>
      </c>
      <c r="B127" t="s">
        <v>2528</v>
      </c>
      <c r="C127" t="s">
        <v>2527</v>
      </c>
      <c r="D127" t="s">
        <v>186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8">
        <v>4.2000000000000003E-2</v>
      </c>
    </row>
    <row r="128" spans="1:31">
      <c r="A128" t="s">
        <v>321</v>
      </c>
      <c r="B128" t="s">
        <v>2526</v>
      </c>
      <c r="C128" t="s">
        <v>2525</v>
      </c>
      <c r="D128" t="s">
        <v>186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8">
        <v>5.6000000000000001E-2</v>
      </c>
    </row>
    <row r="129" spans="1:31">
      <c r="A129" t="s">
        <v>201</v>
      </c>
      <c r="B129" t="s">
        <v>2524</v>
      </c>
      <c r="C129" t="s">
        <v>2523</v>
      </c>
      <c r="D129" t="s">
        <v>186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8">
        <v>5.7000000000000002E-2</v>
      </c>
    </row>
    <row r="130" spans="1:31">
      <c r="A130" t="s">
        <v>202</v>
      </c>
      <c r="B130" t="s">
        <v>2522</v>
      </c>
      <c r="C130" t="s">
        <v>2521</v>
      </c>
      <c r="D130" t="s">
        <v>186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8">
        <v>5.1999999999999998E-2</v>
      </c>
    </row>
    <row r="131" spans="1:31">
      <c r="A131" t="s">
        <v>203</v>
      </c>
      <c r="B131" t="s">
        <v>2520</v>
      </c>
      <c r="C131" t="s">
        <v>2519</v>
      </c>
      <c r="D131" t="s">
        <v>186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8">
        <v>5.8999999999999997E-2</v>
      </c>
    </row>
    <row r="132" spans="1:31">
      <c r="A132" t="s">
        <v>632</v>
      </c>
      <c r="B132" t="s">
        <v>2518</v>
      </c>
      <c r="C132" t="s">
        <v>2517</v>
      </c>
      <c r="D132" t="s">
        <v>186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8">
        <v>3.7999999999999999E-2</v>
      </c>
    </row>
    <row r="133" spans="1:31">
      <c r="A133" t="s">
        <v>201</v>
      </c>
      <c r="B133" t="s">
        <v>2516</v>
      </c>
      <c r="C133" t="s">
        <v>2515</v>
      </c>
      <c r="D133" t="s">
        <v>186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8">
        <v>0.04</v>
      </c>
    </row>
    <row r="134" spans="1:31">
      <c r="A134" t="s">
        <v>202</v>
      </c>
      <c r="B134" t="s">
        <v>2514</v>
      </c>
      <c r="C134" t="s">
        <v>2513</v>
      </c>
      <c r="D134" t="s">
        <v>186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8">
        <v>3.5999999999999997E-2</v>
      </c>
    </row>
    <row r="135" spans="1:31">
      <c r="A135" t="s">
        <v>203</v>
      </c>
      <c r="B135" t="s">
        <v>2512</v>
      </c>
      <c r="C135" t="s">
        <v>2511</v>
      </c>
      <c r="D135" t="s">
        <v>186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8">
        <v>4.2000000000000003E-2</v>
      </c>
    </row>
    <row r="136" spans="1:31">
      <c r="A136" t="s">
        <v>322</v>
      </c>
      <c r="B136" t="s">
        <v>2510</v>
      </c>
      <c r="C136" t="s">
        <v>2509</v>
      </c>
      <c r="D136" t="s">
        <v>186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8">
        <v>3.9E-2</v>
      </c>
    </row>
    <row r="137" spans="1:31">
      <c r="A137" t="s">
        <v>201</v>
      </c>
      <c r="B137" t="s">
        <v>2508</v>
      </c>
      <c r="C137" t="s">
        <v>2507</v>
      </c>
      <c r="D137" t="s">
        <v>186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8">
        <v>3.7999999999999999E-2</v>
      </c>
    </row>
    <row r="138" spans="1:31">
      <c r="A138" t="s">
        <v>202</v>
      </c>
      <c r="B138" t="s">
        <v>2506</v>
      </c>
      <c r="C138" t="s">
        <v>2505</v>
      </c>
      <c r="D138" t="s">
        <v>186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8">
        <v>3.9E-2</v>
      </c>
    </row>
    <row r="139" spans="1:31">
      <c r="A139" t="s">
        <v>203</v>
      </c>
      <c r="B139" t="s">
        <v>2504</v>
      </c>
      <c r="C139" t="s">
        <v>2503</v>
      </c>
      <c r="D139" t="s">
        <v>186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8">
        <v>3.5000000000000003E-2</v>
      </c>
    </row>
    <row r="140" spans="1:31">
      <c r="A140" t="s">
        <v>197</v>
      </c>
      <c r="B140" t="s">
        <v>2502</v>
      </c>
      <c r="C140" t="s">
        <v>2501</v>
      </c>
      <c r="D140" t="s">
        <v>186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8">
        <v>0.04</v>
      </c>
    </row>
    <row r="141" spans="1:31">
      <c r="A141" t="s">
        <v>201</v>
      </c>
      <c r="B141" t="s">
        <v>2500</v>
      </c>
      <c r="C141" t="s">
        <v>2499</v>
      </c>
      <c r="D141" t="s">
        <v>186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8">
        <v>0.04</v>
      </c>
    </row>
    <row r="142" spans="1:31">
      <c r="A142" t="s">
        <v>202</v>
      </c>
      <c r="B142" t="s">
        <v>2498</v>
      </c>
      <c r="C142" t="s">
        <v>2497</v>
      </c>
      <c r="D142" t="s">
        <v>186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8">
        <v>3.9E-2</v>
      </c>
    </row>
    <row r="143" spans="1:31">
      <c r="A143" t="s">
        <v>203</v>
      </c>
      <c r="B143" t="s">
        <v>2496</v>
      </c>
      <c r="C143" t="s">
        <v>2495</v>
      </c>
      <c r="D143" t="s">
        <v>186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8">
        <v>4.2000000000000003E-2</v>
      </c>
    </row>
    <row r="144" spans="1:31">
      <c r="A144" t="s">
        <v>323</v>
      </c>
      <c r="B144" t="s">
        <v>2494</v>
      </c>
      <c r="C144" t="s">
        <v>2493</v>
      </c>
      <c r="D144" t="s">
        <v>186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8">
        <v>1.6E-2</v>
      </c>
    </row>
    <row r="145" spans="1:31">
      <c r="A145" t="s">
        <v>201</v>
      </c>
      <c r="B145" t="s">
        <v>2492</v>
      </c>
      <c r="C145" t="s">
        <v>2491</v>
      </c>
      <c r="D145" t="s">
        <v>186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8">
        <v>1.6E-2</v>
      </c>
    </row>
    <row r="146" spans="1:31">
      <c r="A146" t="s">
        <v>202</v>
      </c>
      <c r="B146" t="s">
        <v>2490</v>
      </c>
      <c r="C146" t="s">
        <v>2489</v>
      </c>
      <c r="D146" t="s">
        <v>186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8">
        <v>1.7999999999999999E-2</v>
      </c>
    </row>
    <row r="147" spans="1:31">
      <c r="A147" t="s">
        <v>203</v>
      </c>
      <c r="B147" t="s">
        <v>2488</v>
      </c>
      <c r="C147" t="s">
        <v>2487</v>
      </c>
      <c r="D147" t="s">
        <v>186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8">
        <v>1.4999999999999999E-2</v>
      </c>
    </row>
    <row r="148" spans="1:31">
      <c r="A148" t="s">
        <v>623</v>
      </c>
      <c r="B148" t="s">
        <v>2486</v>
      </c>
      <c r="C148" t="s">
        <v>2485</v>
      </c>
      <c r="D148" t="s">
        <v>186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8">
        <v>2.7E-2</v>
      </c>
    </row>
    <row r="149" spans="1:31">
      <c r="A149" t="s">
        <v>201</v>
      </c>
      <c r="B149" t="s">
        <v>2484</v>
      </c>
      <c r="C149" t="s">
        <v>2483</v>
      </c>
      <c r="D149" t="s">
        <v>186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8">
        <v>2.5999999999999999E-2</v>
      </c>
    </row>
    <row r="150" spans="1:31">
      <c r="A150" t="s">
        <v>202</v>
      </c>
      <c r="B150" t="s">
        <v>2482</v>
      </c>
      <c r="C150" t="s">
        <v>2481</v>
      </c>
      <c r="D150" t="s">
        <v>186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8">
        <v>2.9000000000000001E-2</v>
      </c>
    </row>
    <row r="151" spans="1:31">
      <c r="A151" t="s">
        <v>203</v>
      </c>
      <c r="B151" t="s">
        <v>2480</v>
      </c>
      <c r="C151" t="s">
        <v>2479</v>
      </c>
      <c r="D151" t="s">
        <v>186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8">
        <v>2.4E-2</v>
      </c>
    </row>
    <row r="152" spans="1:31">
      <c r="A152" t="s">
        <v>326</v>
      </c>
      <c r="B152" t="s">
        <v>2478</v>
      </c>
      <c r="C152" t="s">
        <v>2477</v>
      </c>
      <c r="D152" t="s">
        <v>186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8">
        <v>2.9000000000000001E-2</v>
      </c>
    </row>
    <row r="153" spans="1:31">
      <c r="A153" t="s">
        <v>327</v>
      </c>
      <c r="B153" t="s">
        <v>2476</v>
      </c>
      <c r="C153" t="s">
        <v>2475</v>
      </c>
      <c r="D153" t="s">
        <v>186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8">
        <v>2.9000000000000001E-2</v>
      </c>
    </row>
    <row r="154" spans="1:31">
      <c r="A154" t="s">
        <v>328</v>
      </c>
      <c r="B154" t="s">
        <v>2474</v>
      </c>
      <c r="C154" t="s">
        <v>2473</v>
      </c>
      <c r="D154" t="s">
        <v>186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8">
        <v>2.9000000000000001E-2</v>
      </c>
    </row>
    <row r="155" spans="1:31">
      <c r="A155" t="s">
        <v>110</v>
      </c>
      <c r="B155" t="s">
        <v>2472</v>
      </c>
      <c r="C155" t="s">
        <v>2471</v>
      </c>
      <c r="D155" t="s">
        <v>186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8">
        <v>2.9000000000000001E-2</v>
      </c>
    </row>
    <row r="156" spans="1:31">
      <c r="A156" t="s">
        <v>276</v>
      </c>
    </row>
    <row r="157" spans="1:31">
      <c r="A157" t="s">
        <v>195</v>
      </c>
      <c r="B157" t="s">
        <v>2470</v>
      </c>
      <c r="C157" t="s">
        <v>2469</v>
      </c>
      <c r="D157" t="s">
        <v>184</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8">
        <v>1.0999999999999999E-2</v>
      </c>
    </row>
    <row r="158" spans="1:31">
      <c r="A158" t="s">
        <v>201</v>
      </c>
      <c r="B158" t="s">
        <v>2468</v>
      </c>
      <c r="C158" t="s">
        <v>2467</v>
      </c>
      <c r="D158" t="s">
        <v>184</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8">
        <v>1.2E-2</v>
      </c>
    </row>
    <row r="159" spans="1:31">
      <c r="A159" t="s">
        <v>202</v>
      </c>
      <c r="B159" t="s">
        <v>2466</v>
      </c>
      <c r="C159" t="s">
        <v>2465</v>
      </c>
      <c r="D159" t="s">
        <v>184</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8">
        <v>2E-3</v>
      </c>
    </row>
    <row r="160" spans="1:31">
      <c r="A160" t="s">
        <v>203</v>
      </c>
      <c r="B160" t="s">
        <v>2464</v>
      </c>
      <c r="C160" t="s">
        <v>2463</v>
      </c>
      <c r="D160" t="s">
        <v>184</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8">
        <v>1.6E-2</v>
      </c>
    </row>
    <row r="161" spans="1:31">
      <c r="A161" t="s">
        <v>196</v>
      </c>
      <c r="B161" t="s">
        <v>2462</v>
      </c>
      <c r="C161" t="s">
        <v>2461</v>
      </c>
      <c r="D161" t="s">
        <v>184</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8">
        <v>0</v>
      </c>
    </row>
    <row r="162" spans="1:31">
      <c r="A162" t="s">
        <v>201</v>
      </c>
      <c r="B162" t="s">
        <v>2460</v>
      </c>
      <c r="C162" t="s">
        <v>2459</v>
      </c>
      <c r="D162" t="s">
        <v>184</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8">
        <v>2.1000000000000001E-2</v>
      </c>
    </row>
    <row r="163" spans="1:31">
      <c r="A163" t="s">
        <v>202</v>
      </c>
      <c r="B163" t="s">
        <v>2458</v>
      </c>
      <c r="C163" t="s">
        <v>2457</v>
      </c>
      <c r="D163" t="s">
        <v>184</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8">
        <v>2.5999999999999999E-2</v>
      </c>
    </row>
    <row r="164" spans="1:31">
      <c r="A164" t="s">
        <v>203</v>
      </c>
      <c r="B164" t="s">
        <v>2456</v>
      </c>
      <c r="C164" t="s">
        <v>2455</v>
      </c>
      <c r="D164" t="s">
        <v>184</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8">
        <v>-1.9E-2</v>
      </c>
    </row>
    <row r="165" spans="1:31">
      <c r="A165" t="s">
        <v>653</v>
      </c>
      <c r="B165" t="s">
        <v>2454</v>
      </c>
      <c r="C165" t="s">
        <v>2453</v>
      </c>
      <c r="D165" t="s">
        <v>184</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8">
        <v>3.5000000000000003E-2</v>
      </c>
    </row>
    <row r="166" spans="1:31">
      <c r="A166" t="s">
        <v>201</v>
      </c>
      <c r="B166" t="s">
        <v>2452</v>
      </c>
      <c r="C166" t="s">
        <v>2451</v>
      </c>
      <c r="D166" t="s">
        <v>184</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8">
        <v>3.9E-2</v>
      </c>
    </row>
    <row r="167" spans="1:31">
      <c r="A167" t="s">
        <v>202</v>
      </c>
      <c r="B167" t="s">
        <v>2450</v>
      </c>
      <c r="C167" t="s">
        <v>2449</v>
      </c>
      <c r="D167" t="s">
        <v>184</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8">
        <v>0.02</v>
      </c>
    </row>
    <row r="168" spans="1:31">
      <c r="A168" t="s">
        <v>203</v>
      </c>
      <c r="B168" t="s">
        <v>2448</v>
      </c>
      <c r="C168" t="s">
        <v>2447</v>
      </c>
      <c r="D168" t="s">
        <v>184</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8">
        <v>2.9000000000000001E-2</v>
      </c>
    </row>
    <row r="169" spans="1:31">
      <c r="A169" t="s">
        <v>650</v>
      </c>
      <c r="B169" t="s">
        <v>2446</v>
      </c>
      <c r="C169" t="s">
        <v>2445</v>
      </c>
      <c r="D169" t="s">
        <v>184</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8">
        <v>2.5000000000000001E-2</v>
      </c>
    </row>
    <row r="170" spans="1:31">
      <c r="A170" t="s">
        <v>201</v>
      </c>
      <c r="B170" t="s">
        <v>2444</v>
      </c>
      <c r="C170" t="s">
        <v>2443</v>
      </c>
      <c r="D170" t="s">
        <v>184</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8">
        <v>2.4E-2</v>
      </c>
    </row>
    <row r="171" spans="1:31">
      <c r="A171" t="s">
        <v>202</v>
      </c>
      <c r="B171" t="s">
        <v>2442</v>
      </c>
      <c r="C171" t="s">
        <v>2441</v>
      </c>
      <c r="D171" t="s">
        <v>184</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8">
        <v>0.03</v>
      </c>
    </row>
    <row r="172" spans="1:31">
      <c r="A172" t="s">
        <v>203</v>
      </c>
      <c r="B172" t="s">
        <v>2440</v>
      </c>
      <c r="C172" t="s">
        <v>2439</v>
      </c>
      <c r="D172" t="s">
        <v>184</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8">
        <v>2.4E-2</v>
      </c>
    </row>
    <row r="173" spans="1:31">
      <c r="A173" t="s">
        <v>317</v>
      </c>
      <c r="B173" t="s">
        <v>2438</v>
      </c>
      <c r="C173" t="s">
        <v>2437</v>
      </c>
      <c r="D173" t="s">
        <v>184</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8">
        <v>4.4999999999999998E-2</v>
      </c>
    </row>
    <row r="174" spans="1:31">
      <c r="A174" t="s">
        <v>201</v>
      </c>
      <c r="B174" t="s">
        <v>2436</v>
      </c>
      <c r="C174" t="s">
        <v>2435</v>
      </c>
      <c r="D174" t="s">
        <v>184</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8">
        <v>2.8000000000000001E-2</v>
      </c>
    </row>
    <row r="175" spans="1:31">
      <c r="A175" t="s">
        <v>202</v>
      </c>
      <c r="B175" t="s">
        <v>2434</v>
      </c>
      <c r="C175" t="s">
        <v>2433</v>
      </c>
      <c r="D175" t="s">
        <v>184</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8">
        <v>0.10199999999999999</v>
      </c>
    </row>
    <row r="176" spans="1:31">
      <c r="A176" t="s">
        <v>203</v>
      </c>
      <c r="B176" t="s">
        <v>2432</v>
      </c>
      <c r="C176" t="s">
        <v>2431</v>
      </c>
      <c r="D176" t="s">
        <v>184</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8">
        <v>1.7999999999999999E-2</v>
      </c>
    </row>
    <row r="177" spans="1:31">
      <c r="A177" t="s">
        <v>318</v>
      </c>
      <c r="B177" t="s">
        <v>2430</v>
      </c>
      <c r="C177" t="s">
        <v>2429</v>
      </c>
      <c r="D177" t="s">
        <v>184</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8">
        <v>2.5999999999999999E-2</v>
      </c>
    </row>
    <row r="178" spans="1:31">
      <c r="A178" t="s">
        <v>201</v>
      </c>
      <c r="B178" t="s">
        <v>2428</v>
      </c>
      <c r="C178" t="s">
        <v>2427</v>
      </c>
      <c r="D178" t="s">
        <v>184</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8">
        <v>2.7E-2</v>
      </c>
    </row>
    <row r="179" spans="1:31">
      <c r="A179" t="s">
        <v>202</v>
      </c>
      <c r="B179" t="s">
        <v>2426</v>
      </c>
      <c r="C179" t="s">
        <v>2425</v>
      </c>
      <c r="D179" t="s">
        <v>184</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8">
        <v>0.113</v>
      </c>
    </row>
    <row r="180" spans="1:31">
      <c r="A180" t="s">
        <v>203</v>
      </c>
      <c r="B180" t="s">
        <v>2424</v>
      </c>
      <c r="C180" t="s">
        <v>2423</v>
      </c>
      <c r="D180" t="s">
        <v>184</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8">
        <v>8.9999999999999993E-3</v>
      </c>
    </row>
    <row r="181" spans="1:31">
      <c r="A181" t="s">
        <v>319</v>
      </c>
      <c r="B181" t="s">
        <v>2422</v>
      </c>
      <c r="C181" t="s">
        <v>2421</v>
      </c>
      <c r="D181" t="s">
        <v>184</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8">
        <v>6.4000000000000001E-2</v>
      </c>
    </row>
    <row r="182" spans="1:31">
      <c r="A182" t="s">
        <v>201</v>
      </c>
      <c r="B182" t="s">
        <v>2420</v>
      </c>
      <c r="C182" t="s">
        <v>2419</v>
      </c>
      <c r="D182" t="s">
        <v>184</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8">
        <v>4.2999999999999997E-2</v>
      </c>
    </row>
    <row r="183" spans="1:31">
      <c r="A183" t="s">
        <v>202</v>
      </c>
      <c r="B183" t="s">
        <v>2418</v>
      </c>
      <c r="C183" t="s">
        <v>2417</v>
      </c>
      <c r="D183" t="s">
        <v>184</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8">
        <v>9.5000000000000001E-2</v>
      </c>
    </row>
    <row r="184" spans="1:31">
      <c r="A184" t="s">
        <v>203</v>
      </c>
      <c r="B184" t="s">
        <v>2416</v>
      </c>
      <c r="C184" t="s">
        <v>2415</v>
      </c>
      <c r="D184" t="s">
        <v>184</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8">
        <v>3.5999999999999997E-2</v>
      </c>
    </row>
    <row r="185" spans="1:31">
      <c r="A185" t="s">
        <v>320</v>
      </c>
      <c r="B185" t="s">
        <v>2414</v>
      </c>
      <c r="C185" t="s">
        <v>2413</v>
      </c>
      <c r="D185" t="s">
        <v>184</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8">
        <v>-1.4E-2</v>
      </c>
    </row>
    <row r="186" spans="1:31">
      <c r="A186" t="s">
        <v>201</v>
      </c>
      <c r="B186" t="s">
        <v>2412</v>
      </c>
      <c r="C186" t="s">
        <v>2411</v>
      </c>
      <c r="D186" t="s">
        <v>184</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8">
        <v>-1.2E-2</v>
      </c>
    </row>
    <row r="187" spans="1:31">
      <c r="A187" t="s">
        <v>202</v>
      </c>
      <c r="B187" t="s">
        <v>2410</v>
      </c>
      <c r="C187" t="s">
        <v>2409</v>
      </c>
      <c r="D187" t="s">
        <v>184</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8">
        <v>-3.2000000000000001E-2</v>
      </c>
    </row>
    <row r="188" spans="1:31">
      <c r="A188" t="s">
        <v>203</v>
      </c>
      <c r="B188" t="s">
        <v>2408</v>
      </c>
      <c r="C188" t="s">
        <v>2407</v>
      </c>
      <c r="D188" t="s">
        <v>184</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8">
        <v>2E-3</v>
      </c>
    </row>
    <row r="189" spans="1:31">
      <c r="A189" t="s">
        <v>639</v>
      </c>
      <c r="B189" t="s">
        <v>2406</v>
      </c>
      <c r="C189" t="s">
        <v>2405</v>
      </c>
      <c r="D189" t="s">
        <v>184</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8">
        <v>0.03</v>
      </c>
    </row>
    <row r="190" spans="1:31">
      <c r="A190" t="s">
        <v>201</v>
      </c>
      <c r="B190" t="s">
        <v>2404</v>
      </c>
      <c r="C190" t="s">
        <v>2403</v>
      </c>
      <c r="D190" t="s">
        <v>184</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8">
        <v>2.9000000000000001E-2</v>
      </c>
    </row>
    <row r="191" spans="1:31">
      <c r="A191" t="s">
        <v>202</v>
      </c>
      <c r="B191" t="s">
        <v>2402</v>
      </c>
      <c r="C191" t="s">
        <v>2401</v>
      </c>
      <c r="D191" t="s">
        <v>184</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8">
        <v>3.5999999999999997E-2</v>
      </c>
    </row>
    <row r="192" spans="1:31">
      <c r="A192" t="s">
        <v>203</v>
      </c>
      <c r="B192" t="s">
        <v>2400</v>
      </c>
      <c r="C192" t="s">
        <v>2399</v>
      </c>
      <c r="D192" t="s">
        <v>184</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8">
        <v>3.3000000000000002E-2</v>
      </c>
    </row>
    <row r="193" spans="1:31">
      <c r="A193" t="s">
        <v>198</v>
      </c>
      <c r="B193" t="s">
        <v>2398</v>
      </c>
      <c r="C193" t="s">
        <v>2397</v>
      </c>
      <c r="D193" t="s">
        <v>184</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8">
        <v>3.7999999999999999E-2</v>
      </c>
    </row>
    <row r="194" spans="1:31">
      <c r="A194" t="s">
        <v>201</v>
      </c>
      <c r="B194" t="s">
        <v>2396</v>
      </c>
      <c r="C194" t="s">
        <v>2395</v>
      </c>
      <c r="D194" t="s">
        <v>184</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8">
        <v>3.2000000000000001E-2</v>
      </c>
    </row>
    <row r="195" spans="1:31">
      <c r="A195" t="s">
        <v>202</v>
      </c>
      <c r="B195" t="s">
        <v>2394</v>
      </c>
      <c r="C195" t="s">
        <v>2393</v>
      </c>
      <c r="D195" t="s">
        <v>184</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8">
        <v>9.5000000000000001E-2</v>
      </c>
    </row>
    <row r="196" spans="1:31">
      <c r="A196" t="s">
        <v>203</v>
      </c>
      <c r="B196" t="s">
        <v>2392</v>
      </c>
      <c r="C196" t="s">
        <v>2391</v>
      </c>
      <c r="D196" t="s">
        <v>184</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8">
        <v>0.03</v>
      </c>
    </row>
    <row r="197" spans="1:31">
      <c r="A197" t="s">
        <v>321</v>
      </c>
      <c r="B197" t="s">
        <v>2390</v>
      </c>
      <c r="C197" t="s">
        <v>2389</v>
      </c>
      <c r="D197" t="s">
        <v>184</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8">
        <v>3.9E-2</v>
      </c>
    </row>
    <row r="198" spans="1:31">
      <c r="A198" t="s">
        <v>201</v>
      </c>
      <c r="B198" t="s">
        <v>2388</v>
      </c>
      <c r="C198" t="s">
        <v>2387</v>
      </c>
      <c r="D198" t="s">
        <v>184</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8">
        <v>3.9E-2</v>
      </c>
    </row>
    <row r="199" spans="1:31">
      <c r="A199" t="s">
        <v>202</v>
      </c>
      <c r="B199" t="s">
        <v>2386</v>
      </c>
      <c r="C199" t="s">
        <v>2385</v>
      </c>
      <c r="D199" t="s">
        <v>184</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8">
        <v>3.5000000000000003E-2</v>
      </c>
    </row>
    <row r="200" spans="1:31">
      <c r="A200" t="s">
        <v>203</v>
      </c>
      <c r="B200" t="s">
        <v>2384</v>
      </c>
      <c r="C200" t="s">
        <v>2383</v>
      </c>
      <c r="D200" t="s">
        <v>184</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8">
        <v>3.7999999999999999E-2</v>
      </c>
    </row>
    <row r="201" spans="1:31">
      <c r="A201" t="s">
        <v>632</v>
      </c>
      <c r="B201" t="s">
        <v>2382</v>
      </c>
      <c r="C201" t="s">
        <v>2381</v>
      </c>
      <c r="D201" t="s">
        <v>184</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8">
        <v>3.9E-2</v>
      </c>
    </row>
    <row r="202" spans="1:31">
      <c r="A202" t="s">
        <v>201</v>
      </c>
      <c r="B202" t="s">
        <v>2380</v>
      </c>
      <c r="C202" t="s">
        <v>2379</v>
      </c>
      <c r="D202" t="s">
        <v>184</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8">
        <v>4.5999999999999999E-2</v>
      </c>
    </row>
    <row r="203" spans="1:31">
      <c r="A203" t="s">
        <v>202</v>
      </c>
      <c r="B203" t="s">
        <v>2378</v>
      </c>
      <c r="C203" t="s">
        <v>2377</v>
      </c>
      <c r="D203" t="s">
        <v>184</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8">
        <v>0.02</v>
      </c>
    </row>
    <row r="204" spans="1:31">
      <c r="A204" t="s">
        <v>203</v>
      </c>
      <c r="B204" t="s">
        <v>2376</v>
      </c>
      <c r="C204" t="s">
        <v>2375</v>
      </c>
      <c r="D204" t="s">
        <v>184</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8">
        <v>5.1999999999999998E-2</v>
      </c>
    </row>
    <row r="205" spans="1:31">
      <c r="A205" t="s">
        <v>322</v>
      </c>
      <c r="B205" t="s">
        <v>2374</v>
      </c>
      <c r="C205" t="s">
        <v>2373</v>
      </c>
      <c r="D205" t="s">
        <v>184</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8">
        <v>3.2000000000000001E-2</v>
      </c>
    </row>
    <row r="206" spans="1:31">
      <c r="A206" t="s">
        <v>201</v>
      </c>
      <c r="B206" t="s">
        <v>2372</v>
      </c>
      <c r="C206" t="s">
        <v>2371</v>
      </c>
      <c r="D206" t="s">
        <v>184</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8">
        <v>0.03</v>
      </c>
    </row>
    <row r="207" spans="1:31">
      <c r="A207" t="s">
        <v>202</v>
      </c>
      <c r="B207" t="s">
        <v>2370</v>
      </c>
      <c r="C207" t="s">
        <v>2369</v>
      </c>
      <c r="D207" t="s">
        <v>184</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8">
        <v>3.5999999999999997E-2</v>
      </c>
    </row>
    <row r="208" spans="1:31">
      <c r="A208" t="s">
        <v>203</v>
      </c>
      <c r="B208" t="s">
        <v>2368</v>
      </c>
      <c r="C208" t="s">
        <v>2367</v>
      </c>
      <c r="D208" t="s">
        <v>184</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8">
        <v>1.0999999999999999E-2</v>
      </c>
    </row>
    <row r="209" spans="1:31">
      <c r="A209" t="s">
        <v>197</v>
      </c>
      <c r="B209" t="s">
        <v>2366</v>
      </c>
      <c r="C209" t="s">
        <v>2365</v>
      </c>
      <c r="D209" t="s">
        <v>184</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8">
        <v>3.5000000000000003E-2</v>
      </c>
    </row>
    <row r="210" spans="1:31">
      <c r="A210" t="s">
        <v>201</v>
      </c>
      <c r="B210" t="s">
        <v>2364</v>
      </c>
      <c r="C210" t="s">
        <v>2363</v>
      </c>
      <c r="D210" t="s">
        <v>184</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8">
        <v>3.5000000000000003E-2</v>
      </c>
    </row>
    <row r="211" spans="1:31">
      <c r="A211" t="s">
        <v>202</v>
      </c>
      <c r="B211" t="s">
        <v>2362</v>
      </c>
      <c r="C211" t="s">
        <v>2361</v>
      </c>
      <c r="D211" t="s">
        <v>184</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8">
        <v>4.2999999999999997E-2</v>
      </c>
    </row>
    <row r="212" spans="1:31">
      <c r="A212" t="s">
        <v>203</v>
      </c>
      <c r="B212" t="s">
        <v>2360</v>
      </c>
      <c r="C212" t="s">
        <v>2359</v>
      </c>
      <c r="D212" t="s">
        <v>184</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8">
        <v>3.2000000000000001E-2</v>
      </c>
    </row>
    <row r="213" spans="1:31">
      <c r="A213" t="s">
        <v>323</v>
      </c>
      <c r="B213" t="s">
        <v>2358</v>
      </c>
      <c r="C213" t="s">
        <v>2357</v>
      </c>
      <c r="D213" t="s">
        <v>184</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8">
        <v>1.6E-2</v>
      </c>
    </row>
    <row r="214" spans="1:31">
      <c r="A214" t="s">
        <v>201</v>
      </c>
      <c r="B214" t="s">
        <v>2356</v>
      </c>
      <c r="C214" t="s">
        <v>2355</v>
      </c>
      <c r="D214" t="s">
        <v>184</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8">
        <v>1.9E-2</v>
      </c>
    </row>
    <row r="215" spans="1:31">
      <c r="A215" t="s">
        <v>202</v>
      </c>
      <c r="B215" t="s">
        <v>2354</v>
      </c>
      <c r="C215" t="s">
        <v>2353</v>
      </c>
      <c r="D215" t="s">
        <v>184</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8">
        <v>2.4E-2</v>
      </c>
    </row>
    <row r="216" spans="1:31">
      <c r="A216" t="s">
        <v>203</v>
      </c>
      <c r="B216" t="s">
        <v>2352</v>
      </c>
      <c r="C216" t="s">
        <v>2351</v>
      </c>
      <c r="D216" t="s">
        <v>184</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8">
        <v>1.0999999999999999E-2</v>
      </c>
    </row>
    <row r="217" spans="1:31">
      <c r="A217" t="s">
        <v>623</v>
      </c>
      <c r="B217" t="s">
        <v>2350</v>
      </c>
      <c r="C217" t="s">
        <v>2349</v>
      </c>
      <c r="D217" t="s">
        <v>184</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8">
        <v>2.3E-2</v>
      </c>
    </row>
    <row r="218" spans="1:31">
      <c r="A218" t="s">
        <v>201</v>
      </c>
      <c r="B218" t="s">
        <v>2348</v>
      </c>
      <c r="C218" t="s">
        <v>2347</v>
      </c>
      <c r="D218" t="s">
        <v>184</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8">
        <v>2.4E-2</v>
      </c>
    </row>
    <row r="219" spans="1:31">
      <c r="A219" t="s">
        <v>202</v>
      </c>
      <c r="B219" t="s">
        <v>2346</v>
      </c>
      <c r="C219" t="s">
        <v>2345</v>
      </c>
      <c r="D219" t="s">
        <v>184</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8">
        <v>3.2000000000000001E-2</v>
      </c>
    </row>
    <row r="220" spans="1:31">
      <c r="A220" t="s">
        <v>203</v>
      </c>
      <c r="B220" t="s">
        <v>2344</v>
      </c>
      <c r="C220" t="s">
        <v>2343</v>
      </c>
      <c r="D220" t="s">
        <v>184</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8">
        <v>1.4E-2</v>
      </c>
    </row>
    <row r="221" spans="1:31">
      <c r="A221" t="s">
        <v>326</v>
      </c>
      <c r="B221" t="s">
        <v>2342</v>
      </c>
      <c r="C221" t="s">
        <v>2341</v>
      </c>
      <c r="D221" t="s">
        <v>184</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8">
        <v>2.7E-2</v>
      </c>
    </row>
    <row r="222" spans="1:31">
      <c r="A222" t="s">
        <v>327</v>
      </c>
      <c r="B222" t="s">
        <v>2340</v>
      </c>
      <c r="C222" t="s">
        <v>2339</v>
      </c>
      <c r="D222" t="s">
        <v>184</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8">
        <v>3.2000000000000001E-2</v>
      </c>
    </row>
    <row r="223" spans="1:31">
      <c r="A223" t="s">
        <v>328</v>
      </c>
      <c r="B223" t="s">
        <v>2338</v>
      </c>
      <c r="C223" t="s">
        <v>2337</v>
      </c>
      <c r="D223" t="s">
        <v>184</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8">
        <v>2.1000000000000001E-2</v>
      </c>
    </row>
    <row r="224" spans="1:31">
      <c r="A224" t="s">
        <v>110</v>
      </c>
      <c r="B224" t="s">
        <v>2336</v>
      </c>
      <c r="C224" t="s">
        <v>2335</v>
      </c>
      <c r="D224" t="s">
        <v>184</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8">
        <v>2.5999999999999999E-2</v>
      </c>
    </row>
    <row r="225" spans="1:31">
      <c r="A225" t="s">
        <v>204</v>
      </c>
    </row>
    <row r="226" spans="1:31">
      <c r="A226" t="s">
        <v>205</v>
      </c>
    </row>
    <row r="227" spans="1:31">
      <c r="A227" t="s">
        <v>201</v>
      </c>
      <c r="B227" t="s">
        <v>2334</v>
      </c>
      <c r="C227" t="s">
        <v>2333</v>
      </c>
      <c r="D227" t="s">
        <v>215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8">
        <v>8.0000000000000002E-3</v>
      </c>
    </row>
    <row r="228" spans="1:31">
      <c r="A228" t="s">
        <v>202</v>
      </c>
      <c r="B228" t="s">
        <v>2332</v>
      </c>
      <c r="C228" t="s">
        <v>2331</v>
      </c>
      <c r="D228" t="s">
        <v>215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8">
        <v>8.0000000000000002E-3</v>
      </c>
    </row>
    <row r="229" spans="1:31">
      <c r="A229" t="s">
        <v>203</v>
      </c>
      <c r="B229" t="s">
        <v>2330</v>
      </c>
      <c r="C229" t="s">
        <v>2329</v>
      </c>
      <c r="D229" t="s">
        <v>215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8">
        <v>8.9999999999999993E-3</v>
      </c>
    </row>
    <row r="230" spans="1:31">
      <c r="A230" t="s">
        <v>206</v>
      </c>
      <c r="B230" t="s">
        <v>2328</v>
      </c>
      <c r="C230" t="s">
        <v>2327</v>
      </c>
      <c r="D230" t="s">
        <v>215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8">
        <v>8.0000000000000002E-3</v>
      </c>
    </row>
    <row r="231" spans="1:31">
      <c r="A231" t="s">
        <v>207</v>
      </c>
    </row>
    <row r="232" spans="1:31">
      <c r="A232" t="s">
        <v>201</v>
      </c>
      <c r="B232" t="s">
        <v>2326</v>
      </c>
      <c r="C232" t="s">
        <v>2325</v>
      </c>
      <c r="D232" t="s">
        <v>215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8">
        <v>8.0000000000000002E-3</v>
      </c>
    </row>
    <row r="233" spans="1:31">
      <c r="A233" t="s">
        <v>202</v>
      </c>
      <c r="B233" t="s">
        <v>2324</v>
      </c>
      <c r="C233" t="s">
        <v>2323</v>
      </c>
      <c r="D233" t="s">
        <v>215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8">
        <v>8.0000000000000002E-3</v>
      </c>
    </row>
    <row r="234" spans="1:31">
      <c r="A234" t="s">
        <v>203</v>
      </c>
      <c r="B234" t="s">
        <v>2322</v>
      </c>
      <c r="C234" t="s">
        <v>2321</v>
      </c>
      <c r="D234" t="s">
        <v>215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8">
        <v>7.0000000000000001E-3</v>
      </c>
    </row>
    <row r="235" spans="1:31">
      <c r="A235" t="s">
        <v>206</v>
      </c>
      <c r="B235" t="s">
        <v>2320</v>
      </c>
      <c r="C235" t="s">
        <v>2319</v>
      </c>
      <c r="D235" t="s">
        <v>215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8">
        <v>8.0000000000000002E-3</v>
      </c>
    </row>
    <row r="236" spans="1:31">
      <c r="A236" t="s">
        <v>108</v>
      </c>
    </row>
    <row r="237" spans="1:31">
      <c r="A237" t="s">
        <v>208</v>
      </c>
    </row>
    <row r="238" spans="1:31">
      <c r="A238" t="s">
        <v>195</v>
      </c>
      <c r="B238" t="s">
        <v>2318</v>
      </c>
      <c r="C238" t="s">
        <v>2317</v>
      </c>
      <c r="D238" t="s">
        <v>185</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8">
        <v>8.9999999999999993E-3</v>
      </c>
    </row>
    <row r="239" spans="1:31">
      <c r="A239" t="s">
        <v>196</v>
      </c>
      <c r="B239" t="s">
        <v>2316</v>
      </c>
      <c r="C239" t="s">
        <v>2315</v>
      </c>
      <c r="D239" t="s">
        <v>185</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8">
        <v>1.0999999999999999E-2</v>
      </c>
    </row>
    <row r="240" spans="1:31">
      <c r="A240" t="s">
        <v>653</v>
      </c>
      <c r="B240" t="s">
        <v>2314</v>
      </c>
      <c r="C240" t="s">
        <v>2313</v>
      </c>
      <c r="D240" t="s">
        <v>185</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8">
        <v>2.4E-2</v>
      </c>
    </row>
    <row r="241" spans="1:32">
      <c r="A241" t="s">
        <v>650</v>
      </c>
      <c r="B241" t="s">
        <v>2312</v>
      </c>
      <c r="C241" t="s">
        <v>2311</v>
      </c>
      <c r="D241" t="s">
        <v>185</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8">
        <v>1.2E-2</v>
      </c>
    </row>
    <row r="242" spans="1:32">
      <c r="A242" t="s">
        <v>317</v>
      </c>
      <c r="B242" t="s">
        <v>2310</v>
      </c>
      <c r="C242" t="s">
        <v>2309</v>
      </c>
      <c r="D242" t="s">
        <v>185</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8">
        <v>-6.0000000000000001E-3</v>
      </c>
    </row>
    <row r="243" spans="1:32">
      <c r="A243" t="s">
        <v>318</v>
      </c>
      <c r="B243" t="s">
        <v>2308</v>
      </c>
      <c r="C243" t="s">
        <v>2307</v>
      </c>
      <c r="D243" t="s">
        <v>185</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8">
        <v>1.6E-2</v>
      </c>
    </row>
    <row r="244" spans="1:32">
      <c r="A244" t="s">
        <v>319</v>
      </c>
      <c r="B244" t="s">
        <v>2306</v>
      </c>
      <c r="C244" t="s">
        <v>2305</v>
      </c>
      <c r="D244" t="s">
        <v>185</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8">
        <v>1.4E-2</v>
      </c>
    </row>
    <row r="245" spans="1:32">
      <c r="A245" t="s">
        <v>320</v>
      </c>
      <c r="B245" t="s">
        <v>2304</v>
      </c>
      <c r="C245" t="s">
        <v>2303</v>
      </c>
      <c r="D245" t="s">
        <v>185</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8">
        <v>1.4E-2</v>
      </c>
    </row>
    <row r="246" spans="1:32">
      <c r="A246" t="s">
        <v>639</v>
      </c>
      <c r="B246" t="s">
        <v>2302</v>
      </c>
      <c r="C246" t="s">
        <v>2301</v>
      </c>
      <c r="D246" t="s">
        <v>185</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8">
        <v>2.1000000000000001E-2</v>
      </c>
    </row>
    <row r="247" spans="1:32">
      <c r="A247" t="s">
        <v>198</v>
      </c>
      <c r="B247" t="s">
        <v>2300</v>
      </c>
      <c r="C247" t="s">
        <v>2299</v>
      </c>
      <c r="D247" t="s">
        <v>185</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8">
        <v>3.1E-2</v>
      </c>
    </row>
    <row r="248" spans="1:32">
      <c r="A248" t="s">
        <v>321</v>
      </c>
      <c r="B248" t="s">
        <v>2298</v>
      </c>
      <c r="C248" t="s">
        <v>2297</v>
      </c>
      <c r="D248" t="s">
        <v>185</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8">
        <v>4.5999999999999999E-2</v>
      </c>
    </row>
    <row r="249" spans="1:32">
      <c r="A249" t="s">
        <v>632</v>
      </c>
      <c r="B249" t="s">
        <v>2296</v>
      </c>
      <c r="C249" t="s">
        <v>2295</v>
      </c>
      <c r="D249" t="s">
        <v>185</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8">
        <v>2.5000000000000001E-2</v>
      </c>
    </row>
    <row r="250" spans="1:32">
      <c r="A250" t="s">
        <v>322</v>
      </c>
      <c r="B250" t="s">
        <v>2294</v>
      </c>
      <c r="C250" t="s">
        <v>2293</v>
      </c>
      <c r="D250" t="s">
        <v>185</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8">
        <v>2.5000000000000001E-2</v>
      </c>
    </row>
    <row r="251" spans="1:32">
      <c r="A251" t="s">
        <v>197</v>
      </c>
      <c r="B251" t="s">
        <v>2292</v>
      </c>
      <c r="C251" t="s">
        <v>2291</v>
      </c>
      <c r="D251" t="s">
        <v>185</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8">
        <v>0.03</v>
      </c>
    </row>
    <row r="252" spans="1:32">
      <c r="A252" t="s">
        <v>323</v>
      </c>
      <c r="B252" t="s">
        <v>2290</v>
      </c>
      <c r="C252" t="s">
        <v>2289</v>
      </c>
      <c r="D252" t="s">
        <v>185</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8">
        <v>8.0000000000000002E-3</v>
      </c>
    </row>
    <row r="253" spans="1:32">
      <c r="A253" t="s">
        <v>623</v>
      </c>
      <c r="B253" t="s">
        <v>2288</v>
      </c>
      <c r="C253" t="s">
        <v>2287</v>
      </c>
      <c r="D253" t="s">
        <v>185</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8">
        <v>1.9E-2</v>
      </c>
    </row>
    <row r="254" spans="1:32">
      <c r="A254" t="s">
        <v>110</v>
      </c>
      <c r="B254" t="s">
        <v>2286</v>
      </c>
      <c r="C254" t="s">
        <v>2285</v>
      </c>
      <c r="D254" t="s">
        <v>185</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8">
        <v>1.9E-2</v>
      </c>
    </row>
    <row r="255" spans="1:32">
      <c r="A255" t="s">
        <v>209</v>
      </c>
      <c r="B255" t="s">
        <v>616</v>
      </c>
      <c r="C255" t="s">
        <v>2284</v>
      </c>
      <c r="D255" t="s">
        <v>2283</v>
      </c>
      <c r="E255" t="s">
        <v>185</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8">
        <v>0</v>
      </c>
    </row>
    <row r="256" spans="1:32">
      <c r="A256" t="s">
        <v>210</v>
      </c>
      <c r="B256" t="s">
        <v>616</v>
      </c>
      <c r="C256" t="s">
        <v>2282</v>
      </c>
      <c r="D256" t="s">
        <v>2281</v>
      </c>
      <c r="E256" t="s">
        <v>185</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8">
        <v>1E-3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5"/>
  <cols>
    <col min="1" max="1" width="30.28515625" customWidth="1"/>
  </cols>
  <sheetData>
    <row r="1" spans="1:36">
      <c r="A1" s="6"/>
      <c r="B1" s="16" t="s">
        <v>258</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28" t="s">
        <v>107</v>
      </c>
      <c r="D3" s="28" t="s">
        <v>259</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28" t="s">
        <v>106</v>
      </c>
      <c r="D4" s="28" t="s">
        <v>260</v>
      </c>
      <c r="E4" s="11"/>
      <c r="F4" s="11"/>
      <c r="G4" s="28" t="s">
        <v>261</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28" t="s">
        <v>105</v>
      </c>
      <c r="D5" s="28" t="s">
        <v>262</v>
      </c>
      <c r="E5" s="11"/>
      <c r="F5" s="11"/>
      <c r="G5" s="11"/>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277</v>
      </c>
    </row>
    <row r="6" spans="1:36">
      <c r="A6" s="6"/>
      <c r="B6" s="6"/>
      <c r="C6" s="28" t="s">
        <v>104</v>
      </c>
      <c r="D6" s="11"/>
      <c r="E6" s="28" t="s">
        <v>263</v>
      </c>
      <c r="F6" s="11"/>
      <c r="G6" s="11"/>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8">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8">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8">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8">
        <v>1.2E-2</v>
      </c>
    </row>
    <row r="10" spans="1:36" ht="15.75">
      <c r="A10" s="10" t="s">
        <v>372</v>
      </c>
      <c r="B10" s="18" t="s">
        <v>373</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4" t="s">
        <v>264</v>
      </c>
      <c r="AH10">
        <v>0.48037200000000002</v>
      </c>
      <c r="AI10">
        <v>0.48969600000000002</v>
      </c>
      <c r="AJ10" s="8">
        <v>-1.0999999999999999E-2</v>
      </c>
    </row>
    <row r="11" spans="1:36">
      <c r="A11" s="6"/>
      <c r="B11" s="16" t="s">
        <v>268</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4" t="s">
        <v>265</v>
      </c>
      <c r="AH11">
        <v>1.8495220000000001</v>
      </c>
      <c r="AI11">
        <v>1.9374210000000001</v>
      </c>
      <c r="AJ11" s="8">
        <v>3.6999999999999998E-2</v>
      </c>
    </row>
    <row r="12" spans="1:36">
      <c r="A12" s="6"/>
      <c r="B12" s="16"/>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24" t="s">
        <v>266</v>
      </c>
      <c r="AH12">
        <v>437.380493</v>
      </c>
      <c r="AI12">
        <v>454.037781</v>
      </c>
      <c r="AJ12" s="8">
        <v>0.106</v>
      </c>
    </row>
    <row r="13" spans="1:36" ht="25.5" thickBot="1">
      <c r="A13" s="6"/>
      <c r="B13" s="17" t="s">
        <v>269</v>
      </c>
      <c r="C13" s="17">
        <v>2021</v>
      </c>
      <c r="D13" s="17">
        <v>2022</v>
      </c>
      <c r="E13" s="17">
        <v>2023</v>
      </c>
      <c r="F13" s="17">
        <v>2024</v>
      </c>
      <c r="G13" s="17">
        <v>2025</v>
      </c>
      <c r="H13" s="17">
        <v>2026</v>
      </c>
      <c r="I13" s="17">
        <v>2027</v>
      </c>
      <c r="J13" s="17">
        <v>2028</v>
      </c>
      <c r="K13" s="17">
        <v>2029</v>
      </c>
      <c r="L13" s="17">
        <v>2030</v>
      </c>
      <c r="M13" s="17">
        <v>2031</v>
      </c>
      <c r="N13" s="17">
        <v>2032</v>
      </c>
      <c r="O13" s="17">
        <v>2033</v>
      </c>
      <c r="P13" s="17">
        <v>2034</v>
      </c>
      <c r="Q13" s="17">
        <v>2035</v>
      </c>
      <c r="R13" s="17">
        <v>2036</v>
      </c>
      <c r="S13" s="17">
        <v>2037</v>
      </c>
      <c r="T13" s="17">
        <v>2038</v>
      </c>
      <c r="U13" s="17">
        <v>2039</v>
      </c>
      <c r="V13" s="17">
        <v>2040</v>
      </c>
      <c r="W13" s="17">
        <v>2041</v>
      </c>
      <c r="X13" s="17">
        <v>2042</v>
      </c>
      <c r="Y13" s="17">
        <v>2043</v>
      </c>
      <c r="Z13" s="17">
        <v>2044</v>
      </c>
      <c r="AA13" s="17">
        <v>2045</v>
      </c>
      <c r="AB13" s="17">
        <v>2046</v>
      </c>
      <c r="AC13" s="17">
        <v>2047</v>
      </c>
      <c r="AD13" s="17">
        <v>2048</v>
      </c>
      <c r="AE13" s="17">
        <v>2049</v>
      </c>
      <c r="AF13" s="17">
        <v>2050</v>
      </c>
      <c r="AG13" s="33" t="s">
        <v>267</v>
      </c>
      <c r="AH13">
        <v>5.2161749999999998</v>
      </c>
      <c r="AI13">
        <v>5.3491600000000004</v>
      </c>
      <c r="AJ13" s="8">
        <v>9.7000000000000003E-2</v>
      </c>
    </row>
    <row r="14" spans="1:36" ht="15.7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27"/>
      <c r="AH14">
        <v>1061.4022219999999</v>
      </c>
      <c r="AI14">
        <v>1074.767578</v>
      </c>
      <c r="AJ14" s="8">
        <v>7.0000000000000001E-3</v>
      </c>
    </row>
    <row r="15" spans="1:36" ht="24.75">
      <c r="A15" s="10" t="s">
        <v>374</v>
      </c>
      <c r="B15" s="20" t="s">
        <v>368</v>
      </c>
      <c r="C15" s="23">
        <v>14274.494140999999</v>
      </c>
      <c r="D15" s="23">
        <v>14663.075194999999</v>
      </c>
      <c r="E15" s="23">
        <v>14907.380859000001</v>
      </c>
      <c r="F15" s="23">
        <v>14888.802734000001</v>
      </c>
      <c r="G15" s="23">
        <v>14849.198242</v>
      </c>
      <c r="H15" s="23">
        <v>14786.861328000001</v>
      </c>
      <c r="I15" s="23">
        <v>14699.436523</v>
      </c>
      <c r="J15" s="23">
        <v>14596.198242</v>
      </c>
      <c r="K15" s="23">
        <v>14504.813477</v>
      </c>
      <c r="L15" s="23">
        <v>14439.388671999999</v>
      </c>
      <c r="M15" s="23">
        <v>14388.90625</v>
      </c>
      <c r="N15" s="23">
        <v>14328.155273</v>
      </c>
      <c r="O15" s="23">
        <v>14293.910156</v>
      </c>
      <c r="P15" s="23">
        <v>14263.881836</v>
      </c>
      <c r="Q15" s="23">
        <v>14229.495117</v>
      </c>
      <c r="R15" s="23">
        <v>14203.658203000001</v>
      </c>
      <c r="S15" s="23">
        <v>14192.496094</v>
      </c>
      <c r="T15" s="23">
        <v>14188.244140999999</v>
      </c>
      <c r="U15" s="23">
        <v>14197.581055000001</v>
      </c>
      <c r="V15" s="23">
        <v>14217.713867</v>
      </c>
      <c r="W15" s="23">
        <v>14239.96875</v>
      </c>
      <c r="X15" s="23">
        <v>14268.422852</v>
      </c>
      <c r="Y15" s="23">
        <v>14301.931640999999</v>
      </c>
      <c r="Z15" s="23">
        <v>14345.212890999999</v>
      </c>
      <c r="AA15" s="23">
        <v>14399.621094</v>
      </c>
      <c r="AB15" s="23">
        <v>14468.219727</v>
      </c>
      <c r="AC15" s="23">
        <v>14540.374023</v>
      </c>
      <c r="AD15" s="23">
        <v>14616.555664</v>
      </c>
      <c r="AE15" s="23">
        <v>14701.980469</v>
      </c>
      <c r="AF15" s="23">
        <v>14799.428711</v>
      </c>
      <c r="AG15" s="26">
        <v>1.2459999999999999E-3</v>
      </c>
      <c r="AH15">
        <v>718.8125</v>
      </c>
      <c r="AI15">
        <v>726.34527600000001</v>
      </c>
      <c r="AJ15" s="8">
        <v>6.0000000000000001E-3</v>
      </c>
    </row>
    <row r="16" spans="1:36" ht="48.75">
      <c r="A16" s="10" t="s">
        <v>375</v>
      </c>
      <c r="B16" s="21" t="s">
        <v>376</v>
      </c>
      <c r="C16" s="22">
        <v>14162.429688</v>
      </c>
      <c r="D16" s="22">
        <v>14537.586914</v>
      </c>
      <c r="E16" s="22">
        <v>14770.330078000001</v>
      </c>
      <c r="F16" s="22">
        <v>14738.893555000001</v>
      </c>
      <c r="G16" s="22">
        <v>14685.415039</v>
      </c>
      <c r="H16" s="22">
        <v>14609.183594</v>
      </c>
      <c r="I16" s="22">
        <v>14507.978515999999</v>
      </c>
      <c r="J16" s="22">
        <v>14391.53125</v>
      </c>
      <c r="K16" s="22">
        <v>14286.672852</v>
      </c>
      <c r="L16" s="22">
        <v>14207.514648</v>
      </c>
      <c r="M16" s="22">
        <v>14142.503906</v>
      </c>
      <c r="N16" s="22">
        <v>14067.616211</v>
      </c>
      <c r="O16" s="22">
        <v>14018.539062</v>
      </c>
      <c r="P16" s="22">
        <v>13974.089844</v>
      </c>
      <c r="Q16" s="22">
        <v>13924.717773</v>
      </c>
      <c r="R16" s="22">
        <v>13883.070312</v>
      </c>
      <c r="S16" s="22">
        <v>13855.946289</v>
      </c>
      <c r="T16" s="22">
        <v>13835.799805000001</v>
      </c>
      <c r="U16" s="22">
        <v>13828.552734000001</v>
      </c>
      <c r="V16" s="22">
        <v>13831.424805000001</v>
      </c>
      <c r="W16" s="22">
        <v>13836.824219</v>
      </c>
      <c r="X16" s="22">
        <v>13848.344727</v>
      </c>
      <c r="Y16" s="22">
        <v>13864.305664</v>
      </c>
      <c r="Z16" s="22">
        <v>13890.319336</v>
      </c>
      <c r="AA16" s="22">
        <v>13927.309569999999</v>
      </c>
      <c r="AB16" s="22">
        <v>13978.470703000001</v>
      </c>
      <c r="AC16" s="22">
        <v>14033.085938</v>
      </c>
      <c r="AD16" s="22">
        <v>14091.706055000001</v>
      </c>
      <c r="AE16" s="22">
        <v>14159.390625</v>
      </c>
      <c r="AF16" s="22">
        <v>14238.774414</v>
      </c>
      <c r="AG16" s="25">
        <v>1.85E-4</v>
      </c>
      <c r="AH16">
        <v>12.428053</v>
      </c>
      <c r="AI16">
        <v>13.153333999999999</v>
      </c>
      <c r="AJ16" s="8">
        <v>4.1000000000000002E-2</v>
      </c>
    </row>
    <row r="17" spans="1:36">
      <c r="A17" s="10" t="s">
        <v>377</v>
      </c>
      <c r="B17" s="21" t="s">
        <v>378</v>
      </c>
      <c r="C17" s="22">
        <v>33.249222000000003</v>
      </c>
      <c r="D17" s="22">
        <v>34.150458999999998</v>
      </c>
      <c r="E17" s="22">
        <v>31.936682000000001</v>
      </c>
      <c r="F17" s="22">
        <v>31.592466000000002</v>
      </c>
      <c r="G17" s="22">
        <v>31.286394000000001</v>
      </c>
      <c r="H17" s="22">
        <v>30.500689000000001</v>
      </c>
      <c r="I17" s="22">
        <v>29.567623000000001</v>
      </c>
      <c r="J17" s="22">
        <v>28.523620999999999</v>
      </c>
      <c r="K17" s="22">
        <v>27.601944</v>
      </c>
      <c r="L17" s="22">
        <v>26.584057000000001</v>
      </c>
      <c r="M17" s="22">
        <v>25.489037</v>
      </c>
      <c r="N17" s="22">
        <v>24.533688999999999</v>
      </c>
      <c r="O17" s="22">
        <v>23.990046</v>
      </c>
      <c r="P17" s="22">
        <v>22.778981999999999</v>
      </c>
      <c r="Q17" s="22">
        <v>22.123808</v>
      </c>
      <c r="R17" s="22">
        <v>22.124821000000001</v>
      </c>
      <c r="S17" s="22">
        <v>21.992408999999999</v>
      </c>
      <c r="T17" s="22">
        <v>21.684839</v>
      </c>
      <c r="U17" s="22">
        <v>21.760232999999999</v>
      </c>
      <c r="V17" s="22">
        <v>21.844384999999999</v>
      </c>
      <c r="W17" s="22">
        <v>21.925298999999999</v>
      </c>
      <c r="X17" s="22">
        <v>22.19059</v>
      </c>
      <c r="Y17" s="22">
        <v>22.390591000000001</v>
      </c>
      <c r="Z17" s="22">
        <v>22.596132000000001</v>
      </c>
      <c r="AA17" s="22">
        <v>22.876339000000002</v>
      </c>
      <c r="AB17" s="22">
        <v>23.153645999999998</v>
      </c>
      <c r="AC17" s="22">
        <v>23.499597999999999</v>
      </c>
      <c r="AD17" s="22">
        <v>23.893426999999999</v>
      </c>
      <c r="AE17" s="22">
        <v>24.297373</v>
      </c>
      <c r="AF17" s="22">
        <v>24.739059000000001</v>
      </c>
      <c r="AG17" s="25">
        <v>-1.0142999999999999E-2</v>
      </c>
      <c r="AH17">
        <v>326.56167599999998</v>
      </c>
      <c r="AI17">
        <v>331.52713</v>
      </c>
      <c r="AJ17" s="8">
        <v>7.0000000000000001E-3</v>
      </c>
    </row>
    <row r="18" spans="1:36" ht="48.75">
      <c r="A18" s="10" t="s">
        <v>379</v>
      </c>
      <c r="B18" s="21" t="s">
        <v>380</v>
      </c>
      <c r="C18" s="22">
        <v>52.341071999999997</v>
      </c>
      <c r="D18" s="22">
        <v>55.018439999999998</v>
      </c>
      <c r="E18" s="22">
        <v>57.293982999999997</v>
      </c>
      <c r="F18" s="22">
        <v>58.347095000000003</v>
      </c>
      <c r="G18" s="22">
        <v>59.292045999999999</v>
      </c>
      <c r="H18" s="22">
        <v>60.054276000000002</v>
      </c>
      <c r="I18" s="22">
        <v>60.645831999999999</v>
      </c>
      <c r="J18" s="22">
        <v>61.085116999999997</v>
      </c>
      <c r="K18" s="22">
        <v>61.376376999999998</v>
      </c>
      <c r="L18" s="22">
        <v>61.730705</v>
      </c>
      <c r="M18" s="22">
        <v>62.624172000000002</v>
      </c>
      <c r="N18" s="22">
        <v>62.985115</v>
      </c>
      <c r="O18" s="22">
        <v>63.372196000000002</v>
      </c>
      <c r="P18" s="22">
        <v>63.817276</v>
      </c>
      <c r="Q18" s="22">
        <v>64.206192000000001</v>
      </c>
      <c r="R18" s="22">
        <v>64.635818</v>
      </c>
      <c r="S18" s="22">
        <v>65.138244999999998</v>
      </c>
      <c r="T18" s="22">
        <v>65.602219000000005</v>
      </c>
      <c r="U18" s="22">
        <v>66.192047000000002</v>
      </c>
      <c r="V18" s="22">
        <v>67.346855000000005</v>
      </c>
      <c r="W18" s="22">
        <v>68.094498000000002</v>
      </c>
      <c r="X18" s="22">
        <v>68.773444999999995</v>
      </c>
      <c r="Y18" s="22">
        <v>69.845009000000005</v>
      </c>
      <c r="Z18" s="22">
        <v>70.345084999999997</v>
      </c>
      <c r="AA18" s="22">
        <v>70.781784000000002</v>
      </c>
      <c r="AB18" s="22">
        <v>71.416443000000001</v>
      </c>
      <c r="AC18" s="22">
        <v>72.050422999999995</v>
      </c>
      <c r="AD18" s="22">
        <v>72.693031000000005</v>
      </c>
      <c r="AE18" s="22">
        <v>73.365066999999996</v>
      </c>
      <c r="AF18" s="22">
        <v>74.101059000000006</v>
      </c>
      <c r="AG18" s="25">
        <v>1.206E-2</v>
      </c>
      <c r="AH18">
        <v>2.9450440000000002</v>
      </c>
      <c r="AI18">
        <v>3.0714039999999998</v>
      </c>
      <c r="AJ18" s="8">
        <v>0.104</v>
      </c>
    </row>
    <row r="19" spans="1:36" ht="72.75">
      <c r="A19" s="10" t="s">
        <v>381</v>
      </c>
      <c r="B19" s="21" t="s">
        <v>382</v>
      </c>
      <c r="C19" s="22">
        <v>0.67431099999999999</v>
      </c>
      <c r="D19" s="22">
        <v>0.66608500000000004</v>
      </c>
      <c r="E19" s="22">
        <v>0.63587300000000002</v>
      </c>
      <c r="F19" s="22">
        <v>0.52752900000000003</v>
      </c>
      <c r="G19" s="22">
        <v>0.50580000000000003</v>
      </c>
      <c r="H19" s="22">
        <v>0.49782100000000001</v>
      </c>
      <c r="I19" s="22">
        <v>0.48537000000000002</v>
      </c>
      <c r="J19" s="22">
        <v>0.47792299999999999</v>
      </c>
      <c r="K19" s="22">
        <v>0.468808</v>
      </c>
      <c r="L19" s="22">
        <v>0.45122899999999999</v>
      </c>
      <c r="M19" s="22">
        <v>0.45219999999999999</v>
      </c>
      <c r="N19" s="22">
        <v>0.45074999999999998</v>
      </c>
      <c r="O19" s="22">
        <v>0.450878</v>
      </c>
      <c r="P19" s="22">
        <v>0.45424100000000001</v>
      </c>
      <c r="Q19" s="22">
        <v>0.457507</v>
      </c>
      <c r="R19" s="22">
        <v>0.45966200000000002</v>
      </c>
      <c r="S19" s="22">
        <v>0.46291100000000002</v>
      </c>
      <c r="T19" s="22">
        <v>0.46953099999999998</v>
      </c>
      <c r="U19" s="22">
        <v>0.43854500000000002</v>
      </c>
      <c r="V19" s="22">
        <v>0.405692</v>
      </c>
      <c r="W19" s="22">
        <v>0.41506900000000002</v>
      </c>
      <c r="X19" s="22">
        <v>0.42349500000000001</v>
      </c>
      <c r="Y19" s="22">
        <v>0.43112299999999998</v>
      </c>
      <c r="Z19" s="22">
        <v>0.43802600000000003</v>
      </c>
      <c r="AA19" s="22">
        <v>0.44581399999999999</v>
      </c>
      <c r="AB19" s="22">
        <v>0.45412400000000003</v>
      </c>
      <c r="AC19" s="22">
        <v>0.46264300000000003</v>
      </c>
      <c r="AD19" s="22">
        <v>0.47139700000000001</v>
      </c>
      <c r="AE19" s="22">
        <v>0.48037200000000002</v>
      </c>
      <c r="AF19" s="22">
        <v>0.48969600000000002</v>
      </c>
      <c r="AG19" s="25">
        <v>-1.0971E-2</v>
      </c>
      <c r="AH19">
        <v>0.64914099999999997</v>
      </c>
      <c r="AI19">
        <v>0.66471599999999997</v>
      </c>
      <c r="AJ19" s="8">
        <v>-1.4E-2</v>
      </c>
    </row>
    <row r="20" spans="1:36">
      <c r="A20" s="10" t="s">
        <v>383</v>
      </c>
      <c r="B20" s="21" t="s">
        <v>384</v>
      </c>
      <c r="C20" s="22">
        <v>0.67332000000000003</v>
      </c>
      <c r="D20" s="22">
        <v>0.65310299999999999</v>
      </c>
      <c r="E20" s="22">
        <v>0.64822500000000005</v>
      </c>
      <c r="F20" s="22">
        <v>0.51948899999999998</v>
      </c>
      <c r="G20" s="22">
        <v>0.54455399999999998</v>
      </c>
      <c r="H20" s="22">
        <v>0.57736500000000002</v>
      </c>
      <c r="I20" s="22">
        <v>0.61878900000000003</v>
      </c>
      <c r="J20" s="22">
        <v>0.46534300000000001</v>
      </c>
      <c r="K20" s="22">
        <v>0.50610699999999997</v>
      </c>
      <c r="L20" s="22">
        <v>0.57804500000000003</v>
      </c>
      <c r="M20" s="22">
        <v>0.65013200000000004</v>
      </c>
      <c r="N20" s="22">
        <v>0.72068399999999999</v>
      </c>
      <c r="O20" s="22">
        <v>0.79029000000000005</v>
      </c>
      <c r="P20" s="22">
        <v>0.85896399999999995</v>
      </c>
      <c r="Q20" s="22">
        <v>0.92550900000000003</v>
      </c>
      <c r="R20" s="22">
        <v>0.99063500000000004</v>
      </c>
      <c r="S20" s="22">
        <v>1.0544990000000001</v>
      </c>
      <c r="T20" s="22">
        <v>1.1170100000000001</v>
      </c>
      <c r="U20" s="22">
        <v>1.1785939999999999</v>
      </c>
      <c r="V20" s="22">
        <v>1.2387509999999999</v>
      </c>
      <c r="W20" s="22">
        <v>1.2977559999999999</v>
      </c>
      <c r="X20" s="22">
        <v>1.356722</v>
      </c>
      <c r="Y20" s="22">
        <v>1.4161710000000001</v>
      </c>
      <c r="Z20" s="22">
        <v>1.4759199999999999</v>
      </c>
      <c r="AA20" s="22">
        <v>1.5419909999999999</v>
      </c>
      <c r="AB20" s="22">
        <v>1.613723</v>
      </c>
      <c r="AC20" s="22">
        <v>1.688793</v>
      </c>
      <c r="AD20" s="22">
        <v>1.7669729999999999</v>
      </c>
      <c r="AE20" s="22">
        <v>1.8495220000000001</v>
      </c>
      <c r="AF20" s="22">
        <v>1.9374210000000001</v>
      </c>
      <c r="AG20" s="25">
        <v>3.7116999999999997E-2</v>
      </c>
      <c r="AH20">
        <v>5.6800000000000002E-3</v>
      </c>
      <c r="AI20">
        <v>5.7790000000000003E-3</v>
      </c>
      <c r="AJ20" s="8">
        <v>8.1000000000000003E-2</v>
      </c>
    </row>
    <row r="21" spans="1:36" ht="24.75">
      <c r="A21" s="10" t="s">
        <v>385</v>
      </c>
      <c r="B21" s="21" t="s">
        <v>386</v>
      </c>
      <c r="C21" s="22">
        <v>24.764068999999999</v>
      </c>
      <c r="D21" s="22">
        <v>34.511890000000001</v>
      </c>
      <c r="E21" s="22">
        <v>45.918655000000001</v>
      </c>
      <c r="F21" s="22">
        <v>58.182929999999999</v>
      </c>
      <c r="G21" s="22">
        <v>71.282509000000005</v>
      </c>
      <c r="H21" s="22">
        <v>85.031136000000004</v>
      </c>
      <c r="I21" s="22">
        <v>98.971512000000004</v>
      </c>
      <c r="J21" s="22">
        <v>112.780022</v>
      </c>
      <c r="K21" s="22">
        <v>126.676147</v>
      </c>
      <c r="L21" s="22">
        <v>140.82676699999999</v>
      </c>
      <c r="M21" s="22">
        <v>155.278885</v>
      </c>
      <c r="N21" s="22">
        <v>169.72976700000001</v>
      </c>
      <c r="O21" s="22">
        <v>184.430679</v>
      </c>
      <c r="P21" s="22">
        <v>199.324814</v>
      </c>
      <c r="Q21" s="22">
        <v>214.293228</v>
      </c>
      <c r="R21" s="22">
        <v>229.396942</v>
      </c>
      <c r="S21" s="22">
        <v>244.721756</v>
      </c>
      <c r="T21" s="22">
        <v>260.19662499999998</v>
      </c>
      <c r="U21" s="22">
        <v>275.89236499999998</v>
      </c>
      <c r="V21" s="22">
        <v>291.69863900000001</v>
      </c>
      <c r="W21" s="22">
        <v>307.47470099999998</v>
      </c>
      <c r="X21" s="22">
        <v>323.21994000000001</v>
      </c>
      <c r="Y21" s="22">
        <v>339.25979599999999</v>
      </c>
      <c r="Z21" s="22">
        <v>355.59127799999999</v>
      </c>
      <c r="AA21" s="22">
        <v>372.05178799999999</v>
      </c>
      <c r="AB21" s="22">
        <v>388.33685300000002</v>
      </c>
      <c r="AC21" s="22">
        <v>404.65564000000001</v>
      </c>
      <c r="AD21" s="22">
        <v>420.94708300000002</v>
      </c>
      <c r="AE21" s="22">
        <v>437.380493</v>
      </c>
      <c r="AF21" s="22">
        <v>454.037781</v>
      </c>
      <c r="AG21" s="25">
        <v>0.105506</v>
      </c>
      <c r="AH21">
        <v>0</v>
      </c>
      <c r="AI21">
        <v>0</v>
      </c>
      <c r="AJ21" t="s">
        <v>109</v>
      </c>
    </row>
    <row r="22" spans="1:36">
      <c r="A22" s="10" t="s">
        <v>387</v>
      </c>
      <c r="B22" s="21" t="s">
        <v>388</v>
      </c>
      <c r="C22" s="22">
        <v>0.36432900000000001</v>
      </c>
      <c r="D22" s="22">
        <v>0.48852200000000001</v>
      </c>
      <c r="E22" s="22">
        <v>0.61699800000000005</v>
      </c>
      <c r="F22" s="22">
        <v>0.74021999999999999</v>
      </c>
      <c r="G22" s="22">
        <v>0.872479</v>
      </c>
      <c r="H22" s="22">
        <v>1.015633</v>
      </c>
      <c r="I22" s="22">
        <v>1.1693290000000001</v>
      </c>
      <c r="J22" s="22">
        <v>1.334678</v>
      </c>
      <c r="K22" s="22">
        <v>1.5124759999999999</v>
      </c>
      <c r="L22" s="22">
        <v>1.7031130000000001</v>
      </c>
      <c r="M22" s="22">
        <v>1.9068309999999999</v>
      </c>
      <c r="N22" s="22">
        <v>2.1189420000000001</v>
      </c>
      <c r="O22" s="22">
        <v>2.336719</v>
      </c>
      <c r="P22" s="22">
        <v>2.556305</v>
      </c>
      <c r="Q22" s="22">
        <v>2.771652</v>
      </c>
      <c r="R22" s="22">
        <v>2.9800059999999999</v>
      </c>
      <c r="S22" s="22">
        <v>3.1793809999999998</v>
      </c>
      <c r="T22" s="22">
        <v>3.3736160000000002</v>
      </c>
      <c r="U22" s="22">
        <v>3.566084</v>
      </c>
      <c r="V22" s="22">
        <v>3.755773</v>
      </c>
      <c r="W22" s="22">
        <v>3.9364880000000002</v>
      </c>
      <c r="X22" s="22">
        <v>4.1141100000000002</v>
      </c>
      <c r="Y22" s="22">
        <v>4.2844660000000001</v>
      </c>
      <c r="Z22" s="22">
        <v>4.4479160000000002</v>
      </c>
      <c r="AA22" s="22">
        <v>4.6137079999999999</v>
      </c>
      <c r="AB22" s="22">
        <v>4.7755470000000004</v>
      </c>
      <c r="AC22" s="22">
        <v>4.9307369999999997</v>
      </c>
      <c r="AD22" s="22">
        <v>5.0771990000000002</v>
      </c>
      <c r="AE22" s="22">
        <v>5.2161749999999998</v>
      </c>
      <c r="AF22" s="22">
        <v>5.3491600000000004</v>
      </c>
      <c r="AG22" s="25">
        <v>9.7070000000000004E-2</v>
      </c>
      <c r="AH22">
        <v>5588.216797</v>
      </c>
      <c r="AI22">
        <v>5636.1411129999997</v>
      </c>
      <c r="AJ22" s="8">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8">
        <v>1.6E-2</v>
      </c>
    </row>
    <row r="24" spans="1:36" ht="36.75">
      <c r="A24" s="10" t="s">
        <v>389</v>
      </c>
      <c r="B24" s="20" t="s">
        <v>272</v>
      </c>
      <c r="C24" s="23">
        <v>888.32324200000005</v>
      </c>
      <c r="D24" s="23">
        <v>907.55993699999999</v>
      </c>
      <c r="E24" s="23">
        <v>915.29083300000002</v>
      </c>
      <c r="F24" s="23">
        <v>914.74591099999998</v>
      </c>
      <c r="G24" s="23">
        <v>917.48150599999997</v>
      </c>
      <c r="H24" s="23">
        <v>917.95696999999996</v>
      </c>
      <c r="I24" s="23">
        <v>914.71563700000002</v>
      </c>
      <c r="J24" s="23">
        <v>913.13915999999995</v>
      </c>
      <c r="K24" s="23">
        <v>912.94812000000002</v>
      </c>
      <c r="L24" s="23">
        <v>913.61932400000001</v>
      </c>
      <c r="M24" s="23">
        <v>914.89263900000003</v>
      </c>
      <c r="N24" s="23">
        <v>917.46624799999995</v>
      </c>
      <c r="O24" s="23">
        <v>921.146973</v>
      </c>
      <c r="P24" s="23">
        <v>925.47863800000005</v>
      </c>
      <c r="Q24" s="23">
        <v>930.15087900000003</v>
      </c>
      <c r="R24" s="23">
        <v>935.85308799999996</v>
      </c>
      <c r="S24" s="23">
        <v>943.34344499999997</v>
      </c>
      <c r="T24" s="23">
        <v>951.09039299999995</v>
      </c>
      <c r="U24" s="23">
        <v>959.00439500000005</v>
      </c>
      <c r="V24" s="23">
        <v>967.11511199999995</v>
      </c>
      <c r="W24" s="23">
        <v>976.32757600000002</v>
      </c>
      <c r="X24" s="23">
        <v>985.921875</v>
      </c>
      <c r="Y24" s="23">
        <v>996.50323500000002</v>
      </c>
      <c r="Z24" s="23">
        <v>1007.049438</v>
      </c>
      <c r="AA24" s="23">
        <v>1017.768433</v>
      </c>
      <c r="AB24" s="23">
        <v>1030.6396480000001</v>
      </c>
      <c r="AC24" s="23">
        <v>1041.2025149999999</v>
      </c>
      <c r="AD24" s="23">
        <v>1050.5196530000001</v>
      </c>
      <c r="AE24" s="23">
        <v>1061.4022219999999</v>
      </c>
      <c r="AF24" s="23">
        <v>1074.767578</v>
      </c>
      <c r="AG24" s="26">
        <v>6.5909999999999996E-3</v>
      </c>
      <c r="AH24">
        <v>4646.4609380000002</v>
      </c>
      <c r="AI24">
        <v>4661.1557620000003</v>
      </c>
      <c r="AJ24" s="8">
        <v>-2E-3</v>
      </c>
    </row>
    <row r="25" spans="1:36" ht="48.75">
      <c r="A25" s="10" t="s">
        <v>390</v>
      </c>
      <c r="B25" s="21" t="s">
        <v>376</v>
      </c>
      <c r="C25" s="22">
        <v>614.34252900000001</v>
      </c>
      <c r="D25" s="22">
        <v>633.80950900000005</v>
      </c>
      <c r="E25" s="22">
        <v>644.77996800000005</v>
      </c>
      <c r="F25" s="22">
        <v>648.86706500000003</v>
      </c>
      <c r="G25" s="22">
        <v>655.23681599999998</v>
      </c>
      <c r="H25" s="22">
        <v>658.69421399999999</v>
      </c>
      <c r="I25" s="22">
        <v>656.84582499999999</v>
      </c>
      <c r="J25" s="22">
        <v>655.41406199999994</v>
      </c>
      <c r="K25" s="22">
        <v>654.60784899999999</v>
      </c>
      <c r="L25" s="22">
        <v>654.20941200000004</v>
      </c>
      <c r="M25" s="22">
        <v>654.01470900000004</v>
      </c>
      <c r="N25" s="22">
        <v>654.28637700000002</v>
      </c>
      <c r="O25" s="22">
        <v>654.76336700000002</v>
      </c>
      <c r="P25" s="22">
        <v>655.90240500000004</v>
      </c>
      <c r="Q25" s="22">
        <v>657.16143799999998</v>
      </c>
      <c r="R25" s="22">
        <v>659.01702899999998</v>
      </c>
      <c r="S25" s="22">
        <v>662.25061000000005</v>
      </c>
      <c r="T25" s="22">
        <v>665.78479000000004</v>
      </c>
      <c r="U25" s="22">
        <v>669.32995600000004</v>
      </c>
      <c r="V25" s="22">
        <v>673.30560300000002</v>
      </c>
      <c r="W25" s="22">
        <v>677.94335899999999</v>
      </c>
      <c r="X25" s="22">
        <v>682.89135699999997</v>
      </c>
      <c r="Y25" s="22">
        <v>688.00506600000006</v>
      </c>
      <c r="Z25" s="22">
        <v>692.85467500000004</v>
      </c>
      <c r="AA25" s="22">
        <v>697.80651899999998</v>
      </c>
      <c r="AB25" s="22">
        <v>703.93994099999998</v>
      </c>
      <c r="AC25" s="22">
        <v>708.92059300000005</v>
      </c>
      <c r="AD25" s="22">
        <v>713.17346199999997</v>
      </c>
      <c r="AE25" s="22">
        <v>718.8125</v>
      </c>
      <c r="AF25" s="22">
        <v>726.34527600000001</v>
      </c>
      <c r="AG25" s="25">
        <v>5.7920000000000003E-3</v>
      </c>
      <c r="AH25">
        <v>89.427291999999994</v>
      </c>
      <c r="AI25">
        <v>96.668953000000002</v>
      </c>
      <c r="AJ25" s="8">
        <v>2.5000000000000001E-2</v>
      </c>
    </row>
    <row r="26" spans="1:36">
      <c r="A26" s="10" t="s">
        <v>391</v>
      </c>
      <c r="B26" s="21" t="s">
        <v>378</v>
      </c>
      <c r="C26" s="22">
        <v>4.1552740000000004</v>
      </c>
      <c r="D26" s="22">
        <v>4.2846580000000003</v>
      </c>
      <c r="E26" s="22">
        <v>4.0672990000000002</v>
      </c>
      <c r="F26" s="22">
        <v>4.1190369999999996</v>
      </c>
      <c r="G26" s="22">
        <v>4.2546290000000004</v>
      </c>
      <c r="H26" s="22">
        <v>4.3491059999999999</v>
      </c>
      <c r="I26" s="22">
        <v>4.4519359999999999</v>
      </c>
      <c r="J26" s="22">
        <v>4.5601940000000001</v>
      </c>
      <c r="K26" s="22">
        <v>4.702108</v>
      </c>
      <c r="L26" s="22">
        <v>4.837161</v>
      </c>
      <c r="M26" s="22">
        <v>4.9781519999999997</v>
      </c>
      <c r="N26" s="22">
        <v>5.1473089999999999</v>
      </c>
      <c r="O26" s="22">
        <v>5.4099250000000003</v>
      </c>
      <c r="P26" s="22">
        <v>5.5183030000000004</v>
      </c>
      <c r="Q26" s="22">
        <v>5.7560729999999998</v>
      </c>
      <c r="R26" s="22">
        <v>6.1638349999999997</v>
      </c>
      <c r="S26" s="22">
        <v>6.5428040000000003</v>
      </c>
      <c r="T26" s="22">
        <v>6.8549049999999996</v>
      </c>
      <c r="U26" s="22">
        <v>7.2632989999999999</v>
      </c>
      <c r="V26" s="22">
        <v>7.6670569999999998</v>
      </c>
      <c r="W26" s="22">
        <v>8.0832300000000004</v>
      </c>
      <c r="X26" s="22">
        <v>8.5725119999999997</v>
      </c>
      <c r="Y26" s="22">
        <v>9.0432140000000008</v>
      </c>
      <c r="Z26" s="22">
        <v>9.5240030000000004</v>
      </c>
      <c r="AA26" s="22">
        <v>10.041880000000001</v>
      </c>
      <c r="AB26" s="22">
        <v>10.58123</v>
      </c>
      <c r="AC26" s="22">
        <v>11.160612</v>
      </c>
      <c r="AD26" s="22">
        <v>11.772819999999999</v>
      </c>
      <c r="AE26" s="22">
        <v>12.428053</v>
      </c>
      <c r="AF26" s="22">
        <v>13.153333999999999</v>
      </c>
      <c r="AG26" s="25">
        <v>4.0534000000000001E-2</v>
      </c>
      <c r="AH26">
        <v>6.5260220000000002</v>
      </c>
      <c r="AI26">
        <v>6.844849</v>
      </c>
      <c r="AJ26" s="8">
        <v>5.8000000000000003E-2</v>
      </c>
    </row>
    <row r="27" spans="1:36" ht="48.75">
      <c r="A27" s="10" t="s">
        <v>392</v>
      </c>
      <c r="B27" s="21" t="s">
        <v>380</v>
      </c>
      <c r="C27" s="22">
        <v>268.642517</v>
      </c>
      <c r="D27" s="22">
        <v>268.125092</v>
      </c>
      <c r="E27" s="22">
        <v>264.92746</v>
      </c>
      <c r="F27" s="22">
        <v>260.09613000000002</v>
      </c>
      <c r="G27" s="22">
        <v>256.220215</v>
      </c>
      <c r="H27" s="22">
        <v>253.049271</v>
      </c>
      <c r="I27" s="22">
        <v>251.487122</v>
      </c>
      <c r="J27" s="22">
        <v>251.19589199999999</v>
      </c>
      <c r="K27" s="22">
        <v>251.62777700000001</v>
      </c>
      <c r="L27" s="22">
        <v>252.52041600000001</v>
      </c>
      <c r="M27" s="22">
        <v>253.80427599999999</v>
      </c>
      <c r="N27" s="22">
        <v>255.89063999999999</v>
      </c>
      <c r="O27" s="22">
        <v>258.78051799999997</v>
      </c>
      <c r="P27" s="22">
        <v>261.80850199999998</v>
      </c>
      <c r="Q27" s="22">
        <v>264.92379799999998</v>
      </c>
      <c r="R27" s="22">
        <v>268.29809599999999</v>
      </c>
      <c r="S27" s="22">
        <v>272.10479700000002</v>
      </c>
      <c r="T27" s="22">
        <v>275.93069500000001</v>
      </c>
      <c r="U27" s="22">
        <v>279.81314099999997</v>
      </c>
      <c r="V27" s="22">
        <v>283.46228000000002</v>
      </c>
      <c r="W27" s="22">
        <v>287.533051</v>
      </c>
      <c r="X27" s="22">
        <v>291.597443</v>
      </c>
      <c r="Y27" s="22">
        <v>296.498627</v>
      </c>
      <c r="Z27" s="22">
        <v>301.61779799999999</v>
      </c>
      <c r="AA27" s="22">
        <v>306.76580799999999</v>
      </c>
      <c r="AB27" s="22">
        <v>312.85644500000001</v>
      </c>
      <c r="AC27" s="22">
        <v>317.753174</v>
      </c>
      <c r="AD27" s="22">
        <v>322.09628300000003</v>
      </c>
      <c r="AE27" s="22">
        <v>326.56167599999998</v>
      </c>
      <c r="AF27" s="22">
        <v>331.52713</v>
      </c>
      <c r="AG27" s="25">
        <v>7.2789999999999999E-3</v>
      </c>
      <c r="AH27">
        <v>3.1706829999999999</v>
      </c>
      <c r="AI27">
        <v>3.3523640000000001</v>
      </c>
      <c r="AJ27" s="8">
        <v>2.5999999999999999E-2</v>
      </c>
    </row>
    <row r="28" spans="1:36">
      <c r="A28" s="10" t="s">
        <v>393</v>
      </c>
      <c r="B28" s="21" t="s">
        <v>384</v>
      </c>
      <c r="C28" s="22">
        <v>0.17543500000000001</v>
      </c>
      <c r="D28" s="22">
        <v>0.34534700000000002</v>
      </c>
      <c r="E28" s="22">
        <v>0.50648599999999999</v>
      </c>
      <c r="F28" s="22">
        <v>0.65390000000000004</v>
      </c>
      <c r="G28" s="22">
        <v>0.78983499999999995</v>
      </c>
      <c r="H28" s="22">
        <v>0.92176800000000003</v>
      </c>
      <c r="I28" s="22">
        <v>1.0287200000000001</v>
      </c>
      <c r="J28" s="22">
        <v>1.1073219999999999</v>
      </c>
      <c r="K28" s="22">
        <v>1.1855770000000001</v>
      </c>
      <c r="L28" s="22">
        <v>1.2613510000000001</v>
      </c>
      <c r="M28" s="22">
        <v>1.335191</v>
      </c>
      <c r="N28" s="22">
        <v>1.4077059999999999</v>
      </c>
      <c r="O28" s="22">
        <v>1.4807189999999999</v>
      </c>
      <c r="P28" s="22">
        <v>1.5540639999999999</v>
      </c>
      <c r="Q28" s="22">
        <v>1.6282369999999999</v>
      </c>
      <c r="R28" s="22">
        <v>1.7046889999999999</v>
      </c>
      <c r="S28" s="22">
        <v>1.7853129999999999</v>
      </c>
      <c r="T28" s="22">
        <v>1.868547</v>
      </c>
      <c r="U28" s="22">
        <v>1.9531689999999999</v>
      </c>
      <c r="V28" s="22">
        <v>2.0406149999999998</v>
      </c>
      <c r="W28" s="22">
        <v>2.1317349999999999</v>
      </c>
      <c r="X28" s="22">
        <v>2.2261380000000002</v>
      </c>
      <c r="Y28" s="22">
        <v>2.3222649999999998</v>
      </c>
      <c r="Z28" s="22">
        <v>2.418539</v>
      </c>
      <c r="AA28" s="22">
        <v>2.5175900000000002</v>
      </c>
      <c r="AB28" s="22">
        <v>2.6219100000000002</v>
      </c>
      <c r="AC28" s="22">
        <v>2.7263829999999998</v>
      </c>
      <c r="AD28" s="22">
        <v>2.8311959999999998</v>
      </c>
      <c r="AE28" s="22">
        <v>2.9450440000000002</v>
      </c>
      <c r="AF28" s="22">
        <v>3.0714039999999998</v>
      </c>
      <c r="AG28" s="25">
        <v>0.10374700000000001</v>
      </c>
      <c r="AH28">
        <v>0.39459899999999998</v>
      </c>
      <c r="AI28">
        <v>0.41319299999999998</v>
      </c>
      <c r="AJ28" s="8">
        <v>0.06</v>
      </c>
    </row>
    <row r="29" spans="1:36" ht="72.75">
      <c r="A29" s="10" t="s">
        <v>394</v>
      </c>
      <c r="B29" s="21" t="s">
        <v>382</v>
      </c>
      <c r="C29" s="22">
        <v>1.0068790000000001</v>
      </c>
      <c r="D29" s="22">
        <v>0.99420200000000003</v>
      </c>
      <c r="E29" s="22">
        <v>1.0079629999999999</v>
      </c>
      <c r="F29" s="22">
        <v>1.007701</v>
      </c>
      <c r="G29" s="22">
        <v>0.97740000000000005</v>
      </c>
      <c r="H29" s="22">
        <v>0.939724</v>
      </c>
      <c r="I29" s="22">
        <v>0.89875899999999997</v>
      </c>
      <c r="J29" s="22">
        <v>0.858267</v>
      </c>
      <c r="K29" s="22">
        <v>0.82132300000000003</v>
      </c>
      <c r="L29" s="22">
        <v>0.78721799999999997</v>
      </c>
      <c r="M29" s="22">
        <v>0.75648499999999996</v>
      </c>
      <c r="N29" s="22">
        <v>0.73018499999999997</v>
      </c>
      <c r="O29" s="22">
        <v>0.708314</v>
      </c>
      <c r="P29" s="22">
        <v>0.69103800000000004</v>
      </c>
      <c r="Q29" s="22">
        <v>0.67702799999999996</v>
      </c>
      <c r="R29" s="22">
        <v>0.66500700000000001</v>
      </c>
      <c r="S29" s="22">
        <v>0.65533399999999997</v>
      </c>
      <c r="T29" s="22">
        <v>0.64680300000000002</v>
      </c>
      <c r="U29" s="22">
        <v>0.64005699999999999</v>
      </c>
      <c r="V29" s="22">
        <v>0.63469399999999998</v>
      </c>
      <c r="W29" s="22">
        <v>0.63115100000000002</v>
      </c>
      <c r="X29" s="22">
        <v>0.62939599999999996</v>
      </c>
      <c r="Y29" s="22">
        <v>0.62889499999999998</v>
      </c>
      <c r="Z29" s="22">
        <v>0.62921099999999996</v>
      </c>
      <c r="AA29" s="22">
        <v>0.63126599999999999</v>
      </c>
      <c r="AB29" s="22">
        <v>0.63462499999999999</v>
      </c>
      <c r="AC29" s="22">
        <v>0.63616200000000001</v>
      </c>
      <c r="AD29" s="22">
        <v>0.64023300000000005</v>
      </c>
      <c r="AE29" s="22">
        <v>0.64914099999999997</v>
      </c>
      <c r="AF29" s="22">
        <v>0.66471599999999997</v>
      </c>
      <c r="AG29" s="25">
        <v>-1.4217E-2</v>
      </c>
      <c r="AH29">
        <v>5.6316069999999998</v>
      </c>
      <c r="AI29">
        <v>5.9356090000000004</v>
      </c>
      <c r="AJ29" s="8">
        <v>0.128</v>
      </c>
    </row>
    <row r="30" spans="1:36" ht="24.75">
      <c r="A30" s="10" t="s">
        <v>395</v>
      </c>
      <c r="B30" s="21" t="s">
        <v>386</v>
      </c>
      <c r="C30" s="22">
        <v>5.9900000000000003E-4</v>
      </c>
      <c r="D30" s="22">
        <v>1.165E-3</v>
      </c>
      <c r="E30" s="22">
        <v>1.684E-3</v>
      </c>
      <c r="F30" s="22">
        <v>2.1419999999999998E-3</v>
      </c>
      <c r="G30" s="22">
        <v>2.5490000000000001E-3</v>
      </c>
      <c r="H30" s="22">
        <v>2.9290000000000002E-3</v>
      </c>
      <c r="I30" s="22">
        <v>3.2179999999999999E-3</v>
      </c>
      <c r="J30" s="22">
        <v>3.3960000000000001E-3</v>
      </c>
      <c r="K30" s="22">
        <v>3.5660000000000002E-3</v>
      </c>
      <c r="L30" s="22">
        <v>3.7239999999999999E-3</v>
      </c>
      <c r="M30" s="22">
        <v>3.869E-3</v>
      </c>
      <c r="N30" s="22">
        <v>4.0029999999999996E-3</v>
      </c>
      <c r="O30" s="22">
        <v>4.1310000000000001E-3</v>
      </c>
      <c r="P30" s="22">
        <v>4.2519999999999997E-3</v>
      </c>
      <c r="Q30" s="22">
        <v>4.3660000000000001E-3</v>
      </c>
      <c r="R30" s="22">
        <v>4.4759999999999999E-3</v>
      </c>
      <c r="S30" s="22">
        <v>4.5859999999999998E-3</v>
      </c>
      <c r="T30" s="22">
        <v>4.6909999999999999E-3</v>
      </c>
      <c r="U30" s="22">
        <v>4.79E-3</v>
      </c>
      <c r="V30" s="22">
        <v>4.8849999999999996E-3</v>
      </c>
      <c r="W30" s="22">
        <v>4.9810000000000002E-3</v>
      </c>
      <c r="X30" s="22">
        <v>5.0769999999999999E-3</v>
      </c>
      <c r="Y30" s="22">
        <v>5.1710000000000002E-3</v>
      </c>
      <c r="Z30" s="22">
        <v>5.2579999999999997E-3</v>
      </c>
      <c r="AA30" s="22">
        <v>5.3449999999999999E-3</v>
      </c>
      <c r="AB30" s="22">
        <v>5.4349999999999997E-3</v>
      </c>
      <c r="AC30" s="22">
        <v>5.5189999999999996E-3</v>
      </c>
      <c r="AD30" s="22">
        <v>5.5950000000000001E-3</v>
      </c>
      <c r="AE30" s="22">
        <v>5.6800000000000002E-3</v>
      </c>
      <c r="AF30" s="22">
        <v>5.7790000000000003E-3</v>
      </c>
      <c r="AG30" s="25">
        <v>8.1298999999999996E-2</v>
      </c>
      <c r="AH30">
        <v>435.12530500000003</v>
      </c>
      <c r="AI30">
        <v>437.26293900000002</v>
      </c>
      <c r="AJ30" s="8">
        <v>-2E-3</v>
      </c>
    </row>
    <row r="31" spans="1:36">
      <c r="A31" s="10" t="s">
        <v>396</v>
      </c>
      <c r="B31" s="21" t="s">
        <v>388</v>
      </c>
      <c r="C31" s="22">
        <v>0</v>
      </c>
      <c r="D31" s="22">
        <v>0</v>
      </c>
      <c r="E31" s="22">
        <v>0</v>
      </c>
      <c r="F31" s="22">
        <v>0</v>
      </c>
      <c r="G31" s="22">
        <v>0</v>
      </c>
      <c r="H31" s="22">
        <v>0</v>
      </c>
      <c r="I31" s="22">
        <v>0</v>
      </c>
      <c r="J31" s="22">
        <v>0</v>
      </c>
      <c r="K31" s="22">
        <v>0</v>
      </c>
      <c r="L31" s="22">
        <v>0</v>
      </c>
      <c r="M31" s="22">
        <v>0</v>
      </c>
      <c r="N31" s="22">
        <v>0</v>
      </c>
      <c r="O31" s="22">
        <v>0</v>
      </c>
      <c r="P31" s="22">
        <v>0</v>
      </c>
      <c r="Q31" s="22">
        <v>0</v>
      </c>
      <c r="R31" s="22">
        <v>0</v>
      </c>
      <c r="S31" s="22">
        <v>0</v>
      </c>
      <c r="T31" s="22">
        <v>0</v>
      </c>
      <c r="U31" s="22">
        <v>0</v>
      </c>
      <c r="V31" s="22">
        <v>0</v>
      </c>
      <c r="W31" s="22">
        <v>0</v>
      </c>
      <c r="X31" s="22">
        <v>0</v>
      </c>
      <c r="Y31" s="22">
        <v>0</v>
      </c>
      <c r="Z31" s="22">
        <v>0</v>
      </c>
      <c r="AA31" s="22">
        <v>0</v>
      </c>
      <c r="AB31" s="22">
        <v>0</v>
      </c>
      <c r="AC31" s="22">
        <v>0</v>
      </c>
      <c r="AD31" s="22">
        <v>0</v>
      </c>
      <c r="AE31" s="22">
        <v>0</v>
      </c>
      <c r="AF31" s="22">
        <v>0</v>
      </c>
      <c r="AG31" s="25" t="s">
        <v>397</v>
      </c>
      <c r="AH31">
        <v>248.602814</v>
      </c>
      <c r="AI31">
        <v>244.09139999999999</v>
      </c>
      <c r="AJ31" s="8">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109</v>
      </c>
    </row>
    <row r="33" spans="1:36" ht="24.75">
      <c r="A33" s="10" t="s">
        <v>398</v>
      </c>
      <c r="B33" s="20" t="s">
        <v>399</v>
      </c>
      <c r="C33" s="23">
        <v>5569.2719729999999</v>
      </c>
      <c r="D33" s="23">
        <v>5649.5097660000001</v>
      </c>
      <c r="E33" s="23">
        <v>5670.9580079999996</v>
      </c>
      <c r="F33" s="23">
        <v>5665.5717770000001</v>
      </c>
      <c r="G33" s="23">
        <v>5658.5766599999997</v>
      </c>
      <c r="H33" s="23">
        <v>5631.4038090000004</v>
      </c>
      <c r="I33" s="23">
        <v>5582.7319340000004</v>
      </c>
      <c r="J33" s="23">
        <v>5544.029297</v>
      </c>
      <c r="K33" s="23">
        <v>5507.4682620000003</v>
      </c>
      <c r="L33" s="23">
        <v>5466.3779299999997</v>
      </c>
      <c r="M33" s="23">
        <v>5425.6215819999998</v>
      </c>
      <c r="N33" s="23">
        <v>5390.0795900000003</v>
      </c>
      <c r="O33" s="23">
        <v>5360.4155270000001</v>
      </c>
      <c r="P33" s="23">
        <v>5334.1704099999997</v>
      </c>
      <c r="Q33" s="23">
        <v>5316.8237300000001</v>
      </c>
      <c r="R33" s="23">
        <v>5305.4541019999997</v>
      </c>
      <c r="S33" s="23">
        <v>5305.1635740000002</v>
      </c>
      <c r="T33" s="23">
        <v>5310.3725590000004</v>
      </c>
      <c r="U33" s="23">
        <v>5318.4970700000003</v>
      </c>
      <c r="V33" s="23">
        <v>5330.435547</v>
      </c>
      <c r="W33" s="23">
        <v>5350.3930659999996</v>
      </c>
      <c r="X33" s="23">
        <v>5378.455078</v>
      </c>
      <c r="Y33" s="23">
        <v>5406.6201170000004</v>
      </c>
      <c r="Z33" s="23">
        <v>5437.1547849999997</v>
      </c>
      <c r="AA33" s="23">
        <v>5469.4423829999996</v>
      </c>
      <c r="AB33" s="23">
        <v>5506.4965819999998</v>
      </c>
      <c r="AC33" s="23">
        <v>5534.533203</v>
      </c>
      <c r="AD33" s="23">
        <v>5554.2827150000003</v>
      </c>
      <c r="AE33" s="23">
        <v>5588.216797</v>
      </c>
      <c r="AF33" s="23">
        <v>5636.1411129999997</v>
      </c>
      <c r="AG33" s="26">
        <v>4.1199999999999999E-4</v>
      </c>
      <c r="AH33">
        <v>0</v>
      </c>
      <c r="AI33">
        <v>0</v>
      </c>
      <c r="AJ33" t="s">
        <v>109</v>
      </c>
    </row>
    <row r="34" spans="1:36" ht="24.75">
      <c r="A34" s="10" t="s">
        <v>400</v>
      </c>
      <c r="B34" s="21" t="s">
        <v>401</v>
      </c>
      <c r="C34" s="22">
        <v>542.42627000000005</v>
      </c>
      <c r="D34" s="22">
        <v>542.14465299999995</v>
      </c>
      <c r="E34" s="22">
        <v>538.33727999999996</v>
      </c>
      <c r="F34" s="22">
        <v>534.45135500000004</v>
      </c>
      <c r="G34" s="22">
        <v>532.07110599999999</v>
      </c>
      <c r="H34" s="22">
        <v>530.26318400000002</v>
      </c>
      <c r="I34" s="22">
        <v>528.99560499999995</v>
      </c>
      <c r="J34" s="22">
        <v>531.24078399999996</v>
      </c>
      <c r="K34" s="22">
        <v>535.62042199999996</v>
      </c>
      <c r="L34" s="22">
        <v>540.57415800000001</v>
      </c>
      <c r="M34" s="22">
        <v>546.10522500000002</v>
      </c>
      <c r="N34" s="22">
        <v>553.47820999999999</v>
      </c>
      <c r="O34" s="22">
        <v>561.97143600000004</v>
      </c>
      <c r="P34" s="22">
        <v>571.28845200000001</v>
      </c>
      <c r="Q34" s="22">
        <v>581.83612100000005</v>
      </c>
      <c r="R34" s="22">
        <v>593.38824499999998</v>
      </c>
      <c r="S34" s="22">
        <v>607.09887700000002</v>
      </c>
      <c r="T34" s="22">
        <v>620.73406999999997</v>
      </c>
      <c r="U34" s="22">
        <v>635.69976799999995</v>
      </c>
      <c r="V34" s="22">
        <v>651.12866199999996</v>
      </c>
      <c r="W34" s="22">
        <v>668.65380900000002</v>
      </c>
      <c r="X34" s="22">
        <v>687.60571300000004</v>
      </c>
      <c r="Y34" s="22">
        <v>706.99609399999997</v>
      </c>
      <c r="Z34" s="22">
        <v>727.34741199999996</v>
      </c>
      <c r="AA34" s="22">
        <v>748.41870100000006</v>
      </c>
      <c r="AB34" s="22">
        <v>770.70361300000002</v>
      </c>
      <c r="AC34" s="22">
        <v>792.29974400000003</v>
      </c>
      <c r="AD34" s="22">
        <v>813.28997800000002</v>
      </c>
      <c r="AE34" s="22">
        <v>836.60589600000003</v>
      </c>
      <c r="AF34" s="22">
        <v>861.77056900000002</v>
      </c>
      <c r="AG34" s="25">
        <v>1.6091000000000001E-2</v>
      </c>
      <c r="AH34">
        <v>186.522491</v>
      </c>
      <c r="AI34">
        <v>193.17152400000001</v>
      </c>
      <c r="AJ34" s="8">
        <v>0.182</v>
      </c>
    </row>
    <row r="35" spans="1:36" ht="48.75">
      <c r="A35" s="10" t="s">
        <v>402</v>
      </c>
      <c r="B35" s="21" t="s">
        <v>380</v>
      </c>
      <c r="C35" s="22">
        <v>4976.689453</v>
      </c>
      <c r="D35" s="22">
        <v>5055.3876950000003</v>
      </c>
      <c r="E35" s="22">
        <v>5079.8876950000003</v>
      </c>
      <c r="F35" s="22">
        <v>5078.1098629999997</v>
      </c>
      <c r="G35" s="22">
        <v>5073.4624020000001</v>
      </c>
      <c r="H35" s="22">
        <v>5048.3701170000004</v>
      </c>
      <c r="I35" s="22">
        <v>5001.4560549999997</v>
      </c>
      <c r="J35" s="22">
        <v>4960.8745120000003</v>
      </c>
      <c r="K35" s="22">
        <v>4920.2299800000001</v>
      </c>
      <c r="L35" s="22">
        <v>4874.4697269999997</v>
      </c>
      <c r="M35" s="22">
        <v>4828.3608400000003</v>
      </c>
      <c r="N35" s="22">
        <v>4785.4204099999997</v>
      </c>
      <c r="O35" s="22">
        <v>4746.9272460000002</v>
      </c>
      <c r="P35" s="22">
        <v>4710.8579099999997</v>
      </c>
      <c r="Q35" s="22">
        <v>4682.1533200000003</v>
      </c>
      <c r="R35" s="22">
        <v>4658.1376950000003</v>
      </c>
      <c r="S35" s="22">
        <v>4642.6943359999996</v>
      </c>
      <c r="T35" s="22">
        <v>4632.513672</v>
      </c>
      <c r="U35" s="22">
        <v>4623.5385740000002</v>
      </c>
      <c r="V35" s="22">
        <v>4617.484375</v>
      </c>
      <c r="W35" s="22">
        <v>4616.8857420000004</v>
      </c>
      <c r="X35" s="22">
        <v>4622.5307620000003</v>
      </c>
      <c r="Y35" s="22">
        <v>4627.5087890000004</v>
      </c>
      <c r="Z35" s="22">
        <v>4633.4614259999998</v>
      </c>
      <c r="AA35" s="22">
        <v>4639.9770509999998</v>
      </c>
      <c r="AB35" s="22">
        <v>4649.4360349999997</v>
      </c>
      <c r="AC35" s="22">
        <v>4650.1777339999999</v>
      </c>
      <c r="AD35" s="22">
        <v>4642.8535160000001</v>
      </c>
      <c r="AE35" s="22">
        <v>4646.4609380000002</v>
      </c>
      <c r="AF35" s="22">
        <v>4661.1557620000003</v>
      </c>
      <c r="AG35" s="25">
        <v>-2.2560000000000002E-3</v>
      </c>
      <c r="AH35">
        <v>46.348914999999998</v>
      </c>
      <c r="AI35">
        <v>46.08128</v>
      </c>
      <c r="AJ35" s="8">
        <v>-1.7000000000000001E-2</v>
      </c>
    </row>
    <row r="36" spans="1:36" ht="72.75">
      <c r="A36" s="10" t="s">
        <v>403</v>
      </c>
      <c r="B36" s="21" t="s">
        <v>382</v>
      </c>
      <c r="C36" s="22">
        <v>46.997394999999997</v>
      </c>
      <c r="D36" s="22">
        <v>48.367187999999999</v>
      </c>
      <c r="E36" s="22">
        <v>48.840888999999997</v>
      </c>
      <c r="F36" s="22">
        <v>48.741549999999997</v>
      </c>
      <c r="G36" s="22">
        <v>48.394592000000003</v>
      </c>
      <c r="H36" s="22">
        <v>47.769526999999997</v>
      </c>
      <c r="I36" s="22">
        <v>46.945366</v>
      </c>
      <c r="J36" s="22">
        <v>46.237301000000002</v>
      </c>
      <c r="K36" s="22">
        <v>45.587302999999999</v>
      </c>
      <c r="L36" s="22">
        <v>44.961219999999997</v>
      </c>
      <c r="M36" s="22">
        <v>44.450096000000002</v>
      </c>
      <c r="N36" s="22">
        <v>44.134995000000004</v>
      </c>
      <c r="O36" s="22">
        <v>44.093451999999999</v>
      </c>
      <c r="P36" s="22">
        <v>44.283028000000002</v>
      </c>
      <c r="Q36" s="22">
        <v>44.730705</v>
      </c>
      <c r="R36" s="22">
        <v>45.414245999999999</v>
      </c>
      <c r="S36" s="22">
        <v>46.434826000000001</v>
      </c>
      <c r="T36" s="22">
        <v>47.786712999999999</v>
      </c>
      <c r="U36" s="22">
        <v>49.478347999999997</v>
      </c>
      <c r="V36" s="22">
        <v>51.585850000000001</v>
      </c>
      <c r="W36" s="22">
        <v>54.127968000000003</v>
      </c>
      <c r="X36" s="22">
        <v>57.057158999999999</v>
      </c>
      <c r="Y36" s="22">
        <v>60.303584999999998</v>
      </c>
      <c r="Z36" s="22">
        <v>63.959395999999998</v>
      </c>
      <c r="AA36" s="22">
        <v>68.052475000000001</v>
      </c>
      <c r="AB36" s="22">
        <v>72.714104000000006</v>
      </c>
      <c r="AC36" s="22">
        <v>77.749099999999999</v>
      </c>
      <c r="AD36" s="22">
        <v>83.156768999999997</v>
      </c>
      <c r="AE36" s="22">
        <v>89.427291999999994</v>
      </c>
      <c r="AF36" s="22">
        <v>96.668953000000002</v>
      </c>
      <c r="AG36" s="25">
        <v>2.5180999999999999E-2</v>
      </c>
      <c r="AH36">
        <v>44.682087000000003</v>
      </c>
      <c r="AI36">
        <v>44.326450000000001</v>
      </c>
      <c r="AJ36" s="8">
        <v>-1.7000000000000001E-2</v>
      </c>
    </row>
    <row r="37" spans="1:36">
      <c r="A37" s="10" t="s">
        <v>404</v>
      </c>
      <c r="B37" s="21" t="s">
        <v>384</v>
      </c>
      <c r="C37" s="22">
        <v>1.3243100000000001</v>
      </c>
      <c r="D37" s="22">
        <v>1.516086</v>
      </c>
      <c r="E37" s="22">
        <v>1.6933130000000001</v>
      </c>
      <c r="F37" s="22">
        <v>1.8586180000000001</v>
      </c>
      <c r="G37" s="22">
        <v>2.019209</v>
      </c>
      <c r="H37" s="22">
        <v>2.1709540000000001</v>
      </c>
      <c r="I37" s="22">
        <v>2.309936</v>
      </c>
      <c r="J37" s="22">
        <v>2.4498190000000002</v>
      </c>
      <c r="K37" s="22">
        <v>2.5863390000000002</v>
      </c>
      <c r="L37" s="22">
        <v>2.7183259999999998</v>
      </c>
      <c r="M37" s="22">
        <v>2.8477730000000001</v>
      </c>
      <c r="N37" s="22">
        <v>2.9795199999999999</v>
      </c>
      <c r="O37" s="22">
        <v>3.1201539999999999</v>
      </c>
      <c r="P37" s="22">
        <v>3.2687210000000002</v>
      </c>
      <c r="Q37" s="22">
        <v>3.4208910000000001</v>
      </c>
      <c r="R37" s="22">
        <v>3.5789550000000001</v>
      </c>
      <c r="S37" s="22">
        <v>3.7479100000000001</v>
      </c>
      <c r="T37" s="22">
        <v>3.9238650000000002</v>
      </c>
      <c r="U37" s="22">
        <v>4.1086</v>
      </c>
      <c r="V37" s="22">
        <v>4.3069369999999996</v>
      </c>
      <c r="W37" s="22">
        <v>4.5213640000000002</v>
      </c>
      <c r="X37" s="22">
        <v>4.745323</v>
      </c>
      <c r="Y37" s="22">
        <v>4.9734220000000002</v>
      </c>
      <c r="Z37" s="22">
        <v>5.208405</v>
      </c>
      <c r="AA37" s="22">
        <v>5.4531479999999997</v>
      </c>
      <c r="AB37" s="22">
        <v>5.7137700000000002</v>
      </c>
      <c r="AC37" s="22">
        <v>5.9756749999999998</v>
      </c>
      <c r="AD37" s="22">
        <v>6.2400200000000003</v>
      </c>
      <c r="AE37" s="22">
        <v>6.5260220000000002</v>
      </c>
      <c r="AF37" s="22">
        <v>6.844849</v>
      </c>
      <c r="AG37" s="25">
        <v>5.8276000000000001E-2</v>
      </c>
      <c r="AH37">
        <v>0.232824</v>
      </c>
      <c r="AI37">
        <v>0.231458</v>
      </c>
      <c r="AJ37" s="8">
        <v>-6.7000000000000004E-2</v>
      </c>
    </row>
    <row r="38" spans="1:36">
      <c r="A38" s="10" t="s">
        <v>405</v>
      </c>
      <c r="B38" s="21" t="s">
        <v>406</v>
      </c>
      <c r="C38" s="22">
        <v>1.578584</v>
      </c>
      <c r="D38" s="22">
        <v>1.642083</v>
      </c>
      <c r="E38" s="22">
        <v>1.5531219999999999</v>
      </c>
      <c r="F38" s="22">
        <v>1.577604</v>
      </c>
      <c r="G38" s="22">
        <v>1.6098710000000001</v>
      </c>
      <c r="H38" s="22">
        <v>1.626797</v>
      </c>
      <c r="I38" s="22">
        <v>1.6437330000000001</v>
      </c>
      <c r="J38" s="22">
        <v>1.666846</v>
      </c>
      <c r="K38" s="22">
        <v>1.7018519999999999</v>
      </c>
      <c r="L38" s="22">
        <v>1.7316370000000001</v>
      </c>
      <c r="M38" s="22">
        <v>1.7555149999999999</v>
      </c>
      <c r="N38" s="22">
        <v>1.785379</v>
      </c>
      <c r="O38" s="22">
        <v>1.843507</v>
      </c>
      <c r="P38" s="22">
        <v>1.834945</v>
      </c>
      <c r="Q38" s="22">
        <v>1.8669020000000001</v>
      </c>
      <c r="R38" s="22">
        <v>1.9379169999999999</v>
      </c>
      <c r="S38" s="22">
        <v>2.0014780000000001</v>
      </c>
      <c r="T38" s="22">
        <v>2.0326149999999998</v>
      </c>
      <c r="U38" s="22">
        <v>2.0868359999999999</v>
      </c>
      <c r="V38" s="22">
        <v>2.1404719999999999</v>
      </c>
      <c r="W38" s="22">
        <v>2.2006700000000001</v>
      </c>
      <c r="X38" s="22">
        <v>2.2882199999999999</v>
      </c>
      <c r="Y38" s="22">
        <v>2.3784920000000001</v>
      </c>
      <c r="Z38" s="22">
        <v>2.4800369999999998</v>
      </c>
      <c r="AA38" s="22">
        <v>2.59565</v>
      </c>
      <c r="AB38" s="22">
        <v>2.7215060000000002</v>
      </c>
      <c r="AC38" s="22">
        <v>2.8599570000000001</v>
      </c>
      <c r="AD38" s="22">
        <v>3.007593</v>
      </c>
      <c r="AE38" s="22">
        <v>3.1706829999999999</v>
      </c>
      <c r="AF38" s="22">
        <v>3.3523640000000001</v>
      </c>
      <c r="AG38" s="25">
        <v>2.631E-2</v>
      </c>
      <c r="AH38">
        <v>0</v>
      </c>
      <c r="AI38">
        <v>0</v>
      </c>
      <c r="AJ38" t="s">
        <v>109</v>
      </c>
    </row>
    <row r="39" spans="1:36" ht="24.75">
      <c r="A39" s="10" t="s">
        <v>407</v>
      </c>
      <c r="B39" s="21" t="s">
        <v>386</v>
      </c>
      <c r="C39" s="22">
        <v>7.6537999999999995E-2</v>
      </c>
      <c r="D39" s="22">
        <v>9.0200000000000002E-2</v>
      </c>
      <c r="E39" s="22">
        <v>0.103405</v>
      </c>
      <c r="F39" s="22">
        <v>0.116059</v>
      </c>
      <c r="G39" s="22">
        <v>0.12839500000000001</v>
      </c>
      <c r="H39" s="22">
        <v>0.13988100000000001</v>
      </c>
      <c r="I39" s="22">
        <v>0.15033199999999999</v>
      </c>
      <c r="J39" s="22">
        <v>0.16052900000000001</v>
      </c>
      <c r="K39" s="22">
        <v>0.17016100000000001</v>
      </c>
      <c r="L39" s="22">
        <v>0.178865</v>
      </c>
      <c r="M39" s="22">
        <v>0.18687799999999999</v>
      </c>
      <c r="N39" s="22">
        <v>0.19444800000000001</v>
      </c>
      <c r="O39" s="22">
        <v>0.20161399999999999</v>
      </c>
      <c r="P39" s="22">
        <v>0.20866299999999999</v>
      </c>
      <c r="Q39" s="22">
        <v>0.216228</v>
      </c>
      <c r="R39" s="22">
        <v>0.22417000000000001</v>
      </c>
      <c r="S39" s="22">
        <v>0.233181</v>
      </c>
      <c r="T39" s="22">
        <v>0.24357799999999999</v>
      </c>
      <c r="U39" s="22">
        <v>0.25422600000000001</v>
      </c>
      <c r="V39" s="22">
        <v>0.26469500000000001</v>
      </c>
      <c r="W39" s="22">
        <v>0.27645700000000001</v>
      </c>
      <c r="X39" s="22">
        <v>0.28980699999999998</v>
      </c>
      <c r="Y39" s="22">
        <v>0.30384499999999998</v>
      </c>
      <c r="Z39" s="22">
        <v>0.31773099999999999</v>
      </c>
      <c r="AA39" s="22">
        <v>0.332038</v>
      </c>
      <c r="AB39" s="22">
        <v>0.34720000000000001</v>
      </c>
      <c r="AC39" s="22">
        <v>0.36238399999999998</v>
      </c>
      <c r="AD39" s="22">
        <v>0.377662</v>
      </c>
      <c r="AE39" s="22">
        <v>0.39459899999999998</v>
      </c>
      <c r="AF39" s="22">
        <v>0.41319299999999998</v>
      </c>
      <c r="AG39" s="25">
        <v>5.9866000000000003E-2</v>
      </c>
      <c r="AH39">
        <v>1.434007</v>
      </c>
      <c r="AI39">
        <v>1.5233730000000001</v>
      </c>
      <c r="AJ39" s="8">
        <v>4.3999999999999997E-2</v>
      </c>
    </row>
    <row r="40" spans="1:36">
      <c r="A40" s="10" t="s">
        <v>408</v>
      </c>
      <c r="B40" s="21" t="s">
        <v>388</v>
      </c>
      <c r="C40" s="22">
        <v>0.17952299999999999</v>
      </c>
      <c r="D40" s="22">
        <v>0.36213600000000001</v>
      </c>
      <c r="E40" s="22">
        <v>0.54206699999999997</v>
      </c>
      <c r="F40" s="22">
        <v>0.71720499999999998</v>
      </c>
      <c r="G40" s="22">
        <v>0.89110400000000001</v>
      </c>
      <c r="H40" s="22">
        <v>1.063266</v>
      </c>
      <c r="I40" s="22">
        <v>1.2310570000000001</v>
      </c>
      <c r="J40" s="22">
        <v>1.39991</v>
      </c>
      <c r="K40" s="22">
        <v>1.5718259999999999</v>
      </c>
      <c r="L40" s="22">
        <v>1.7439750000000001</v>
      </c>
      <c r="M40" s="22">
        <v>1.9156880000000001</v>
      </c>
      <c r="N40" s="22">
        <v>2.0870470000000001</v>
      </c>
      <c r="O40" s="22">
        <v>2.2583690000000001</v>
      </c>
      <c r="P40" s="22">
        <v>2.4285399999999999</v>
      </c>
      <c r="Q40" s="22">
        <v>2.5999759999999998</v>
      </c>
      <c r="R40" s="22">
        <v>2.7732060000000001</v>
      </c>
      <c r="S40" s="22">
        <v>2.952922</v>
      </c>
      <c r="T40" s="22">
        <v>3.1384370000000001</v>
      </c>
      <c r="U40" s="22">
        <v>3.3307549999999999</v>
      </c>
      <c r="V40" s="22">
        <v>3.5242749999999998</v>
      </c>
      <c r="W40" s="22">
        <v>3.726855</v>
      </c>
      <c r="X40" s="22">
        <v>3.9380709999999999</v>
      </c>
      <c r="Y40" s="22">
        <v>4.1557440000000003</v>
      </c>
      <c r="Z40" s="22">
        <v>4.3805110000000003</v>
      </c>
      <c r="AA40" s="22">
        <v>4.6136169999999996</v>
      </c>
      <c r="AB40" s="22">
        <v>4.8605869999999998</v>
      </c>
      <c r="AC40" s="22">
        <v>5.1085190000000003</v>
      </c>
      <c r="AD40" s="22">
        <v>5.3570710000000004</v>
      </c>
      <c r="AE40" s="22">
        <v>5.6316069999999998</v>
      </c>
      <c r="AF40" s="22">
        <v>5.9356090000000004</v>
      </c>
      <c r="AG40" s="25">
        <v>0.12821299999999999</v>
      </c>
      <c r="AH40">
        <v>879.32208300000002</v>
      </c>
      <c r="AI40">
        <v>880.51599099999999</v>
      </c>
      <c r="AJ40" s="8">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8">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8">
        <v>-6.0000000000000001E-3</v>
      </c>
    </row>
    <row r="43" spans="1:36" ht="24.75">
      <c r="A43" s="10" t="s">
        <v>409</v>
      </c>
      <c r="B43" s="20" t="s">
        <v>410</v>
      </c>
      <c r="C43" s="23">
        <v>468.24883999999997</v>
      </c>
      <c r="D43" s="23">
        <v>471.07888800000001</v>
      </c>
      <c r="E43" s="23">
        <v>474.24130200000002</v>
      </c>
      <c r="F43" s="23">
        <v>442.51971400000002</v>
      </c>
      <c r="G43" s="23">
        <v>448.956726</v>
      </c>
      <c r="H43" s="23">
        <v>457.64755200000002</v>
      </c>
      <c r="I43" s="23">
        <v>456.70379600000001</v>
      </c>
      <c r="J43" s="23">
        <v>455.44903599999998</v>
      </c>
      <c r="K43" s="23">
        <v>453.94357300000001</v>
      </c>
      <c r="L43" s="23">
        <v>453.61090100000001</v>
      </c>
      <c r="M43" s="23">
        <v>453.71829200000002</v>
      </c>
      <c r="N43" s="23">
        <v>453.838257</v>
      </c>
      <c r="O43" s="23">
        <v>454.42358400000001</v>
      </c>
      <c r="P43" s="23">
        <v>449.776611</v>
      </c>
      <c r="Q43" s="23">
        <v>447.98791499999999</v>
      </c>
      <c r="R43" s="23">
        <v>443.34918199999998</v>
      </c>
      <c r="S43" s="23">
        <v>443.77777099999997</v>
      </c>
      <c r="T43" s="23">
        <v>443.31896999999998</v>
      </c>
      <c r="U43" s="23">
        <v>442.87756300000001</v>
      </c>
      <c r="V43" s="23">
        <v>441.743042</v>
      </c>
      <c r="W43" s="23">
        <v>441.236176</v>
      </c>
      <c r="X43" s="23">
        <v>441.40057400000001</v>
      </c>
      <c r="Y43" s="23">
        <v>440.00219700000002</v>
      </c>
      <c r="Z43" s="23">
        <v>438.087219</v>
      </c>
      <c r="AA43" s="23">
        <v>437.03344700000002</v>
      </c>
      <c r="AB43" s="23">
        <v>436.80850199999998</v>
      </c>
      <c r="AC43" s="23">
        <v>435.68884300000002</v>
      </c>
      <c r="AD43" s="23">
        <v>435.13897700000001</v>
      </c>
      <c r="AE43" s="23">
        <v>435.12530500000003</v>
      </c>
      <c r="AF43" s="23">
        <v>437.26293900000002</v>
      </c>
      <c r="AG43" s="26">
        <v>-2.3579999999999999E-3</v>
      </c>
      <c r="AH43">
        <v>0</v>
      </c>
      <c r="AI43">
        <v>0</v>
      </c>
      <c r="AJ43" t="s">
        <v>109</v>
      </c>
    </row>
    <row r="44" spans="1:36" ht="48.75">
      <c r="A44" s="10" t="s">
        <v>411</v>
      </c>
      <c r="B44" s="21" t="s">
        <v>380</v>
      </c>
      <c r="C44" s="22">
        <v>466.74658199999999</v>
      </c>
      <c r="D44" s="22">
        <v>468.05999800000001</v>
      </c>
      <c r="E44" s="22">
        <v>469.18505900000002</v>
      </c>
      <c r="F44" s="22">
        <v>435.459045</v>
      </c>
      <c r="G44" s="22">
        <v>437.88919099999998</v>
      </c>
      <c r="H44" s="22">
        <v>440.86505099999999</v>
      </c>
      <c r="I44" s="22">
        <v>433.00036599999999</v>
      </c>
      <c r="J44" s="22">
        <v>423.47860700000001</v>
      </c>
      <c r="K44" s="22">
        <v>412.46298200000001</v>
      </c>
      <c r="L44" s="22">
        <v>402.75726300000002</v>
      </c>
      <c r="M44" s="22">
        <v>393.64819299999999</v>
      </c>
      <c r="N44" s="22">
        <v>384.74282799999997</v>
      </c>
      <c r="O44" s="22">
        <v>376.411652</v>
      </c>
      <c r="P44" s="22">
        <v>364.013214</v>
      </c>
      <c r="Q44" s="22">
        <v>354.24575800000002</v>
      </c>
      <c r="R44" s="22">
        <v>342.53298999999998</v>
      </c>
      <c r="S44" s="22">
        <v>334.996399</v>
      </c>
      <c r="T44" s="22">
        <v>326.97082499999999</v>
      </c>
      <c r="U44" s="22">
        <v>319.149719</v>
      </c>
      <c r="V44" s="22">
        <v>311.02734400000003</v>
      </c>
      <c r="W44" s="22">
        <v>303.54150399999997</v>
      </c>
      <c r="X44" s="22">
        <v>296.68661500000002</v>
      </c>
      <c r="Y44" s="22">
        <v>288.96017499999999</v>
      </c>
      <c r="Z44" s="22">
        <v>281.100616</v>
      </c>
      <c r="AA44" s="22">
        <v>273.98956299999998</v>
      </c>
      <c r="AB44" s="22">
        <v>267.56451399999997</v>
      </c>
      <c r="AC44" s="22">
        <v>260.75457799999998</v>
      </c>
      <c r="AD44" s="22">
        <v>254.449524</v>
      </c>
      <c r="AE44" s="22">
        <v>248.602814</v>
      </c>
      <c r="AF44" s="22">
        <v>244.09139999999999</v>
      </c>
      <c r="AG44" s="25">
        <v>-2.2105E-2</v>
      </c>
      <c r="AH44">
        <v>98.071976000000006</v>
      </c>
      <c r="AI44">
        <v>97.309059000000005</v>
      </c>
      <c r="AJ44" s="8">
        <v>3.1E-2</v>
      </c>
    </row>
    <row r="45" spans="1:36" ht="24.75">
      <c r="A45" s="10" t="s">
        <v>412</v>
      </c>
      <c r="B45" s="21" t="s">
        <v>413</v>
      </c>
      <c r="C45" s="22">
        <v>0</v>
      </c>
      <c r="D45" s="22">
        <v>0</v>
      </c>
      <c r="E45" s="22">
        <v>0</v>
      </c>
      <c r="F45" s="22">
        <v>0</v>
      </c>
      <c r="G45" s="22">
        <v>0</v>
      </c>
      <c r="H45" s="22">
        <v>0</v>
      </c>
      <c r="I45" s="22">
        <v>0</v>
      </c>
      <c r="J45" s="22">
        <v>0</v>
      </c>
      <c r="K45" s="22">
        <v>0</v>
      </c>
      <c r="L45" s="22">
        <v>0</v>
      </c>
      <c r="M45" s="22">
        <v>0</v>
      </c>
      <c r="N45" s="22">
        <v>0</v>
      </c>
      <c r="O45" s="22">
        <v>0</v>
      </c>
      <c r="P45" s="22">
        <v>0</v>
      </c>
      <c r="Q45" s="22">
        <v>0</v>
      </c>
      <c r="R45" s="22">
        <v>0</v>
      </c>
      <c r="S45" s="22">
        <v>0</v>
      </c>
      <c r="T45" s="22">
        <v>0</v>
      </c>
      <c r="U45" s="22">
        <v>0</v>
      </c>
      <c r="V45" s="22">
        <v>0</v>
      </c>
      <c r="W45" s="22">
        <v>0</v>
      </c>
      <c r="X45" s="22">
        <v>0</v>
      </c>
      <c r="Y45" s="22">
        <v>0</v>
      </c>
      <c r="Z45" s="22">
        <v>0</v>
      </c>
      <c r="AA45" s="22">
        <v>0</v>
      </c>
      <c r="AB45" s="22">
        <v>0</v>
      </c>
      <c r="AC45" s="22">
        <v>0</v>
      </c>
      <c r="AD45" s="22">
        <v>0</v>
      </c>
      <c r="AE45" s="22">
        <v>0</v>
      </c>
      <c r="AF45" s="22">
        <v>0</v>
      </c>
      <c r="AG45" s="25" t="s">
        <v>397</v>
      </c>
      <c r="AH45">
        <v>4144.0703119999998</v>
      </c>
      <c r="AI45">
        <v>4203.2158200000003</v>
      </c>
      <c r="AJ45" s="8">
        <v>2.1000000000000001E-2</v>
      </c>
    </row>
    <row r="46" spans="1:36" ht="60.75">
      <c r="A46" s="10" t="s">
        <v>414</v>
      </c>
      <c r="B46" s="21" t="s">
        <v>415</v>
      </c>
      <c r="C46" s="22">
        <v>0</v>
      </c>
      <c r="D46" s="22">
        <v>0</v>
      </c>
      <c r="E46" s="22">
        <v>0</v>
      </c>
      <c r="F46" s="22">
        <v>0</v>
      </c>
      <c r="G46" s="22">
        <v>0</v>
      </c>
      <c r="H46" s="22">
        <v>0</v>
      </c>
      <c r="I46" s="22">
        <v>0</v>
      </c>
      <c r="J46" s="22">
        <v>0</v>
      </c>
      <c r="K46" s="22">
        <v>0</v>
      </c>
      <c r="L46" s="22">
        <v>0</v>
      </c>
      <c r="M46" s="22">
        <v>0</v>
      </c>
      <c r="N46" s="22">
        <v>0</v>
      </c>
      <c r="O46" s="22">
        <v>0</v>
      </c>
      <c r="P46" s="22">
        <v>0</v>
      </c>
      <c r="Q46" s="22">
        <v>0</v>
      </c>
      <c r="R46" s="22">
        <v>0</v>
      </c>
      <c r="S46" s="22">
        <v>0</v>
      </c>
      <c r="T46" s="22">
        <v>0</v>
      </c>
      <c r="U46" s="22">
        <v>0</v>
      </c>
      <c r="V46" s="22">
        <v>0</v>
      </c>
      <c r="W46" s="22">
        <v>0</v>
      </c>
      <c r="X46" s="22">
        <v>0</v>
      </c>
      <c r="Y46" s="22">
        <v>0</v>
      </c>
      <c r="Z46" s="22">
        <v>0</v>
      </c>
      <c r="AA46" s="22">
        <v>0</v>
      </c>
      <c r="AB46" s="22">
        <v>0</v>
      </c>
      <c r="AC46" s="22">
        <v>0</v>
      </c>
      <c r="AD46" s="22">
        <v>0</v>
      </c>
      <c r="AE46" s="22">
        <v>0</v>
      </c>
      <c r="AF46" s="22">
        <v>0</v>
      </c>
      <c r="AG46" s="25" t="s">
        <v>397</v>
      </c>
      <c r="AH46">
        <v>4121.7119140000004</v>
      </c>
      <c r="AI46">
        <v>4180.857422</v>
      </c>
      <c r="AJ46" s="8">
        <v>2.1000000000000001E-2</v>
      </c>
    </row>
    <row r="47" spans="1:36" ht="48.75">
      <c r="A47" s="10" t="s">
        <v>416</v>
      </c>
      <c r="B47" s="21" t="s">
        <v>417</v>
      </c>
      <c r="C47" s="22">
        <v>1.502254</v>
      </c>
      <c r="D47" s="22">
        <v>3.018894</v>
      </c>
      <c r="E47" s="22">
        <v>5.0562379999999996</v>
      </c>
      <c r="F47" s="22">
        <v>7.0606559999999998</v>
      </c>
      <c r="G47" s="22">
        <v>11.067543000000001</v>
      </c>
      <c r="H47" s="22">
        <v>16.782509000000001</v>
      </c>
      <c r="I47" s="22">
        <v>23.703420999999999</v>
      </c>
      <c r="J47" s="22">
        <v>31.97044</v>
      </c>
      <c r="K47" s="22">
        <v>41.480578999999999</v>
      </c>
      <c r="L47" s="22">
        <v>50.853653000000001</v>
      </c>
      <c r="M47" s="22">
        <v>60.070095000000002</v>
      </c>
      <c r="N47" s="22">
        <v>69.095436000000007</v>
      </c>
      <c r="O47" s="22">
        <v>78.011948000000004</v>
      </c>
      <c r="P47" s="22">
        <v>85.763396999999998</v>
      </c>
      <c r="Q47" s="22">
        <v>93.742142000000001</v>
      </c>
      <c r="R47" s="22">
        <v>100.816208</v>
      </c>
      <c r="S47" s="22">
        <v>108.78138</v>
      </c>
      <c r="T47" s="22">
        <v>116.348152</v>
      </c>
      <c r="U47" s="22">
        <v>123.727859</v>
      </c>
      <c r="V47" s="22">
        <v>130.71568300000001</v>
      </c>
      <c r="W47" s="22">
        <v>137.694672</v>
      </c>
      <c r="X47" s="22">
        <v>144.713943</v>
      </c>
      <c r="Y47" s="22">
        <v>151.04200700000001</v>
      </c>
      <c r="Z47" s="22">
        <v>156.98658800000001</v>
      </c>
      <c r="AA47" s="22">
        <v>163.04388399999999</v>
      </c>
      <c r="AB47" s="22">
        <v>169.243988</v>
      </c>
      <c r="AC47" s="22">
        <v>174.93424999999999</v>
      </c>
      <c r="AD47" s="22">
        <v>180.68945299999999</v>
      </c>
      <c r="AE47" s="22">
        <v>186.522491</v>
      </c>
      <c r="AF47" s="22">
        <v>193.17152400000001</v>
      </c>
      <c r="AG47" s="25">
        <v>0.182309</v>
      </c>
      <c r="AH47">
        <v>22.358381000000001</v>
      </c>
      <c r="AI47">
        <v>22.358315000000001</v>
      </c>
      <c r="AJ47" s="8">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8">
        <v>1E-3</v>
      </c>
    </row>
    <row r="49" spans="1:36" ht="24.75">
      <c r="A49" s="10" t="s">
        <v>418</v>
      </c>
      <c r="B49" s="20" t="s">
        <v>139</v>
      </c>
      <c r="C49" s="23">
        <v>75.169692999999995</v>
      </c>
      <c r="D49" s="23">
        <v>77.553368000000006</v>
      </c>
      <c r="E49" s="23">
        <v>76.937827999999996</v>
      </c>
      <c r="F49" s="23">
        <v>74.883780999999999</v>
      </c>
      <c r="G49" s="23">
        <v>73.008735999999999</v>
      </c>
      <c r="H49" s="23">
        <v>70.952270999999996</v>
      </c>
      <c r="I49" s="23">
        <v>68.639519000000007</v>
      </c>
      <c r="J49" s="23">
        <v>66.460136000000006</v>
      </c>
      <c r="K49" s="23">
        <v>64.220459000000005</v>
      </c>
      <c r="L49" s="23">
        <v>62.007294000000002</v>
      </c>
      <c r="M49" s="23">
        <v>60.828522</v>
      </c>
      <c r="N49" s="23">
        <v>59.650131000000002</v>
      </c>
      <c r="O49" s="23">
        <v>58.55489</v>
      </c>
      <c r="P49" s="23">
        <v>57.362952999999997</v>
      </c>
      <c r="Q49" s="23">
        <v>56.156143</v>
      </c>
      <c r="R49" s="23">
        <v>54.998362999999998</v>
      </c>
      <c r="S49" s="23">
        <v>53.933726999999998</v>
      </c>
      <c r="T49" s="23">
        <v>52.840007999999997</v>
      </c>
      <c r="U49" s="23">
        <v>51.828865</v>
      </c>
      <c r="V49" s="23">
        <v>50.803615999999998</v>
      </c>
      <c r="W49" s="23">
        <v>50.346043000000002</v>
      </c>
      <c r="X49" s="23">
        <v>49.869534000000002</v>
      </c>
      <c r="Y49" s="23">
        <v>49.358772000000002</v>
      </c>
      <c r="Z49" s="23">
        <v>48.884739000000003</v>
      </c>
      <c r="AA49" s="23">
        <v>48.413406000000002</v>
      </c>
      <c r="AB49" s="23">
        <v>47.972458000000003</v>
      </c>
      <c r="AC49" s="23">
        <v>47.419342</v>
      </c>
      <c r="AD49" s="23">
        <v>46.793990999999998</v>
      </c>
      <c r="AE49" s="23">
        <v>46.348914999999998</v>
      </c>
      <c r="AF49" s="23">
        <v>46.08128</v>
      </c>
      <c r="AG49" s="26">
        <v>-1.6732E-2</v>
      </c>
      <c r="AH49">
        <v>416.15707400000002</v>
      </c>
      <c r="AI49">
        <v>416.39840700000002</v>
      </c>
      <c r="AJ49" s="8">
        <v>1E-3</v>
      </c>
    </row>
    <row r="50" spans="1:36" ht="48.75">
      <c r="A50" s="10" t="s">
        <v>419</v>
      </c>
      <c r="B50" s="21" t="s">
        <v>380</v>
      </c>
      <c r="C50" s="22">
        <v>73.017257999999998</v>
      </c>
      <c r="D50" s="22">
        <v>75.437629999999999</v>
      </c>
      <c r="E50" s="22">
        <v>74.942642000000006</v>
      </c>
      <c r="F50" s="22">
        <v>72.962173000000007</v>
      </c>
      <c r="G50" s="22">
        <v>71.154540999999995</v>
      </c>
      <c r="H50" s="22">
        <v>69.167182999999994</v>
      </c>
      <c r="I50" s="22">
        <v>66.929717999999994</v>
      </c>
      <c r="J50" s="22">
        <v>64.821083000000002</v>
      </c>
      <c r="K50" s="22">
        <v>62.652237</v>
      </c>
      <c r="L50" s="22">
        <v>60.509067999999999</v>
      </c>
      <c r="M50" s="22">
        <v>59.375098999999999</v>
      </c>
      <c r="N50" s="22">
        <v>58.240456000000002</v>
      </c>
      <c r="O50" s="22">
        <v>57.186782999999998</v>
      </c>
      <c r="P50" s="22">
        <v>56.037548000000001</v>
      </c>
      <c r="Q50" s="22">
        <v>54.872925000000002</v>
      </c>
      <c r="R50" s="22">
        <v>53.753525000000003</v>
      </c>
      <c r="S50" s="22">
        <v>52.725825999999998</v>
      </c>
      <c r="T50" s="22">
        <v>51.671089000000002</v>
      </c>
      <c r="U50" s="22">
        <v>50.697575000000001</v>
      </c>
      <c r="V50" s="22">
        <v>49.681941999999999</v>
      </c>
      <c r="W50" s="22">
        <v>49.175784999999998</v>
      </c>
      <c r="X50" s="22">
        <v>48.648246999999998</v>
      </c>
      <c r="Y50" s="22">
        <v>48.084274000000001</v>
      </c>
      <c r="Z50" s="22">
        <v>47.552925000000002</v>
      </c>
      <c r="AA50" s="22">
        <v>47.020828000000002</v>
      </c>
      <c r="AB50" s="22">
        <v>46.514626</v>
      </c>
      <c r="AC50" s="22">
        <v>45.895980999999999</v>
      </c>
      <c r="AD50" s="22">
        <v>45.203902999999997</v>
      </c>
      <c r="AE50" s="22">
        <v>44.682087000000003</v>
      </c>
      <c r="AF50" s="22">
        <v>44.326450000000001</v>
      </c>
      <c r="AG50" s="25">
        <v>-1.7063999999999999E-2</v>
      </c>
      <c r="AH50">
        <v>19.085204999999998</v>
      </c>
      <c r="AI50">
        <v>19.096606999999999</v>
      </c>
      <c r="AJ50" s="8">
        <v>-2E-3</v>
      </c>
    </row>
    <row r="51" spans="1:36" ht="24.75">
      <c r="A51" s="10" t="s">
        <v>420</v>
      </c>
      <c r="B51" s="21" t="s">
        <v>421</v>
      </c>
      <c r="C51" s="22">
        <v>1.7114860000000001</v>
      </c>
      <c r="D51" s="22">
        <v>1.6128480000000001</v>
      </c>
      <c r="E51" s="22">
        <v>1.4495020000000001</v>
      </c>
      <c r="F51" s="22">
        <v>1.347504</v>
      </c>
      <c r="G51" s="22">
        <v>1.2532080000000001</v>
      </c>
      <c r="H51" s="22">
        <v>1.1653819999999999</v>
      </c>
      <c r="I51" s="22">
        <v>1.073898</v>
      </c>
      <c r="J51" s="22">
        <v>0.98857200000000001</v>
      </c>
      <c r="K51" s="22">
        <v>0.90627199999999997</v>
      </c>
      <c r="L51" s="22">
        <v>0.82484000000000002</v>
      </c>
      <c r="M51" s="22">
        <v>0.75754299999999997</v>
      </c>
      <c r="N51" s="22">
        <v>0.693527</v>
      </c>
      <c r="O51" s="22">
        <v>0.63092499999999996</v>
      </c>
      <c r="P51" s="22">
        <v>0.57072699999999998</v>
      </c>
      <c r="Q51" s="22">
        <v>0.513567</v>
      </c>
      <c r="R51" s="22">
        <v>0.465084</v>
      </c>
      <c r="S51" s="22">
        <v>0.41512900000000003</v>
      </c>
      <c r="T51" s="22">
        <v>0.36051800000000001</v>
      </c>
      <c r="U51" s="22">
        <v>0.304753</v>
      </c>
      <c r="V51" s="22">
        <v>0.25576300000000002</v>
      </c>
      <c r="W51" s="22">
        <v>0.25337700000000002</v>
      </c>
      <c r="X51" s="22">
        <v>0.25087799999999999</v>
      </c>
      <c r="Y51" s="22">
        <v>0.24824499999999999</v>
      </c>
      <c r="Z51" s="22">
        <v>0.24580399999999999</v>
      </c>
      <c r="AA51" s="22">
        <v>0.24337800000000001</v>
      </c>
      <c r="AB51" s="22">
        <v>0.24110400000000001</v>
      </c>
      <c r="AC51" s="22">
        <v>0.23829500000000001</v>
      </c>
      <c r="AD51" s="22">
        <v>0.23511299999999999</v>
      </c>
      <c r="AE51" s="22">
        <v>0.232824</v>
      </c>
      <c r="AF51" s="22">
        <v>0.231458</v>
      </c>
      <c r="AG51" s="25">
        <v>-6.6664000000000001E-2</v>
      </c>
      <c r="AH51">
        <v>119.13723</v>
      </c>
      <c r="AI51">
        <v>119.206306</v>
      </c>
      <c r="AJ51" s="8">
        <v>1E-3</v>
      </c>
    </row>
    <row r="52" spans="1:36" ht="60.75">
      <c r="A52" s="10" t="s">
        <v>422</v>
      </c>
      <c r="B52" s="21" t="s">
        <v>415</v>
      </c>
      <c r="C52" s="22">
        <v>0</v>
      </c>
      <c r="D52" s="22">
        <v>0</v>
      </c>
      <c r="E52" s="22">
        <v>0</v>
      </c>
      <c r="F52" s="22">
        <v>0</v>
      </c>
      <c r="G52" s="22">
        <v>0</v>
      </c>
      <c r="H52" s="22">
        <v>0</v>
      </c>
      <c r="I52" s="22">
        <v>0</v>
      </c>
      <c r="J52" s="22">
        <v>0</v>
      </c>
      <c r="K52" s="22">
        <v>0</v>
      </c>
      <c r="L52" s="22">
        <v>0</v>
      </c>
      <c r="M52" s="22">
        <v>0</v>
      </c>
      <c r="N52" s="22">
        <v>0</v>
      </c>
      <c r="O52" s="22">
        <v>0</v>
      </c>
      <c r="P52" s="22">
        <v>0</v>
      </c>
      <c r="Q52" s="22">
        <v>0</v>
      </c>
      <c r="R52" s="22">
        <v>0</v>
      </c>
      <c r="S52" s="22">
        <v>0</v>
      </c>
      <c r="T52" s="22">
        <v>0</v>
      </c>
      <c r="U52" s="22">
        <v>0</v>
      </c>
      <c r="V52" s="22">
        <v>0</v>
      </c>
      <c r="W52" s="22">
        <v>0</v>
      </c>
      <c r="X52" s="22">
        <v>0</v>
      </c>
      <c r="Y52" s="22">
        <v>0</v>
      </c>
      <c r="Z52" s="22">
        <v>0</v>
      </c>
      <c r="AA52" s="22">
        <v>0</v>
      </c>
      <c r="AB52" s="22">
        <v>0</v>
      </c>
      <c r="AC52" s="22">
        <v>0</v>
      </c>
      <c r="AD52" s="22">
        <v>0</v>
      </c>
      <c r="AE52" s="22">
        <v>0</v>
      </c>
      <c r="AF52" s="22">
        <v>0</v>
      </c>
      <c r="AG52" s="25" t="s">
        <v>397</v>
      </c>
      <c r="AH52">
        <v>213.01475500000001</v>
      </c>
      <c r="AI52">
        <v>210.57737700000001</v>
      </c>
      <c r="AJ52" s="8">
        <v>6.0000000000000001E-3</v>
      </c>
    </row>
    <row r="53" spans="1:36" ht="48.75">
      <c r="A53" s="10" t="s">
        <v>423</v>
      </c>
      <c r="B53" s="21" t="s">
        <v>417</v>
      </c>
      <c r="C53" s="22">
        <v>0.440946</v>
      </c>
      <c r="D53" s="22">
        <v>0.50288900000000003</v>
      </c>
      <c r="E53" s="22">
        <v>0.545682</v>
      </c>
      <c r="F53" s="22">
        <v>0.57410099999999997</v>
      </c>
      <c r="G53" s="22">
        <v>0.60097900000000004</v>
      </c>
      <c r="H53" s="22">
        <v>0.61970499999999995</v>
      </c>
      <c r="I53" s="22">
        <v>0.63590100000000005</v>
      </c>
      <c r="J53" s="22">
        <v>0.65048399999999995</v>
      </c>
      <c r="K53" s="22">
        <v>0.66195300000000001</v>
      </c>
      <c r="L53" s="22">
        <v>0.67338399999999998</v>
      </c>
      <c r="M53" s="22">
        <v>0.69588000000000005</v>
      </c>
      <c r="N53" s="22">
        <v>0.71614999999999995</v>
      </c>
      <c r="O53" s="22">
        <v>0.73718399999999995</v>
      </c>
      <c r="P53" s="22">
        <v>0.75467799999999996</v>
      </c>
      <c r="Q53" s="22">
        <v>0.76964900000000003</v>
      </c>
      <c r="R53" s="22">
        <v>0.779756</v>
      </c>
      <c r="S53" s="22">
        <v>0.79277600000000004</v>
      </c>
      <c r="T53" s="22">
        <v>0.80840000000000001</v>
      </c>
      <c r="U53" s="22">
        <v>0.82653799999999999</v>
      </c>
      <c r="V53" s="22">
        <v>0.86590999999999996</v>
      </c>
      <c r="W53" s="22">
        <v>0.916883</v>
      </c>
      <c r="X53" s="22">
        <v>0.97040899999999997</v>
      </c>
      <c r="Y53" s="22">
        <v>1.0262519999999999</v>
      </c>
      <c r="Z53" s="22">
        <v>1.086009</v>
      </c>
      <c r="AA53" s="22">
        <v>1.1492020000000001</v>
      </c>
      <c r="AB53" s="22">
        <v>1.216726</v>
      </c>
      <c r="AC53" s="22">
        <v>1.2850699999999999</v>
      </c>
      <c r="AD53" s="22">
        <v>1.354975</v>
      </c>
      <c r="AE53" s="22">
        <v>1.434007</v>
      </c>
      <c r="AF53" s="22">
        <v>1.5233730000000001</v>
      </c>
      <c r="AG53" s="25">
        <v>4.3677000000000001E-2</v>
      </c>
      <c r="AH53">
        <v>87.816879</v>
      </c>
      <c r="AI53">
        <v>86.980957000000004</v>
      </c>
      <c r="AJ53" s="8">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8">
        <v>6.0000000000000001E-3</v>
      </c>
    </row>
    <row r="55" spans="1:36" ht="24.75">
      <c r="A55" s="10" t="s">
        <v>424</v>
      </c>
      <c r="B55" s="20" t="s">
        <v>140</v>
      </c>
      <c r="C55" s="23">
        <v>927.45135500000004</v>
      </c>
      <c r="D55" s="23">
        <v>990.02081299999998</v>
      </c>
      <c r="E55" s="23">
        <v>884.05950900000005</v>
      </c>
      <c r="F55" s="23">
        <v>884.70709199999999</v>
      </c>
      <c r="G55" s="23">
        <v>887.06121800000005</v>
      </c>
      <c r="H55" s="23">
        <v>885.41760299999999</v>
      </c>
      <c r="I55" s="23">
        <v>881.61273200000005</v>
      </c>
      <c r="J55" s="23">
        <v>880.34258999999997</v>
      </c>
      <c r="K55" s="23">
        <v>880.76928699999996</v>
      </c>
      <c r="L55" s="23">
        <v>879.92974900000002</v>
      </c>
      <c r="M55" s="23">
        <v>884.78594999999996</v>
      </c>
      <c r="N55" s="23">
        <v>884.65515100000005</v>
      </c>
      <c r="O55" s="23">
        <v>885.21844499999997</v>
      </c>
      <c r="P55" s="23">
        <v>886.28894000000003</v>
      </c>
      <c r="Q55" s="23">
        <v>887.35192900000004</v>
      </c>
      <c r="R55" s="23">
        <v>889.09478799999999</v>
      </c>
      <c r="S55" s="23">
        <v>891.03912400000002</v>
      </c>
      <c r="T55" s="23">
        <v>890.64679000000001</v>
      </c>
      <c r="U55" s="23">
        <v>892.27447500000005</v>
      </c>
      <c r="V55" s="23">
        <v>887.78131099999996</v>
      </c>
      <c r="W55" s="23">
        <v>886.33569299999999</v>
      </c>
      <c r="X55" s="23">
        <v>884.98419200000001</v>
      </c>
      <c r="Y55" s="23">
        <v>881.27642800000001</v>
      </c>
      <c r="Z55" s="23">
        <v>879.00164800000005</v>
      </c>
      <c r="AA55" s="23">
        <v>879.11547900000005</v>
      </c>
      <c r="AB55" s="23">
        <v>878.01025400000003</v>
      </c>
      <c r="AC55" s="23">
        <v>877.70593299999996</v>
      </c>
      <c r="AD55" s="23">
        <v>878.74401899999998</v>
      </c>
      <c r="AE55" s="23">
        <v>879.32208300000002</v>
      </c>
      <c r="AF55" s="23">
        <v>880.51599099999999</v>
      </c>
      <c r="AG55" s="26">
        <v>-1.789E-3</v>
      </c>
      <c r="AH55">
        <v>4.9189999999999998E-3</v>
      </c>
      <c r="AI55">
        <v>4.8370000000000002E-3</v>
      </c>
      <c r="AJ55" s="8">
        <v>-2E-3</v>
      </c>
    </row>
    <row r="56" spans="1:36" ht="48.75">
      <c r="A56" s="10" t="s">
        <v>425</v>
      </c>
      <c r="B56" s="21" t="s">
        <v>380</v>
      </c>
      <c r="C56" s="22">
        <v>351.65612800000002</v>
      </c>
      <c r="D56" s="22">
        <v>238.17157</v>
      </c>
      <c r="E56" s="22">
        <v>341.49670400000002</v>
      </c>
      <c r="F56" s="22">
        <v>337.37942500000003</v>
      </c>
      <c r="G56" s="22">
        <v>332.16564899999997</v>
      </c>
      <c r="H56" s="22">
        <v>331.91503899999998</v>
      </c>
      <c r="I56" s="22">
        <v>335.13259900000003</v>
      </c>
      <c r="J56" s="22">
        <v>337.84320100000002</v>
      </c>
      <c r="K56" s="22">
        <v>338.748535</v>
      </c>
      <c r="L56" s="22">
        <v>341.154968</v>
      </c>
      <c r="M56" s="22">
        <v>339.24258400000002</v>
      </c>
      <c r="N56" s="22">
        <v>339.37771600000002</v>
      </c>
      <c r="O56" s="22">
        <v>339.98928799999999</v>
      </c>
      <c r="P56" s="22">
        <v>339.515198</v>
      </c>
      <c r="Q56" s="22">
        <v>338.44873000000001</v>
      </c>
      <c r="R56" s="22">
        <v>336.32299799999998</v>
      </c>
      <c r="S56" s="22">
        <v>333.43383799999998</v>
      </c>
      <c r="T56" s="22">
        <v>333.31323200000003</v>
      </c>
      <c r="U56" s="22">
        <v>332.17944299999999</v>
      </c>
      <c r="V56" s="22">
        <v>334.76266500000003</v>
      </c>
      <c r="W56" s="22">
        <v>335.45147700000001</v>
      </c>
      <c r="X56" s="22">
        <v>336.63207999999997</v>
      </c>
      <c r="Y56" s="22">
        <v>337.43170199999997</v>
      </c>
      <c r="Z56" s="22">
        <v>336.05450400000001</v>
      </c>
      <c r="AA56" s="22">
        <v>335.15737899999999</v>
      </c>
      <c r="AB56" s="22">
        <v>333.87554899999998</v>
      </c>
      <c r="AC56" s="22">
        <v>333.81549100000001</v>
      </c>
      <c r="AD56" s="22">
        <v>333.91772500000002</v>
      </c>
      <c r="AE56" s="22">
        <v>334.09484900000001</v>
      </c>
      <c r="AF56" s="22">
        <v>334.64166299999999</v>
      </c>
      <c r="AG56" s="25">
        <v>-1.709E-3</v>
      </c>
      <c r="AH56">
        <v>46.7896</v>
      </c>
      <c r="AI56">
        <v>44.974155000000003</v>
      </c>
      <c r="AJ56" s="8">
        <v>0</v>
      </c>
    </row>
    <row r="57" spans="1:36" ht="24.75">
      <c r="A57" s="10" t="s">
        <v>426</v>
      </c>
      <c r="B57" s="21" t="s">
        <v>421</v>
      </c>
      <c r="C57" s="22">
        <v>535.95062299999995</v>
      </c>
      <c r="D57" s="22">
        <v>727.49896200000001</v>
      </c>
      <c r="E57" s="22">
        <v>503.42858899999999</v>
      </c>
      <c r="F57" s="22">
        <v>502.77362099999999</v>
      </c>
      <c r="G57" s="22">
        <v>507.00457799999998</v>
      </c>
      <c r="H57" s="22">
        <v>500.63662699999998</v>
      </c>
      <c r="I57" s="22">
        <v>488.62951700000002</v>
      </c>
      <c r="J57" s="22">
        <v>483.53585800000002</v>
      </c>
      <c r="K57" s="22">
        <v>482.90744000000001</v>
      </c>
      <c r="L57" s="22">
        <v>478.91043100000002</v>
      </c>
      <c r="M57" s="22">
        <v>490.33029199999999</v>
      </c>
      <c r="N57" s="22">
        <v>488.39150999999998</v>
      </c>
      <c r="O57" s="22">
        <v>488.33117700000003</v>
      </c>
      <c r="P57" s="22">
        <v>489.60311899999999</v>
      </c>
      <c r="Q57" s="22">
        <v>490.947113</v>
      </c>
      <c r="R57" s="22">
        <v>494.14855999999997</v>
      </c>
      <c r="S57" s="22">
        <v>497.88388099999997</v>
      </c>
      <c r="T57" s="22">
        <v>495.34140000000002</v>
      </c>
      <c r="U57" s="22">
        <v>498.27636699999999</v>
      </c>
      <c r="V57" s="22">
        <v>484.67297400000001</v>
      </c>
      <c r="W57" s="22">
        <v>479.240387</v>
      </c>
      <c r="X57" s="22">
        <v>474.04070999999999</v>
      </c>
      <c r="Y57" s="22">
        <v>462.37161300000002</v>
      </c>
      <c r="Z57" s="22">
        <v>454.591339</v>
      </c>
      <c r="AA57" s="22">
        <v>453.270355</v>
      </c>
      <c r="AB57" s="22">
        <v>448.61398300000002</v>
      </c>
      <c r="AC57" s="22">
        <v>446.11673000000002</v>
      </c>
      <c r="AD57" s="22">
        <v>447.29937699999999</v>
      </c>
      <c r="AE57" s="22">
        <v>447.15524299999998</v>
      </c>
      <c r="AF57" s="22">
        <v>448.565247</v>
      </c>
      <c r="AG57" s="25">
        <v>-6.1190000000000003E-3</v>
      </c>
      <c r="AH57">
        <v>22.419288999999999</v>
      </c>
      <c r="AI57">
        <v>22.166677</v>
      </c>
      <c r="AJ57" s="8">
        <v>5.0000000000000001E-3</v>
      </c>
    </row>
    <row r="58" spans="1:36" ht="60.75">
      <c r="A58" s="10" t="s">
        <v>427</v>
      </c>
      <c r="B58" s="21" t="s">
        <v>415</v>
      </c>
      <c r="C58" s="22">
        <v>0</v>
      </c>
      <c r="D58" s="22">
        <v>0</v>
      </c>
      <c r="E58" s="22">
        <v>0</v>
      </c>
      <c r="F58" s="22">
        <v>0</v>
      </c>
      <c r="G58" s="22">
        <v>0</v>
      </c>
      <c r="H58" s="22">
        <v>0</v>
      </c>
      <c r="I58" s="22">
        <v>0</v>
      </c>
      <c r="J58" s="22">
        <v>0</v>
      </c>
      <c r="K58" s="22">
        <v>0</v>
      </c>
      <c r="L58" s="22">
        <v>0</v>
      </c>
      <c r="M58" s="22">
        <v>0</v>
      </c>
      <c r="N58" s="22">
        <v>0</v>
      </c>
      <c r="O58" s="22">
        <v>0</v>
      </c>
      <c r="P58" s="22">
        <v>0</v>
      </c>
      <c r="Q58" s="22">
        <v>0</v>
      </c>
      <c r="R58" s="22">
        <v>0</v>
      </c>
      <c r="S58" s="22">
        <v>0</v>
      </c>
      <c r="T58" s="22">
        <v>0</v>
      </c>
      <c r="U58" s="22">
        <v>0</v>
      </c>
      <c r="V58" s="22">
        <v>0</v>
      </c>
      <c r="W58" s="22">
        <v>0</v>
      </c>
      <c r="X58" s="22">
        <v>0</v>
      </c>
      <c r="Y58" s="22">
        <v>0</v>
      </c>
      <c r="Z58" s="22">
        <v>0</v>
      </c>
      <c r="AA58" s="22">
        <v>0</v>
      </c>
      <c r="AB58" s="22">
        <v>0</v>
      </c>
      <c r="AC58" s="22">
        <v>0</v>
      </c>
      <c r="AD58" s="22">
        <v>0</v>
      </c>
      <c r="AE58" s="22">
        <v>0</v>
      </c>
      <c r="AF58" s="22">
        <v>0</v>
      </c>
      <c r="AG58" s="25" t="s">
        <v>397</v>
      </c>
      <c r="AH58">
        <v>1.3559969999999999</v>
      </c>
      <c r="AI58">
        <v>1.3470800000000001</v>
      </c>
      <c r="AJ58" s="8">
        <v>0.01</v>
      </c>
    </row>
    <row r="59" spans="1:36" ht="48.75">
      <c r="A59" s="10" t="s">
        <v>428</v>
      </c>
      <c r="B59" s="21" t="s">
        <v>417</v>
      </c>
      <c r="C59" s="22">
        <v>39.844611999999998</v>
      </c>
      <c r="D59" s="22">
        <v>24.350292</v>
      </c>
      <c r="E59" s="22">
        <v>39.134216000000002</v>
      </c>
      <c r="F59" s="22">
        <v>44.554015999999997</v>
      </c>
      <c r="G59" s="22">
        <v>47.891013999999998</v>
      </c>
      <c r="H59" s="22">
        <v>52.865997</v>
      </c>
      <c r="I59" s="22">
        <v>57.850662</v>
      </c>
      <c r="J59" s="22">
        <v>58.963535</v>
      </c>
      <c r="K59" s="22">
        <v>59.113273999999997</v>
      </c>
      <c r="L59" s="22">
        <v>59.864296000000003</v>
      </c>
      <c r="M59" s="22">
        <v>55.213051</v>
      </c>
      <c r="N59" s="22">
        <v>56.885941000000003</v>
      </c>
      <c r="O59" s="22">
        <v>56.898018</v>
      </c>
      <c r="P59" s="22">
        <v>57.170631</v>
      </c>
      <c r="Q59" s="22">
        <v>57.956054999999999</v>
      </c>
      <c r="R59" s="22">
        <v>58.623233999999997</v>
      </c>
      <c r="S59" s="22">
        <v>59.721397000000003</v>
      </c>
      <c r="T59" s="22">
        <v>61.992119000000002</v>
      </c>
      <c r="U59" s="22">
        <v>61.818676000000004</v>
      </c>
      <c r="V59" s="22">
        <v>68.345634000000004</v>
      </c>
      <c r="W59" s="22">
        <v>71.643828999999997</v>
      </c>
      <c r="X59" s="22">
        <v>74.311394000000007</v>
      </c>
      <c r="Y59" s="22">
        <v>81.473067999999998</v>
      </c>
      <c r="Z59" s="22">
        <v>88.355773999999997</v>
      </c>
      <c r="AA59" s="22">
        <v>90.687775000000002</v>
      </c>
      <c r="AB59" s="22">
        <v>95.520767000000006</v>
      </c>
      <c r="AC59" s="22">
        <v>97.773712000000003</v>
      </c>
      <c r="AD59" s="22">
        <v>97.526932000000002</v>
      </c>
      <c r="AE59" s="22">
        <v>98.071976000000006</v>
      </c>
      <c r="AF59" s="22">
        <v>97.309059000000005</v>
      </c>
      <c r="AG59" s="25">
        <v>3.1268999999999998E-2</v>
      </c>
      <c r="AH59">
        <v>5.518154</v>
      </c>
      <c r="AI59">
        <v>6.8551640000000003</v>
      </c>
      <c r="AJ59" s="8">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8">
        <v>4.0000000000000001E-3</v>
      </c>
    </row>
    <row r="61" spans="1:36" ht="36.75">
      <c r="A61" s="10" t="s">
        <v>429</v>
      </c>
      <c r="B61" s="20" t="s">
        <v>369</v>
      </c>
      <c r="C61" s="23">
        <v>2296.1611330000001</v>
      </c>
      <c r="D61" s="23">
        <v>2683.6513669999999</v>
      </c>
      <c r="E61" s="23">
        <v>2951.118164</v>
      </c>
      <c r="F61" s="23">
        <v>3034.7094729999999</v>
      </c>
      <c r="G61" s="23">
        <v>3111.6896969999998</v>
      </c>
      <c r="H61" s="23">
        <v>3173.992432</v>
      </c>
      <c r="I61" s="23">
        <v>3213.9558109999998</v>
      </c>
      <c r="J61" s="23">
        <v>3252.0551759999998</v>
      </c>
      <c r="K61" s="23">
        <v>3293.8454590000001</v>
      </c>
      <c r="L61" s="23">
        <v>3340.3571780000002</v>
      </c>
      <c r="M61" s="23">
        <v>3377.2758789999998</v>
      </c>
      <c r="N61" s="23">
        <v>3393.485107</v>
      </c>
      <c r="O61" s="23">
        <v>3431.1589359999998</v>
      </c>
      <c r="P61" s="23">
        <v>3465.1965329999998</v>
      </c>
      <c r="Q61" s="23">
        <v>3501.516846</v>
      </c>
      <c r="R61" s="23">
        <v>3538.3811040000001</v>
      </c>
      <c r="S61" s="23">
        <v>3580.70874</v>
      </c>
      <c r="T61" s="23">
        <v>3619.171143</v>
      </c>
      <c r="U61" s="23">
        <v>3663.686279</v>
      </c>
      <c r="V61" s="23">
        <v>3712.9865719999998</v>
      </c>
      <c r="W61" s="23">
        <v>3753.7878420000002</v>
      </c>
      <c r="X61" s="23">
        <v>3799.3937989999999</v>
      </c>
      <c r="Y61" s="23">
        <v>3847.1994629999999</v>
      </c>
      <c r="Z61" s="23">
        <v>3892.524414</v>
      </c>
      <c r="AA61" s="23">
        <v>3945.7468260000001</v>
      </c>
      <c r="AB61" s="23">
        <v>3999.0383299999999</v>
      </c>
      <c r="AC61" s="23">
        <v>4045.6613769999999</v>
      </c>
      <c r="AD61" s="23">
        <v>4090.9533689999998</v>
      </c>
      <c r="AE61" s="23">
        <v>4144.0703119999998</v>
      </c>
      <c r="AF61" s="23">
        <v>4203.2158200000003</v>
      </c>
      <c r="AG61" s="26">
        <v>2.1068E-2</v>
      </c>
      <c r="AH61">
        <v>40.965553</v>
      </c>
      <c r="AI61">
        <v>41.161906999999999</v>
      </c>
      <c r="AJ61" s="8">
        <v>1.7999999999999999E-2</v>
      </c>
    </row>
    <row r="62" spans="1:36">
      <c r="A62" s="10" t="s">
        <v>430</v>
      </c>
      <c r="B62" s="21" t="s">
        <v>431</v>
      </c>
      <c r="C62" s="22">
        <v>2273.726318</v>
      </c>
      <c r="D62" s="22">
        <v>2661.2297359999998</v>
      </c>
      <c r="E62" s="22">
        <v>2928.7075199999999</v>
      </c>
      <c r="F62" s="22">
        <v>3012.3078609999998</v>
      </c>
      <c r="G62" s="22">
        <v>3089.295654</v>
      </c>
      <c r="H62" s="22">
        <v>3151.6047359999998</v>
      </c>
      <c r="I62" s="22">
        <v>3191.5732419999999</v>
      </c>
      <c r="J62" s="22">
        <v>3229.6767580000001</v>
      </c>
      <c r="K62" s="22">
        <v>3271.4704590000001</v>
      </c>
      <c r="L62" s="22">
        <v>3317.985107</v>
      </c>
      <c r="M62" s="22">
        <v>3354.90625</v>
      </c>
      <c r="N62" s="22">
        <v>3371.117432</v>
      </c>
      <c r="O62" s="22">
        <v>3408.7929690000001</v>
      </c>
      <c r="P62" s="22">
        <v>3442.8320309999999</v>
      </c>
      <c r="Q62" s="22">
        <v>3479.1533199999999</v>
      </c>
      <c r="R62" s="22">
        <v>3516.0185550000001</v>
      </c>
      <c r="S62" s="22">
        <v>3558.3469239999999</v>
      </c>
      <c r="T62" s="22">
        <v>3596.8100589999999</v>
      </c>
      <c r="U62" s="22">
        <v>3641.3256839999999</v>
      </c>
      <c r="V62" s="22">
        <v>3690.6264649999998</v>
      </c>
      <c r="W62" s="22">
        <v>3731.4282229999999</v>
      </c>
      <c r="X62" s="22">
        <v>3777.0344239999999</v>
      </c>
      <c r="Y62" s="22">
        <v>3824.8403320000002</v>
      </c>
      <c r="Z62" s="22">
        <v>3870.1655270000001</v>
      </c>
      <c r="AA62" s="22">
        <v>3923.3879390000002</v>
      </c>
      <c r="AB62" s="22">
        <v>3976.6796880000002</v>
      </c>
      <c r="AC62" s="22">
        <v>4023.3027339999999</v>
      </c>
      <c r="AD62" s="22">
        <v>4068.594971</v>
      </c>
      <c r="AE62" s="22">
        <v>4121.7119140000004</v>
      </c>
      <c r="AF62" s="22">
        <v>4180.857422</v>
      </c>
      <c r="AG62" s="25">
        <v>2.1225000000000001E-2</v>
      </c>
      <c r="AH62">
        <v>0</v>
      </c>
      <c r="AI62">
        <v>0</v>
      </c>
      <c r="AJ62" t="s">
        <v>109</v>
      </c>
    </row>
    <row r="63" spans="1:36" ht="24.75">
      <c r="A63" s="10" t="s">
        <v>432</v>
      </c>
      <c r="B63" s="21" t="s">
        <v>433</v>
      </c>
      <c r="C63" s="22">
        <v>22.434891</v>
      </c>
      <c r="D63" s="22">
        <v>22.421617999999999</v>
      </c>
      <c r="E63" s="22">
        <v>22.410634999999999</v>
      </c>
      <c r="F63" s="22">
        <v>22.401547999999998</v>
      </c>
      <c r="G63" s="22">
        <v>22.394031999999999</v>
      </c>
      <c r="H63" s="22">
        <v>22.387812</v>
      </c>
      <c r="I63" s="22">
        <v>22.382666</v>
      </c>
      <c r="J63" s="22">
        <v>22.378406999999999</v>
      </c>
      <c r="K63" s="22">
        <v>22.374884000000002</v>
      </c>
      <c r="L63" s="22">
        <v>22.371969</v>
      </c>
      <c r="M63" s="22">
        <v>22.369558000000001</v>
      </c>
      <c r="N63" s="22">
        <v>22.367563000000001</v>
      </c>
      <c r="O63" s="22">
        <v>22.365911000000001</v>
      </c>
      <c r="P63" s="22">
        <v>22.364546000000001</v>
      </c>
      <c r="Q63" s="22">
        <v>22.363416999999998</v>
      </c>
      <c r="R63" s="22">
        <v>22.362480000000001</v>
      </c>
      <c r="S63" s="22">
        <v>22.361708</v>
      </c>
      <c r="T63" s="22">
        <v>22.361066999999998</v>
      </c>
      <c r="U63" s="22">
        <v>22.360537999999998</v>
      </c>
      <c r="V63" s="22">
        <v>22.360099999999999</v>
      </c>
      <c r="W63" s="22">
        <v>22.359736999999999</v>
      </c>
      <c r="X63" s="22">
        <v>22.359438000000001</v>
      </c>
      <c r="Y63" s="22">
        <v>22.359190000000002</v>
      </c>
      <c r="Z63" s="22">
        <v>22.358984</v>
      </c>
      <c r="AA63" s="22">
        <v>22.358813999999999</v>
      </c>
      <c r="AB63" s="22">
        <v>22.358673</v>
      </c>
      <c r="AC63" s="22">
        <v>22.358557000000001</v>
      </c>
      <c r="AD63" s="22">
        <v>22.358460999999998</v>
      </c>
      <c r="AE63" s="22">
        <v>22.358381000000001</v>
      </c>
      <c r="AF63" s="22">
        <v>22.358315000000001</v>
      </c>
      <c r="AG63" s="25">
        <v>-1.18E-4</v>
      </c>
      <c r="AH63">
        <v>0</v>
      </c>
      <c r="AI63">
        <v>0</v>
      </c>
      <c r="AJ63" t="s">
        <v>109</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8">
        <v>1.7999999999999999E-2</v>
      </c>
    </row>
    <row r="65" spans="1:36" ht="24.75">
      <c r="A65" s="10" t="s">
        <v>434</v>
      </c>
      <c r="B65" s="20" t="s">
        <v>167</v>
      </c>
      <c r="C65" s="23">
        <v>537.703125</v>
      </c>
      <c r="D65" s="23">
        <v>545.34875499999998</v>
      </c>
      <c r="E65" s="23">
        <v>539.67163100000005</v>
      </c>
      <c r="F65" s="23">
        <v>539.22375499999998</v>
      </c>
      <c r="G65" s="23">
        <v>542.58715800000004</v>
      </c>
      <c r="H65" s="23">
        <v>545.14965800000004</v>
      </c>
      <c r="I65" s="23">
        <v>547.036743</v>
      </c>
      <c r="J65" s="23">
        <v>549.19799799999998</v>
      </c>
      <c r="K65" s="23">
        <v>547.83374000000003</v>
      </c>
      <c r="L65" s="23">
        <v>549.64349400000003</v>
      </c>
      <c r="M65" s="23">
        <v>549.11926300000005</v>
      </c>
      <c r="N65" s="23">
        <v>549.31872599999997</v>
      </c>
      <c r="O65" s="23">
        <v>549.48425299999997</v>
      </c>
      <c r="P65" s="23">
        <v>549.62329099999999</v>
      </c>
      <c r="Q65" s="23">
        <v>549.73779300000001</v>
      </c>
      <c r="R65" s="23">
        <v>549.99847399999999</v>
      </c>
      <c r="S65" s="23">
        <v>550.35229500000003</v>
      </c>
      <c r="T65" s="23">
        <v>550.70202600000005</v>
      </c>
      <c r="U65" s="23">
        <v>551.05041500000004</v>
      </c>
      <c r="V65" s="23">
        <v>551.39324999999997</v>
      </c>
      <c r="W65" s="23">
        <v>551.73486300000002</v>
      </c>
      <c r="X65" s="23">
        <v>552.07397500000002</v>
      </c>
      <c r="Y65" s="23">
        <v>552.408997</v>
      </c>
      <c r="Z65" s="23">
        <v>552.74206500000003</v>
      </c>
      <c r="AA65" s="23">
        <v>553.07428000000004</v>
      </c>
      <c r="AB65" s="23">
        <v>553.40344200000004</v>
      </c>
      <c r="AC65" s="23">
        <v>553.73046899999997</v>
      </c>
      <c r="AD65" s="23">
        <v>554.056152</v>
      </c>
      <c r="AE65" s="23">
        <v>554.37951699999996</v>
      </c>
      <c r="AF65" s="23">
        <v>554.70135500000004</v>
      </c>
      <c r="AG65" s="26">
        <v>1.0740000000000001E-3</v>
      </c>
      <c r="AH65">
        <v>0</v>
      </c>
      <c r="AI65">
        <v>0</v>
      </c>
      <c r="AJ65" t="s">
        <v>109</v>
      </c>
    </row>
    <row r="66" spans="1:36" ht="48.75">
      <c r="A66" s="10" t="s">
        <v>435</v>
      </c>
      <c r="B66" s="21" t="s">
        <v>436</v>
      </c>
      <c r="C66" s="22">
        <v>402.12243699999999</v>
      </c>
      <c r="D66" s="22">
        <v>408.58813500000002</v>
      </c>
      <c r="E66" s="22">
        <v>405.11737099999999</v>
      </c>
      <c r="F66" s="22">
        <v>404.78070100000002</v>
      </c>
      <c r="G66" s="22">
        <v>407.30474900000002</v>
      </c>
      <c r="H66" s="22">
        <v>409.22909499999997</v>
      </c>
      <c r="I66" s="22">
        <v>410.64746100000002</v>
      </c>
      <c r="J66" s="22">
        <v>412.27038599999997</v>
      </c>
      <c r="K66" s="22">
        <v>411.24566700000003</v>
      </c>
      <c r="L66" s="22">
        <v>412.60449199999999</v>
      </c>
      <c r="M66" s="22">
        <v>412.20864899999998</v>
      </c>
      <c r="N66" s="22">
        <v>412.35833700000001</v>
      </c>
      <c r="O66" s="22">
        <v>412.48217799999998</v>
      </c>
      <c r="P66" s="22">
        <v>412.58575400000001</v>
      </c>
      <c r="Q66" s="22">
        <v>412.67089800000002</v>
      </c>
      <c r="R66" s="22">
        <v>412.86550899999997</v>
      </c>
      <c r="S66" s="22">
        <v>413.12994400000002</v>
      </c>
      <c r="T66" s="22">
        <v>413.39245599999998</v>
      </c>
      <c r="U66" s="22">
        <v>413.65313700000002</v>
      </c>
      <c r="V66" s="22">
        <v>413.91204800000003</v>
      </c>
      <c r="W66" s="22">
        <v>414.16891500000003</v>
      </c>
      <c r="X66" s="22">
        <v>414.42382800000001</v>
      </c>
      <c r="Y66" s="22">
        <v>414.67672700000003</v>
      </c>
      <c r="Z66" s="22">
        <v>414.92770400000001</v>
      </c>
      <c r="AA66" s="22">
        <v>415.176849</v>
      </c>
      <c r="AB66" s="22">
        <v>415.42431599999998</v>
      </c>
      <c r="AC66" s="22">
        <v>415.67010499999998</v>
      </c>
      <c r="AD66" s="22">
        <v>415.91433699999999</v>
      </c>
      <c r="AE66" s="22">
        <v>416.15707400000002</v>
      </c>
      <c r="AF66" s="22">
        <v>416.39840700000002</v>
      </c>
      <c r="AG66" s="25">
        <v>1.204E-3</v>
      </c>
      <c r="AH66">
        <v>0</v>
      </c>
      <c r="AI66">
        <v>0</v>
      </c>
      <c r="AJ66" t="s">
        <v>109</v>
      </c>
    </row>
    <row r="67" spans="1:36" ht="24.75">
      <c r="A67" s="10" t="s">
        <v>437</v>
      </c>
      <c r="B67" s="21" t="s">
        <v>413</v>
      </c>
      <c r="C67" s="22">
        <v>20.461241000000001</v>
      </c>
      <c r="D67" s="22">
        <v>19.790189999999999</v>
      </c>
      <c r="E67" s="22">
        <v>18.577483999999998</v>
      </c>
      <c r="F67" s="22">
        <v>18.562657999999999</v>
      </c>
      <c r="G67" s="22">
        <v>18.679366999999999</v>
      </c>
      <c r="H67" s="22">
        <v>18.766643999999999</v>
      </c>
      <c r="I67" s="22">
        <v>18.82938</v>
      </c>
      <c r="J67" s="22">
        <v>18.903067</v>
      </c>
      <c r="K67" s="22">
        <v>18.856854999999999</v>
      </c>
      <c r="L67" s="22">
        <v>18.918801999999999</v>
      </c>
      <c r="M67" s="22">
        <v>18.903721000000001</v>
      </c>
      <c r="N67" s="22">
        <v>18.910616000000001</v>
      </c>
      <c r="O67" s="22">
        <v>18.916868000000001</v>
      </c>
      <c r="P67" s="22">
        <v>18.92268</v>
      </c>
      <c r="Q67" s="22">
        <v>18.927703999999999</v>
      </c>
      <c r="R67" s="22">
        <v>18.938010999999999</v>
      </c>
      <c r="S67" s="22">
        <v>18.951756</v>
      </c>
      <c r="T67" s="22">
        <v>18.963802000000001</v>
      </c>
      <c r="U67" s="22">
        <v>18.976884999999999</v>
      </c>
      <c r="V67" s="22">
        <v>18.986682999999999</v>
      </c>
      <c r="W67" s="22">
        <v>18.997869000000001</v>
      </c>
      <c r="X67" s="22">
        <v>19.009169</v>
      </c>
      <c r="Y67" s="22">
        <v>19.018823999999999</v>
      </c>
      <c r="Z67" s="22">
        <v>19.029070000000001</v>
      </c>
      <c r="AA67" s="22">
        <v>19.040801999999999</v>
      </c>
      <c r="AB67" s="22">
        <v>19.051625999999999</v>
      </c>
      <c r="AC67" s="22">
        <v>19.062536000000001</v>
      </c>
      <c r="AD67" s="22">
        <v>19.074103999999998</v>
      </c>
      <c r="AE67" s="22">
        <v>19.085204999999998</v>
      </c>
      <c r="AF67" s="22">
        <v>19.096606999999999</v>
      </c>
      <c r="AG67" s="25">
        <v>-2.3770000000000002E-3</v>
      </c>
      <c r="AH67">
        <v>0</v>
      </c>
      <c r="AI67">
        <v>0</v>
      </c>
      <c r="AJ67" t="s">
        <v>109</v>
      </c>
    </row>
    <row r="68" spans="1:36" ht="48.75">
      <c r="A68" s="10" t="s">
        <v>438</v>
      </c>
      <c r="B68" s="21" t="s">
        <v>439</v>
      </c>
      <c r="C68" s="22">
        <v>115.119415</v>
      </c>
      <c r="D68" s="22">
        <v>116.97041299999999</v>
      </c>
      <c r="E68" s="22">
        <v>115.97680699999999</v>
      </c>
      <c r="F68" s="22">
        <v>115.880424</v>
      </c>
      <c r="G68" s="22">
        <v>116.603004</v>
      </c>
      <c r="H68" s="22">
        <v>117.15389999999999</v>
      </c>
      <c r="I68" s="22">
        <v>117.55993700000001</v>
      </c>
      <c r="J68" s="22">
        <v>118.024559</v>
      </c>
      <c r="K68" s="22">
        <v>117.731201</v>
      </c>
      <c r="L68" s="22">
        <v>118.120216</v>
      </c>
      <c r="M68" s="22">
        <v>118.006882</v>
      </c>
      <c r="N68" s="22">
        <v>118.049744</v>
      </c>
      <c r="O68" s="22">
        <v>118.08519</v>
      </c>
      <c r="P68" s="22">
        <v>118.11483800000001</v>
      </c>
      <c r="Q68" s="22">
        <v>118.139214</v>
      </c>
      <c r="R68" s="22">
        <v>118.194923</v>
      </c>
      <c r="S68" s="22">
        <v>118.27063</v>
      </c>
      <c r="T68" s="22">
        <v>118.34577899999999</v>
      </c>
      <c r="U68" s="22">
        <v>118.42041</v>
      </c>
      <c r="V68" s="22">
        <v>118.494522</v>
      </c>
      <c r="W68" s="22">
        <v>118.568062</v>
      </c>
      <c r="X68" s="22">
        <v>118.64102200000001</v>
      </c>
      <c r="Y68" s="22">
        <v>118.713425</v>
      </c>
      <c r="Z68" s="22">
        <v>118.78527800000001</v>
      </c>
      <c r="AA68" s="22">
        <v>118.856613</v>
      </c>
      <c r="AB68" s="22">
        <v>118.92746</v>
      </c>
      <c r="AC68" s="22">
        <v>118.997818</v>
      </c>
      <c r="AD68" s="22">
        <v>119.067734</v>
      </c>
      <c r="AE68" s="22">
        <v>119.13723</v>
      </c>
      <c r="AF68" s="22">
        <v>119.206306</v>
      </c>
      <c r="AG68" s="25">
        <v>1.204E-3</v>
      </c>
      <c r="AH68">
        <v>0</v>
      </c>
      <c r="AI68">
        <v>0</v>
      </c>
      <c r="AJ68" t="s">
        <v>109</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8">
        <v>6.0000000000000001E-3</v>
      </c>
    </row>
    <row r="70" spans="1:36" ht="36.75">
      <c r="A70" s="10" t="s">
        <v>440</v>
      </c>
      <c r="B70" s="20" t="s">
        <v>370</v>
      </c>
      <c r="C70" s="23">
        <v>175.12567100000001</v>
      </c>
      <c r="D70" s="23">
        <v>199.400192</v>
      </c>
      <c r="E70" s="23">
        <v>211.32579000000001</v>
      </c>
      <c r="F70" s="23">
        <v>217.84545900000001</v>
      </c>
      <c r="G70" s="23">
        <v>221.70657299999999</v>
      </c>
      <c r="H70" s="23">
        <v>224.223602</v>
      </c>
      <c r="I70" s="23">
        <v>225.852982</v>
      </c>
      <c r="J70" s="23">
        <v>226.766907</v>
      </c>
      <c r="K70" s="23">
        <v>227.22096300000001</v>
      </c>
      <c r="L70" s="23">
        <v>227.62361100000001</v>
      </c>
      <c r="M70" s="23">
        <v>228.039795</v>
      </c>
      <c r="N70" s="23">
        <v>227.957672</v>
      </c>
      <c r="O70" s="23">
        <v>227.73249799999999</v>
      </c>
      <c r="P70" s="23">
        <v>227.421097</v>
      </c>
      <c r="Q70" s="23">
        <v>226.926514</v>
      </c>
      <c r="R70" s="23">
        <v>226.58166499999999</v>
      </c>
      <c r="S70" s="23">
        <v>226.33427399999999</v>
      </c>
      <c r="T70" s="23">
        <v>226.04068000000001</v>
      </c>
      <c r="U70" s="23">
        <v>225.20178200000001</v>
      </c>
      <c r="V70" s="23">
        <v>224.45675700000001</v>
      </c>
      <c r="W70" s="23">
        <v>223.568939</v>
      </c>
      <c r="X70" s="23">
        <v>222.53797900000001</v>
      </c>
      <c r="Y70" s="23">
        <v>221.54235800000001</v>
      </c>
      <c r="Z70" s="23">
        <v>220.49520899999999</v>
      </c>
      <c r="AA70" s="23">
        <v>219.292664</v>
      </c>
      <c r="AB70" s="23">
        <v>218.10140999999999</v>
      </c>
      <c r="AC70" s="23">
        <v>216.69142199999999</v>
      </c>
      <c r="AD70" s="23">
        <v>215.01010099999999</v>
      </c>
      <c r="AE70" s="23">
        <v>213.01475500000001</v>
      </c>
      <c r="AF70" s="23">
        <v>210.57737700000001</v>
      </c>
      <c r="AG70" s="26">
        <v>6.3769999999999999E-3</v>
      </c>
      <c r="AH70">
        <v>5.37134</v>
      </c>
      <c r="AI70">
        <v>5.3437510000000001</v>
      </c>
      <c r="AJ70" s="8">
        <v>6.0000000000000001E-3</v>
      </c>
    </row>
    <row r="71" spans="1:36" ht="24.75">
      <c r="A71" s="10" t="s">
        <v>441</v>
      </c>
      <c r="B71" s="21" t="s">
        <v>442</v>
      </c>
      <c r="C71" s="22">
        <v>75.313231999999999</v>
      </c>
      <c r="D71" s="22">
        <v>82.089530999999994</v>
      </c>
      <c r="E71" s="22">
        <v>86.692977999999997</v>
      </c>
      <c r="F71" s="22">
        <v>90.064269999999993</v>
      </c>
      <c r="G71" s="22">
        <v>92.387680000000003</v>
      </c>
      <c r="H71" s="22">
        <v>94.193466000000001</v>
      </c>
      <c r="I71" s="22">
        <v>95.518471000000005</v>
      </c>
      <c r="J71" s="22">
        <v>96.276381999999998</v>
      </c>
      <c r="K71" s="22">
        <v>96.685287000000002</v>
      </c>
      <c r="L71" s="22">
        <v>97.144073000000006</v>
      </c>
      <c r="M71" s="22">
        <v>97.692047000000002</v>
      </c>
      <c r="N71" s="22">
        <v>97.729561000000004</v>
      </c>
      <c r="O71" s="22">
        <v>97.570175000000006</v>
      </c>
      <c r="P71" s="22">
        <v>97.256912</v>
      </c>
      <c r="Q71" s="22">
        <v>96.751548999999997</v>
      </c>
      <c r="R71" s="22">
        <v>96.316826000000006</v>
      </c>
      <c r="S71" s="22">
        <v>95.774390999999994</v>
      </c>
      <c r="T71" s="22">
        <v>95.265297000000004</v>
      </c>
      <c r="U71" s="22">
        <v>94.576369999999997</v>
      </c>
      <c r="V71" s="22">
        <v>94.018851999999995</v>
      </c>
      <c r="W71" s="22">
        <v>93.417525999999995</v>
      </c>
      <c r="X71" s="22">
        <v>92.731255000000004</v>
      </c>
      <c r="Y71" s="22">
        <v>92.131393000000003</v>
      </c>
      <c r="Z71" s="22">
        <v>91.537315000000007</v>
      </c>
      <c r="AA71" s="22">
        <v>90.839286999999999</v>
      </c>
      <c r="AB71" s="22">
        <v>90.224250999999995</v>
      </c>
      <c r="AC71" s="22">
        <v>89.512221999999994</v>
      </c>
      <c r="AD71" s="22">
        <v>88.689475999999999</v>
      </c>
      <c r="AE71" s="22">
        <v>87.816879</v>
      </c>
      <c r="AF71" s="22">
        <v>86.980957000000004</v>
      </c>
      <c r="AG71" s="25">
        <v>4.9789999999999999E-3</v>
      </c>
      <c r="AH71">
        <v>0</v>
      </c>
      <c r="AI71">
        <v>0</v>
      </c>
      <c r="AJ71" t="s">
        <v>109</v>
      </c>
    </row>
    <row r="72" spans="1:36" ht="24.75">
      <c r="A72" s="10" t="s">
        <v>443</v>
      </c>
      <c r="B72" s="21" t="s">
        <v>444</v>
      </c>
      <c r="C72" s="22">
        <v>9.6433230000000005</v>
      </c>
      <c r="D72" s="22">
        <v>10.540934</v>
      </c>
      <c r="E72" s="22">
        <v>11.148802999999999</v>
      </c>
      <c r="F72" s="22">
        <v>11.600770000000001</v>
      </c>
      <c r="G72" s="22">
        <v>11.917157</v>
      </c>
      <c r="H72" s="22">
        <v>12.169338</v>
      </c>
      <c r="I72" s="22">
        <v>12.357654999999999</v>
      </c>
      <c r="J72" s="22">
        <v>12.472455</v>
      </c>
      <c r="K72" s="22">
        <v>12.542721</v>
      </c>
      <c r="L72" s="22">
        <v>12.621245999999999</v>
      </c>
      <c r="M72" s="22">
        <v>12.713088000000001</v>
      </c>
      <c r="N72" s="22">
        <v>12.736143</v>
      </c>
      <c r="O72" s="22">
        <v>12.732991999999999</v>
      </c>
      <c r="P72" s="22">
        <v>12.709225</v>
      </c>
      <c r="Q72" s="22">
        <v>12.659914000000001</v>
      </c>
      <c r="R72" s="22">
        <v>12.620424999999999</v>
      </c>
      <c r="S72" s="22">
        <v>12.566718</v>
      </c>
      <c r="T72" s="22">
        <v>12.517704</v>
      </c>
      <c r="U72" s="22">
        <v>12.443576</v>
      </c>
      <c r="V72" s="22">
        <v>12.387663</v>
      </c>
      <c r="W72" s="22">
        <v>12.324693999999999</v>
      </c>
      <c r="X72" s="22">
        <v>12.250159999999999</v>
      </c>
      <c r="Y72" s="22">
        <v>12.187834000000001</v>
      </c>
      <c r="Z72" s="22">
        <v>12.126117000000001</v>
      </c>
      <c r="AA72" s="22">
        <v>12.050186</v>
      </c>
      <c r="AB72" s="22">
        <v>11.985734000000001</v>
      </c>
      <c r="AC72" s="22">
        <v>11.906828000000001</v>
      </c>
      <c r="AD72" s="22">
        <v>11.812537000000001</v>
      </c>
      <c r="AE72" s="22">
        <v>11.712026</v>
      </c>
      <c r="AF72" s="22">
        <v>11.616365999999999</v>
      </c>
      <c r="AG72" s="25">
        <v>6.4400000000000004E-3</v>
      </c>
      <c r="AH72">
        <v>78.515174999999999</v>
      </c>
      <c r="AI72">
        <v>78.090041999999997</v>
      </c>
      <c r="AJ72" s="8">
        <v>5.0000000000000001E-3</v>
      </c>
    </row>
    <row r="73" spans="1:36">
      <c r="A73" s="10" t="s">
        <v>445</v>
      </c>
      <c r="B73" s="21" t="s">
        <v>446</v>
      </c>
      <c r="C73" s="22">
        <v>5.1609999999999998E-3</v>
      </c>
      <c r="D73" s="22">
        <v>5.496E-3</v>
      </c>
      <c r="E73" s="22">
        <v>5.7359999999999998E-3</v>
      </c>
      <c r="F73" s="22">
        <v>5.8849999999999996E-3</v>
      </c>
      <c r="G73" s="22">
        <v>5.9800000000000001E-3</v>
      </c>
      <c r="H73" s="22">
        <v>6.0460000000000002E-3</v>
      </c>
      <c r="I73" s="22">
        <v>6.097E-3</v>
      </c>
      <c r="J73" s="22">
        <v>6.1120000000000002E-3</v>
      </c>
      <c r="K73" s="22">
        <v>6.1019999999999998E-3</v>
      </c>
      <c r="L73" s="22">
        <v>6.0910000000000001E-3</v>
      </c>
      <c r="M73" s="22">
        <v>6.0860000000000003E-3</v>
      </c>
      <c r="N73" s="22">
        <v>6.051E-3</v>
      </c>
      <c r="O73" s="22">
        <v>6.0049999999999999E-3</v>
      </c>
      <c r="P73" s="22">
        <v>5.953E-3</v>
      </c>
      <c r="Q73" s="22">
        <v>5.8919999999999997E-3</v>
      </c>
      <c r="R73" s="22">
        <v>5.8339999999999998E-3</v>
      </c>
      <c r="S73" s="22">
        <v>5.7679999999999997E-3</v>
      </c>
      <c r="T73" s="22">
        <v>5.705E-3</v>
      </c>
      <c r="U73" s="22">
        <v>5.6350000000000003E-3</v>
      </c>
      <c r="V73" s="22">
        <v>5.5669999999999999E-3</v>
      </c>
      <c r="W73" s="22">
        <v>5.4999999999999997E-3</v>
      </c>
      <c r="X73" s="22">
        <v>5.4299999999999999E-3</v>
      </c>
      <c r="Y73" s="22">
        <v>5.3619999999999996E-3</v>
      </c>
      <c r="Z73" s="22">
        <v>5.2940000000000001E-3</v>
      </c>
      <c r="AA73" s="22">
        <v>5.2209999999999999E-3</v>
      </c>
      <c r="AB73" s="22">
        <v>5.1489999999999999E-3</v>
      </c>
      <c r="AC73" s="22">
        <v>5.078E-3</v>
      </c>
      <c r="AD73" s="22">
        <v>5.0010000000000002E-3</v>
      </c>
      <c r="AE73" s="22">
        <v>4.9189999999999998E-3</v>
      </c>
      <c r="AF73" s="22">
        <v>4.8370000000000002E-3</v>
      </c>
      <c r="AG73" s="25">
        <v>-2.2309999999999999E-3</v>
      </c>
      <c r="AH73">
        <v>1.4942040000000001</v>
      </c>
      <c r="AI73">
        <v>1.508394</v>
      </c>
      <c r="AJ73" s="8">
        <v>1.9E-2</v>
      </c>
    </row>
    <row r="74" spans="1:36" ht="48.75">
      <c r="A74" s="10" t="s">
        <v>447</v>
      </c>
      <c r="B74" s="21" t="s">
        <v>448</v>
      </c>
      <c r="C74" s="22">
        <v>45.060589</v>
      </c>
      <c r="D74" s="22">
        <v>48.910423000000002</v>
      </c>
      <c r="E74" s="22">
        <v>51.438122</v>
      </c>
      <c r="F74" s="22">
        <v>53.268456</v>
      </c>
      <c r="G74" s="22">
        <v>54.502411000000002</v>
      </c>
      <c r="H74" s="22">
        <v>55.450690999999999</v>
      </c>
      <c r="I74" s="22">
        <v>56.114525</v>
      </c>
      <c r="J74" s="22">
        <v>56.457973000000003</v>
      </c>
      <c r="K74" s="22">
        <v>56.608898000000003</v>
      </c>
      <c r="L74" s="22">
        <v>56.796799</v>
      </c>
      <c r="M74" s="22">
        <v>57.038184999999999</v>
      </c>
      <c r="N74" s="22">
        <v>56.982272999999999</v>
      </c>
      <c r="O74" s="22">
        <v>56.809921000000003</v>
      </c>
      <c r="P74" s="22">
        <v>56.540951</v>
      </c>
      <c r="Q74" s="22">
        <v>56.149715</v>
      </c>
      <c r="R74" s="22">
        <v>55.791142000000001</v>
      </c>
      <c r="S74" s="22">
        <v>55.365161999999998</v>
      </c>
      <c r="T74" s="22">
        <v>54.947074999999998</v>
      </c>
      <c r="U74" s="22">
        <v>54.407032000000001</v>
      </c>
      <c r="V74" s="22">
        <v>53.927959000000001</v>
      </c>
      <c r="W74" s="22">
        <v>53.398918000000002</v>
      </c>
      <c r="X74" s="22">
        <v>52.798279000000001</v>
      </c>
      <c r="Y74" s="22">
        <v>52.219101000000002</v>
      </c>
      <c r="Z74" s="22">
        <v>51.604584000000003</v>
      </c>
      <c r="AA74" s="22">
        <v>50.88467</v>
      </c>
      <c r="AB74" s="22">
        <v>50.147407999999999</v>
      </c>
      <c r="AC74" s="22">
        <v>49.255951000000003</v>
      </c>
      <c r="AD74" s="22">
        <v>48.159224999999999</v>
      </c>
      <c r="AE74" s="22">
        <v>46.7896</v>
      </c>
      <c r="AF74" s="22">
        <v>44.974155000000003</v>
      </c>
      <c r="AG74" s="25">
        <v>-6.6000000000000005E-5</v>
      </c>
      <c r="AH74">
        <v>4.3915660000000001</v>
      </c>
      <c r="AI74">
        <v>4.3690100000000003</v>
      </c>
      <c r="AJ74" s="8">
        <v>6.0000000000000001E-3</v>
      </c>
    </row>
    <row r="75" spans="1:36" ht="72.75">
      <c r="A75" s="10" t="s">
        <v>449</v>
      </c>
      <c r="B75" s="21" t="s">
        <v>450</v>
      </c>
      <c r="C75" s="22">
        <v>19.164963</v>
      </c>
      <c r="D75" s="22">
        <v>21.02298</v>
      </c>
      <c r="E75" s="22">
        <v>22.358467000000001</v>
      </c>
      <c r="F75" s="22">
        <v>23.335905</v>
      </c>
      <c r="G75" s="22">
        <v>24.015098999999999</v>
      </c>
      <c r="H75" s="22">
        <v>24.532710999999999</v>
      </c>
      <c r="I75" s="22">
        <v>24.923483000000001</v>
      </c>
      <c r="J75" s="22">
        <v>25.149429000000001</v>
      </c>
      <c r="K75" s="22">
        <v>25.266787999999998</v>
      </c>
      <c r="L75" s="22">
        <v>25.382044</v>
      </c>
      <c r="M75" s="22">
        <v>25.510753999999999</v>
      </c>
      <c r="N75" s="22">
        <v>25.501729999999998</v>
      </c>
      <c r="O75" s="22">
        <v>25.436585999999998</v>
      </c>
      <c r="P75" s="22">
        <v>25.330863999999998</v>
      </c>
      <c r="Q75" s="22">
        <v>25.177016999999999</v>
      </c>
      <c r="R75" s="22">
        <v>25.038975000000001</v>
      </c>
      <c r="S75" s="22">
        <v>24.867069000000001</v>
      </c>
      <c r="T75" s="22">
        <v>24.70186</v>
      </c>
      <c r="U75" s="22">
        <v>24.494648000000002</v>
      </c>
      <c r="V75" s="22">
        <v>24.317627000000002</v>
      </c>
      <c r="W75" s="22">
        <v>24.134003</v>
      </c>
      <c r="X75" s="22">
        <v>23.926787999999998</v>
      </c>
      <c r="Y75" s="22">
        <v>23.738327000000002</v>
      </c>
      <c r="Z75" s="22">
        <v>23.551292</v>
      </c>
      <c r="AA75" s="22">
        <v>23.335457000000002</v>
      </c>
      <c r="AB75" s="22">
        <v>23.138323</v>
      </c>
      <c r="AC75" s="22">
        <v>22.922705000000001</v>
      </c>
      <c r="AD75" s="22">
        <v>22.679783</v>
      </c>
      <c r="AE75" s="22">
        <v>22.419288999999999</v>
      </c>
      <c r="AF75" s="22">
        <v>22.166677</v>
      </c>
      <c r="AG75" s="25">
        <v>5.0299999999999997E-3</v>
      </c>
      <c r="AH75">
        <v>0</v>
      </c>
      <c r="AI75">
        <v>0</v>
      </c>
      <c r="AJ75" t="s">
        <v>109</v>
      </c>
    </row>
    <row r="76" spans="1:36">
      <c r="A76" s="10" t="s">
        <v>451</v>
      </c>
      <c r="B76" s="21" t="s">
        <v>452</v>
      </c>
      <c r="C76" s="22">
        <v>1.0136350000000001</v>
      </c>
      <c r="D76" s="22">
        <v>1.1214280000000001</v>
      </c>
      <c r="E76" s="22">
        <v>1.1965779999999999</v>
      </c>
      <c r="F76" s="22">
        <v>1.253755</v>
      </c>
      <c r="G76" s="22">
        <v>1.2953699999999999</v>
      </c>
      <c r="H76" s="22">
        <v>1.3301050000000001</v>
      </c>
      <c r="I76" s="22">
        <v>1.357456</v>
      </c>
      <c r="J76" s="22">
        <v>1.375831</v>
      </c>
      <c r="K76" s="22">
        <v>1.3886940000000001</v>
      </c>
      <c r="L76" s="22">
        <v>1.4023129999999999</v>
      </c>
      <c r="M76" s="22">
        <v>1.4178390000000001</v>
      </c>
      <c r="N76" s="22">
        <v>1.4246030000000001</v>
      </c>
      <c r="O76" s="22">
        <v>1.4278219999999999</v>
      </c>
      <c r="P76" s="22">
        <v>1.4284509999999999</v>
      </c>
      <c r="Q76" s="22">
        <v>1.4261349999999999</v>
      </c>
      <c r="R76" s="22">
        <v>1.4251339999999999</v>
      </c>
      <c r="S76" s="22">
        <v>1.4221159999999999</v>
      </c>
      <c r="T76" s="22">
        <v>1.4197329999999999</v>
      </c>
      <c r="U76" s="22">
        <v>1.4140159999999999</v>
      </c>
      <c r="V76" s="22">
        <v>1.4105300000000001</v>
      </c>
      <c r="W76" s="22">
        <v>1.406185</v>
      </c>
      <c r="X76" s="22">
        <v>1.4003129999999999</v>
      </c>
      <c r="Y76" s="22">
        <v>1.3960170000000001</v>
      </c>
      <c r="Z76" s="22">
        <v>1.391753</v>
      </c>
      <c r="AA76" s="22">
        <v>1.385535</v>
      </c>
      <c r="AB76" s="22">
        <v>1.380744</v>
      </c>
      <c r="AC76" s="22">
        <v>1.374058</v>
      </c>
      <c r="AD76" s="22">
        <v>1.3654170000000001</v>
      </c>
      <c r="AE76" s="22">
        <v>1.3559969999999999</v>
      </c>
      <c r="AF76" s="22">
        <v>1.3470800000000001</v>
      </c>
      <c r="AG76" s="25">
        <v>9.8549999999999992E-3</v>
      </c>
      <c r="AH76">
        <v>0</v>
      </c>
      <c r="AI76">
        <v>0</v>
      </c>
      <c r="AJ76" t="s">
        <v>109</v>
      </c>
    </row>
    <row r="77" spans="1:36" ht="24.75">
      <c r="A77" s="10" t="s">
        <v>453</v>
      </c>
      <c r="B77" s="21" t="s">
        <v>454</v>
      </c>
      <c r="C77" s="22">
        <v>0.41080800000000001</v>
      </c>
      <c r="D77" s="22">
        <v>0.47196700000000003</v>
      </c>
      <c r="E77" s="22">
        <v>0.52781999999999996</v>
      </c>
      <c r="F77" s="22">
        <v>0.58121599999999995</v>
      </c>
      <c r="G77" s="22">
        <v>0.63278500000000004</v>
      </c>
      <c r="H77" s="22">
        <v>0.68526399999999998</v>
      </c>
      <c r="I77" s="22">
        <v>0.739618</v>
      </c>
      <c r="J77" s="22">
        <v>0.79476100000000005</v>
      </c>
      <c r="K77" s="22">
        <v>0.85218000000000005</v>
      </c>
      <c r="L77" s="22">
        <v>0.91561099999999995</v>
      </c>
      <c r="M77" s="22">
        <v>0.98605200000000004</v>
      </c>
      <c r="N77" s="22">
        <v>1.0587519999999999</v>
      </c>
      <c r="O77" s="22">
        <v>1.136935</v>
      </c>
      <c r="P77" s="22">
        <v>1.221665</v>
      </c>
      <c r="Q77" s="22">
        <v>1.313231</v>
      </c>
      <c r="R77" s="22">
        <v>1.4158059999999999</v>
      </c>
      <c r="S77" s="22">
        <v>1.5282180000000001</v>
      </c>
      <c r="T77" s="22">
        <v>1.6540509999999999</v>
      </c>
      <c r="U77" s="22">
        <v>1.7924979999999999</v>
      </c>
      <c r="V77" s="22">
        <v>1.9507209999999999</v>
      </c>
      <c r="W77" s="22">
        <v>2.1296390000000001</v>
      </c>
      <c r="X77" s="22">
        <v>2.3318880000000002</v>
      </c>
      <c r="Y77" s="22">
        <v>2.5665460000000002</v>
      </c>
      <c r="Z77" s="22">
        <v>2.840255</v>
      </c>
      <c r="AA77" s="22">
        <v>3.1604169999999998</v>
      </c>
      <c r="AB77" s="22">
        <v>3.5493030000000001</v>
      </c>
      <c r="AC77" s="22">
        <v>4.0302100000000003</v>
      </c>
      <c r="AD77" s="22">
        <v>4.6503500000000004</v>
      </c>
      <c r="AE77" s="22">
        <v>5.518154</v>
      </c>
      <c r="AF77" s="22">
        <v>6.8551640000000003</v>
      </c>
      <c r="AG77" s="25">
        <v>0.101922</v>
      </c>
      <c r="AH77">
        <v>67.135193000000001</v>
      </c>
      <c r="AI77">
        <v>67.960930000000005</v>
      </c>
      <c r="AJ77" s="8">
        <v>2.1999999999999999E-2</v>
      </c>
    </row>
    <row r="78" spans="1:36" ht="24.75">
      <c r="A78" s="10" t="s">
        <v>455</v>
      </c>
      <c r="B78" s="21" t="s">
        <v>456</v>
      </c>
      <c r="C78" s="22">
        <v>1.4751999999999999E-2</v>
      </c>
      <c r="D78" s="22">
        <v>1.6302000000000001E-2</v>
      </c>
      <c r="E78" s="22">
        <v>1.7451999999999999E-2</v>
      </c>
      <c r="F78" s="22">
        <v>1.8290000000000001E-2</v>
      </c>
      <c r="G78" s="22">
        <v>1.8873000000000001E-2</v>
      </c>
      <c r="H78" s="22">
        <v>1.9307000000000001E-2</v>
      </c>
      <c r="I78" s="22">
        <v>1.9635E-2</v>
      </c>
      <c r="J78" s="22">
        <v>1.9817999999999999E-2</v>
      </c>
      <c r="K78" s="22">
        <v>1.9900000000000001E-2</v>
      </c>
      <c r="L78" s="22">
        <v>1.9973000000000001E-2</v>
      </c>
      <c r="M78" s="22">
        <v>2.0046000000000001E-2</v>
      </c>
      <c r="N78" s="22">
        <v>2.0005999999999999E-2</v>
      </c>
      <c r="O78" s="22">
        <v>1.9921000000000001E-2</v>
      </c>
      <c r="P78" s="22">
        <v>1.9803000000000001E-2</v>
      </c>
      <c r="Q78" s="22">
        <v>1.9649E-2</v>
      </c>
      <c r="R78" s="22">
        <v>1.9505000000000002E-2</v>
      </c>
      <c r="S78" s="22">
        <v>1.9332999999999999E-2</v>
      </c>
      <c r="T78" s="22">
        <v>1.9162999999999999E-2</v>
      </c>
      <c r="U78" s="22">
        <v>1.8963000000000001E-2</v>
      </c>
      <c r="V78" s="22">
        <v>1.8780999999999999E-2</v>
      </c>
      <c r="W78" s="22">
        <v>1.8596000000000001E-2</v>
      </c>
      <c r="X78" s="22">
        <v>1.8394000000000001E-2</v>
      </c>
      <c r="Y78" s="22">
        <v>1.8201999999999999E-2</v>
      </c>
      <c r="Z78" s="22">
        <v>1.8010999999999999E-2</v>
      </c>
      <c r="AA78" s="22">
        <v>1.7798000000000001E-2</v>
      </c>
      <c r="AB78" s="22">
        <v>1.7596000000000001E-2</v>
      </c>
      <c r="AC78" s="22">
        <v>1.7385000000000001E-2</v>
      </c>
      <c r="AD78" s="22">
        <v>1.7155E-2</v>
      </c>
      <c r="AE78" s="22">
        <v>1.6909E-2</v>
      </c>
      <c r="AF78" s="22">
        <v>1.6667000000000001E-2</v>
      </c>
      <c r="AG78" s="25">
        <v>4.2170000000000003E-3</v>
      </c>
      <c r="AH78">
        <v>13.396444000000001</v>
      </c>
      <c r="AI78">
        <v>13.474932000000001</v>
      </c>
      <c r="AJ78" s="8">
        <v>2.5000000000000001E-2</v>
      </c>
    </row>
    <row r="79" spans="1:36" ht="24.75">
      <c r="A79" s="10" t="s">
        <v>457</v>
      </c>
      <c r="B79" s="21" t="s">
        <v>458</v>
      </c>
      <c r="C79" s="22">
        <v>24.198651999999999</v>
      </c>
      <c r="D79" s="22">
        <v>27.012305999999999</v>
      </c>
      <c r="E79" s="22">
        <v>29.212630999999998</v>
      </c>
      <c r="F79" s="22">
        <v>30.957491000000001</v>
      </c>
      <c r="G79" s="22">
        <v>32.341728000000003</v>
      </c>
      <c r="H79" s="22">
        <v>33.455863999999998</v>
      </c>
      <c r="I79" s="22">
        <v>34.358207999999998</v>
      </c>
      <c r="J79" s="22">
        <v>35.101486000000001</v>
      </c>
      <c r="K79" s="22">
        <v>35.729759000000001</v>
      </c>
      <c r="L79" s="22">
        <v>36.272857999999999</v>
      </c>
      <c r="M79" s="22">
        <v>36.745235000000001</v>
      </c>
      <c r="N79" s="22">
        <v>37.157916999999998</v>
      </c>
      <c r="O79" s="22">
        <v>37.519179999999999</v>
      </c>
      <c r="P79" s="22">
        <v>37.836520999999998</v>
      </c>
      <c r="Q79" s="22">
        <v>38.120975000000001</v>
      </c>
      <c r="R79" s="22">
        <v>38.371074999999998</v>
      </c>
      <c r="S79" s="22">
        <v>38.582680000000003</v>
      </c>
      <c r="T79" s="22">
        <v>38.780827000000002</v>
      </c>
      <c r="U79" s="22">
        <v>38.998050999999997</v>
      </c>
      <c r="V79" s="22">
        <v>39.207397</v>
      </c>
      <c r="W79" s="22">
        <v>39.410442000000003</v>
      </c>
      <c r="X79" s="22">
        <v>39.611862000000002</v>
      </c>
      <c r="Y79" s="22">
        <v>39.810284000000003</v>
      </c>
      <c r="Z79" s="22">
        <v>40.004852</v>
      </c>
      <c r="AA79" s="22">
        <v>40.199120000000001</v>
      </c>
      <c r="AB79" s="22">
        <v>40.391823000000002</v>
      </c>
      <c r="AC79" s="22">
        <v>40.581470000000003</v>
      </c>
      <c r="AD79" s="22">
        <v>40.771324</v>
      </c>
      <c r="AE79" s="22">
        <v>40.965553</v>
      </c>
      <c r="AF79" s="22">
        <v>41.161906999999999</v>
      </c>
      <c r="AG79" s="25">
        <v>1.8487E-2</v>
      </c>
      <c r="AH79">
        <v>2.0818129999999999</v>
      </c>
      <c r="AI79">
        <v>2.0940089999999998</v>
      </c>
      <c r="AJ79" s="8">
        <v>2.5000000000000001E-2</v>
      </c>
    </row>
    <row r="80" spans="1:36" ht="24.75">
      <c r="A80" s="10" t="s">
        <v>459</v>
      </c>
      <c r="B80" s="21" t="s">
        <v>444</v>
      </c>
      <c r="C80" s="22">
        <v>0</v>
      </c>
      <c r="D80" s="22">
        <v>0</v>
      </c>
      <c r="E80" s="22">
        <v>0</v>
      </c>
      <c r="F80" s="22">
        <v>0</v>
      </c>
      <c r="G80" s="22">
        <v>0</v>
      </c>
      <c r="H80" s="22">
        <v>0</v>
      </c>
      <c r="I80" s="22">
        <v>0</v>
      </c>
      <c r="J80" s="22">
        <v>0</v>
      </c>
      <c r="K80" s="22">
        <v>0</v>
      </c>
      <c r="L80" s="22">
        <v>0</v>
      </c>
      <c r="M80" s="22">
        <v>0</v>
      </c>
      <c r="N80" s="22">
        <v>0</v>
      </c>
      <c r="O80" s="22">
        <v>0</v>
      </c>
      <c r="P80" s="22">
        <v>0</v>
      </c>
      <c r="Q80" s="22">
        <v>0</v>
      </c>
      <c r="R80" s="22">
        <v>0</v>
      </c>
      <c r="S80" s="22">
        <v>0</v>
      </c>
      <c r="T80" s="22">
        <v>0</v>
      </c>
      <c r="U80" s="22">
        <v>0</v>
      </c>
      <c r="V80" s="22">
        <v>0</v>
      </c>
      <c r="W80" s="22">
        <v>0</v>
      </c>
      <c r="X80" s="22">
        <v>0</v>
      </c>
      <c r="Y80" s="22">
        <v>0</v>
      </c>
      <c r="Z80" s="22">
        <v>0</v>
      </c>
      <c r="AA80" s="22">
        <v>0</v>
      </c>
      <c r="AB80" s="22">
        <v>0</v>
      </c>
      <c r="AC80" s="22">
        <v>0</v>
      </c>
      <c r="AD80" s="22">
        <v>0</v>
      </c>
      <c r="AE80" s="22">
        <v>0</v>
      </c>
      <c r="AF80" s="22">
        <v>0</v>
      </c>
      <c r="AG80" s="25" t="s">
        <v>397</v>
      </c>
      <c r="AH80">
        <v>11.314631</v>
      </c>
      <c r="AI80">
        <v>11.380922</v>
      </c>
      <c r="AJ80" s="8">
        <v>2.5000000000000001E-2</v>
      </c>
    </row>
    <row r="81" spans="1:36">
      <c r="A81" s="10" t="s">
        <v>460</v>
      </c>
      <c r="B81" s="21" t="s">
        <v>446</v>
      </c>
      <c r="C81" s="22">
        <v>0</v>
      </c>
      <c r="D81" s="22">
        <v>0</v>
      </c>
      <c r="E81" s="22">
        <v>0</v>
      </c>
      <c r="F81" s="22">
        <v>0</v>
      </c>
      <c r="G81" s="22">
        <v>0</v>
      </c>
      <c r="H81" s="22">
        <v>0</v>
      </c>
      <c r="I81" s="22">
        <v>0</v>
      </c>
      <c r="J81" s="22">
        <v>0</v>
      </c>
      <c r="K81" s="22">
        <v>0</v>
      </c>
      <c r="L81" s="22">
        <v>0</v>
      </c>
      <c r="M81" s="22">
        <v>0</v>
      </c>
      <c r="N81" s="22">
        <v>0</v>
      </c>
      <c r="O81" s="22">
        <v>0</v>
      </c>
      <c r="P81" s="22">
        <v>0</v>
      </c>
      <c r="Q81" s="22">
        <v>0</v>
      </c>
      <c r="R81" s="22">
        <v>0</v>
      </c>
      <c r="S81" s="22">
        <v>0</v>
      </c>
      <c r="T81" s="22">
        <v>0</v>
      </c>
      <c r="U81" s="22">
        <v>0</v>
      </c>
      <c r="V81" s="22">
        <v>0</v>
      </c>
      <c r="W81" s="22">
        <v>0</v>
      </c>
      <c r="X81" s="22">
        <v>0</v>
      </c>
      <c r="Y81" s="22">
        <v>0</v>
      </c>
      <c r="Z81" s="22">
        <v>0</v>
      </c>
      <c r="AA81" s="22">
        <v>0</v>
      </c>
      <c r="AB81" s="22">
        <v>0</v>
      </c>
      <c r="AC81" s="22">
        <v>0</v>
      </c>
      <c r="AD81" s="22">
        <v>0</v>
      </c>
      <c r="AE81" s="22">
        <v>0</v>
      </c>
      <c r="AF81" s="22">
        <v>0</v>
      </c>
      <c r="AG81" s="25" t="s">
        <v>397</v>
      </c>
      <c r="AH81">
        <v>0</v>
      </c>
      <c r="AI81">
        <v>0</v>
      </c>
      <c r="AJ81" t="s">
        <v>109</v>
      </c>
    </row>
    <row r="82" spans="1:36" ht="48.75">
      <c r="A82" s="10" t="s">
        <v>461</v>
      </c>
      <c r="B82" s="21" t="s">
        <v>448</v>
      </c>
      <c r="C82" s="22">
        <v>24.198651999999999</v>
      </c>
      <c r="D82" s="22">
        <v>27.012305999999999</v>
      </c>
      <c r="E82" s="22">
        <v>29.212630999999998</v>
      </c>
      <c r="F82" s="22">
        <v>30.957491000000001</v>
      </c>
      <c r="G82" s="22">
        <v>32.341728000000003</v>
      </c>
      <c r="H82" s="22">
        <v>33.455863999999998</v>
      </c>
      <c r="I82" s="22">
        <v>34.358207999999998</v>
      </c>
      <c r="J82" s="22">
        <v>35.101486000000001</v>
      </c>
      <c r="K82" s="22">
        <v>35.729759000000001</v>
      </c>
      <c r="L82" s="22">
        <v>36.272857999999999</v>
      </c>
      <c r="M82" s="22">
        <v>36.745235000000001</v>
      </c>
      <c r="N82" s="22">
        <v>37.157916999999998</v>
      </c>
      <c r="O82" s="22">
        <v>37.519179999999999</v>
      </c>
      <c r="P82" s="22">
        <v>37.836520999999998</v>
      </c>
      <c r="Q82" s="22">
        <v>38.120975000000001</v>
      </c>
      <c r="R82" s="22">
        <v>38.371074999999998</v>
      </c>
      <c r="S82" s="22">
        <v>38.582680000000003</v>
      </c>
      <c r="T82" s="22">
        <v>38.780827000000002</v>
      </c>
      <c r="U82" s="22">
        <v>38.998050999999997</v>
      </c>
      <c r="V82" s="22">
        <v>39.207397</v>
      </c>
      <c r="W82" s="22">
        <v>39.410442000000003</v>
      </c>
      <c r="X82" s="22">
        <v>39.611862000000002</v>
      </c>
      <c r="Y82" s="22">
        <v>39.810284000000003</v>
      </c>
      <c r="Z82" s="22">
        <v>40.004852</v>
      </c>
      <c r="AA82" s="22">
        <v>40.199120000000001</v>
      </c>
      <c r="AB82" s="22">
        <v>40.391823000000002</v>
      </c>
      <c r="AC82" s="22">
        <v>40.581470000000003</v>
      </c>
      <c r="AD82" s="22">
        <v>40.771324</v>
      </c>
      <c r="AE82" s="22">
        <v>40.965553</v>
      </c>
      <c r="AF82" s="22">
        <v>41.161906999999999</v>
      </c>
      <c r="AG82" s="25">
        <v>1.8487E-2</v>
      </c>
      <c r="AH82">
        <v>0</v>
      </c>
      <c r="AI82">
        <v>0</v>
      </c>
      <c r="AJ82" t="s">
        <v>109</v>
      </c>
    </row>
    <row r="83" spans="1:36" ht="72.75">
      <c r="A83" s="10" t="s">
        <v>462</v>
      </c>
      <c r="B83" s="21" t="s">
        <v>450</v>
      </c>
      <c r="C83" s="22">
        <v>0</v>
      </c>
      <c r="D83" s="22">
        <v>0</v>
      </c>
      <c r="E83" s="22">
        <v>0</v>
      </c>
      <c r="F83" s="22">
        <v>0</v>
      </c>
      <c r="G83" s="22">
        <v>0</v>
      </c>
      <c r="H83" s="22">
        <v>0</v>
      </c>
      <c r="I83" s="22">
        <v>0</v>
      </c>
      <c r="J83" s="22">
        <v>0</v>
      </c>
      <c r="K83" s="22">
        <v>0</v>
      </c>
      <c r="L83" s="22">
        <v>0</v>
      </c>
      <c r="M83" s="22">
        <v>0</v>
      </c>
      <c r="N83" s="22">
        <v>0</v>
      </c>
      <c r="O83" s="22">
        <v>0</v>
      </c>
      <c r="P83" s="22">
        <v>0</v>
      </c>
      <c r="Q83" s="22">
        <v>0</v>
      </c>
      <c r="R83" s="22">
        <v>0</v>
      </c>
      <c r="S83" s="22">
        <v>0</v>
      </c>
      <c r="T83" s="22">
        <v>0</v>
      </c>
      <c r="U83" s="22">
        <v>0</v>
      </c>
      <c r="V83" s="22">
        <v>0</v>
      </c>
      <c r="W83" s="22">
        <v>0</v>
      </c>
      <c r="X83" s="22">
        <v>0</v>
      </c>
      <c r="Y83" s="22">
        <v>0</v>
      </c>
      <c r="Z83" s="22">
        <v>0</v>
      </c>
      <c r="AA83" s="22">
        <v>0</v>
      </c>
      <c r="AB83" s="22">
        <v>0</v>
      </c>
      <c r="AC83" s="22">
        <v>0</v>
      </c>
      <c r="AD83" s="22">
        <v>0</v>
      </c>
      <c r="AE83" s="22">
        <v>0</v>
      </c>
      <c r="AF83" s="22">
        <v>0</v>
      </c>
      <c r="AG83" s="25" t="s">
        <v>397</v>
      </c>
      <c r="AH83">
        <v>23.661840000000002</v>
      </c>
      <c r="AI83">
        <v>23.94849</v>
      </c>
      <c r="AJ83" s="8">
        <v>2.1999999999999999E-2</v>
      </c>
    </row>
    <row r="84" spans="1:36">
      <c r="A84" s="10" t="s">
        <v>463</v>
      </c>
      <c r="B84" s="21" t="s">
        <v>452</v>
      </c>
      <c r="C84" s="22">
        <v>0</v>
      </c>
      <c r="D84" s="22">
        <v>0</v>
      </c>
      <c r="E84" s="22">
        <v>0</v>
      </c>
      <c r="F84" s="22">
        <v>0</v>
      </c>
      <c r="G84" s="22">
        <v>0</v>
      </c>
      <c r="H84" s="22">
        <v>0</v>
      </c>
      <c r="I84" s="22">
        <v>0</v>
      </c>
      <c r="J84" s="22">
        <v>0</v>
      </c>
      <c r="K84" s="22">
        <v>0</v>
      </c>
      <c r="L84" s="22">
        <v>0</v>
      </c>
      <c r="M84" s="22">
        <v>0</v>
      </c>
      <c r="N84" s="22">
        <v>0</v>
      </c>
      <c r="O84" s="22">
        <v>0</v>
      </c>
      <c r="P84" s="22">
        <v>0</v>
      </c>
      <c r="Q84" s="22">
        <v>0</v>
      </c>
      <c r="R84" s="22">
        <v>0</v>
      </c>
      <c r="S84" s="22">
        <v>0</v>
      </c>
      <c r="T84" s="22">
        <v>0</v>
      </c>
      <c r="U84" s="22">
        <v>0</v>
      </c>
      <c r="V84" s="22">
        <v>0</v>
      </c>
      <c r="W84" s="22">
        <v>0</v>
      </c>
      <c r="X84" s="22">
        <v>0</v>
      </c>
      <c r="Y84" s="22">
        <v>0</v>
      </c>
      <c r="Z84" s="22">
        <v>0</v>
      </c>
      <c r="AA84" s="22">
        <v>0</v>
      </c>
      <c r="AB84" s="22">
        <v>0</v>
      </c>
      <c r="AC84" s="22">
        <v>0</v>
      </c>
      <c r="AD84" s="22">
        <v>0</v>
      </c>
      <c r="AE84" s="22">
        <v>0</v>
      </c>
      <c r="AF84" s="22">
        <v>0</v>
      </c>
      <c r="AG84" s="25" t="s">
        <v>397</v>
      </c>
      <c r="AH84">
        <v>23.661840000000002</v>
      </c>
      <c r="AI84">
        <v>23.94849</v>
      </c>
      <c r="AJ84" s="8">
        <v>2.1999999999999999E-2</v>
      </c>
    </row>
    <row r="85" spans="1:36" ht="24.75">
      <c r="A85" s="10" t="s">
        <v>464</v>
      </c>
      <c r="B85" s="21" t="s">
        <v>454</v>
      </c>
      <c r="C85" s="22">
        <v>0</v>
      </c>
      <c r="D85" s="22">
        <v>0</v>
      </c>
      <c r="E85" s="22">
        <v>0</v>
      </c>
      <c r="F85" s="22">
        <v>0</v>
      </c>
      <c r="G85" s="22">
        <v>0</v>
      </c>
      <c r="H85" s="22">
        <v>0</v>
      </c>
      <c r="I85" s="22">
        <v>0</v>
      </c>
      <c r="J85" s="22">
        <v>0</v>
      </c>
      <c r="K85" s="22">
        <v>0</v>
      </c>
      <c r="L85" s="22">
        <v>0</v>
      </c>
      <c r="M85" s="22">
        <v>0</v>
      </c>
      <c r="N85" s="22">
        <v>0</v>
      </c>
      <c r="O85" s="22">
        <v>0</v>
      </c>
      <c r="P85" s="22">
        <v>0</v>
      </c>
      <c r="Q85" s="22">
        <v>0</v>
      </c>
      <c r="R85" s="22">
        <v>0</v>
      </c>
      <c r="S85" s="22">
        <v>0</v>
      </c>
      <c r="T85" s="22">
        <v>0</v>
      </c>
      <c r="U85" s="22">
        <v>0</v>
      </c>
      <c r="V85" s="22">
        <v>0</v>
      </c>
      <c r="W85" s="22">
        <v>0</v>
      </c>
      <c r="X85" s="22">
        <v>0</v>
      </c>
      <c r="Y85" s="22">
        <v>0</v>
      </c>
      <c r="Z85" s="22">
        <v>0</v>
      </c>
      <c r="AA85" s="22">
        <v>0</v>
      </c>
      <c r="AB85" s="22">
        <v>0</v>
      </c>
      <c r="AC85" s="22">
        <v>0</v>
      </c>
      <c r="AD85" s="22">
        <v>0</v>
      </c>
      <c r="AE85" s="22">
        <v>0</v>
      </c>
      <c r="AF85" s="22">
        <v>0</v>
      </c>
      <c r="AG85" s="25" t="s">
        <v>397</v>
      </c>
      <c r="AH85">
        <v>30.076912</v>
      </c>
      <c r="AI85">
        <v>30.537510000000001</v>
      </c>
      <c r="AJ85" s="8">
        <v>2.1000000000000001E-2</v>
      </c>
    </row>
    <row r="86" spans="1:36" ht="24.75">
      <c r="A86" s="10" t="s">
        <v>465</v>
      </c>
      <c r="B86" s="21" t="s">
        <v>456</v>
      </c>
      <c r="C86" s="22">
        <v>0</v>
      </c>
      <c r="D86" s="22">
        <v>0</v>
      </c>
      <c r="E86" s="22">
        <v>0</v>
      </c>
      <c r="F86" s="22">
        <v>0</v>
      </c>
      <c r="G86" s="22">
        <v>0</v>
      </c>
      <c r="H86" s="22">
        <v>0</v>
      </c>
      <c r="I86" s="22">
        <v>0</v>
      </c>
      <c r="J86" s="22">
        <v>0</v>
      </c>
      <c r="K86" s="22">
        <v>0</v>
      </c>
      <c r="L86" s="22">
        <v>0</v>
      </c>
      <c r="M86" s="22">
        <v>0</v>
      </c>
      <c r="N86" s="22">
        <v>0</v>
      </c>
      <c r="O86" s="22">
        <v>0</v>
      </c>
      <c r="P86" s="22">
        <v>0</v>
      </c>
      <c r="Q86" s="22">
        <v>0</v>
      </c>
      <c r="R86" s="22">
        <v>0</v>
      </c>
      <c r="S86" s="22">
        <v>0</v>
      </c>
      <c r="T86" s="22">
        <v>0</v>
      </c>
      <c r="U86" s="22">
        <v>0</v>
      </c>
      <c r="V86" s="22">
        <v>0</v>
      </c>
      <c r="W86" s="22">
        <v>0</v>
      </c>
      <c r="X86" s="22">
        <v>0</v>
      </c>
      <c r="Y86" s="22">
        <v>0</v>
      </c>
      <c r="Z86" s="22">
        <v>0</v>
      </c>
      <c r="AA86" s="22">
        <v>0</v>
      </c>
      <c r="AB86" s="22">
        <v>0</v>
      </c>
      <c r="AC86" s="22">
        <v>0</v>
      </c>
      <c r="AD86" s="22">
        <v>0</v>
      </c>
      <c r="AE86" s="22">
        <v>0</v>
      </c>
      <c r="AF86" s="22">
        <v>0</v>
      </c>
      <c r="AG86" s="25" t="s">
        <v>397</v>
      </c>
      <c r="AH86">
        <v>9.5472020000000004</v>
      </c>
      <c r="AI86">
        <v>9.7163330000000006</v>
      </c>
      <c r="AJ86" s="8">
        <v>2.1999999999999999E-2</v>
      </c>
    </row>
    <row r="87" spans="1:36" ht="24.75">
      <c r="A87" s="10" t="s">
        <v>466</v>
      </c>
      <c r="B87" s="21" t="s">
        <v>467</v>
      </c>
      <c r="C87" s="22">
        <v>76.044501999999994</v>
      </c>
      <c r="D87" s="22">
        <v>90.79213</v>
      </c>
      <c r="E87" s="22">
        <v>95.971183999999994</v>
      </c>
      <c r="F87" s="22">
        <v>97.429085000000001</v>
      </c>
      <c r="G87" s="22">
        <v>97.634795999999994</v>
      </c>
      <c r="H87" s="22">
        <v>97.284903999999997</v>
      </c>
      <c r="I87" s="22">
        <v>96.741660999999993</v>
      </c>
      <c r="J87" s="22">
        <v>96.209746999999993</v>
      </c>
      <c r="K87" s="22">
        <v>95.684082000000004</v>
      </c>
      <c r="L87" s="22">
        <v>95.148360999999994</v>
      </c>
      <c r="M87" s="22">
        <v>94.614684999999994</v>
      </c>
      <c r="N87" s="22">
        <v>94.155013999999994</v>
      </c>
      <c r="O87" s="22">
        <v>93.805999999999997</v>
      </c>
      <c r="P87" s="22">
        <v>93.575080999999997</v>
      </c>
      <c r="Q87" s="22">
        <v>93.392753999999996</v>
      </c>
      <c r="R87" s="22">
        <v>93.334914999999995</v>
      </c>
      <c r="S87" s="22">
        <v>93.530533000000005</v>
      </c>
      <c r="T87" s="22">
        <v>93.673462000000001</v>
      </c>
      <c r="U87" s="22">
        <v>93.444473000000002</v>
      </c>
      <c r="V87" s="22">
        <v>93.205589000000003</v>
      </c>
      <c r="W87" s="22">
        <v>92.894690999999995</v>
      </c>
      <c r="X87" s="22">
        <v>92.550583000000003</v>
      </c>
      <c r="Y87" s="22">
        <v>92.190781000000001</v>
      </c>
      <c r="Z87" s="22">
        <v>91.816612000000006</v>
      </c>
      <c r="AA87" s="22">
        <v>91.437714</v>
      </c>
      <c r="AB87" s="22">
        <v>91.057372999999998</v>
      </c>
      <c r="AC87" s="22">
        <v>90.650406000000004</v>
      </c>
      <c r="AD87" s="22">
        <v>90.221801999999997</v>
      </c>
      <c r="AE87" s="22">
        <v>89.772278</v>
      </c>
      <c r="AF87" s="22">
        <v>89.311194999999998</v>
      </c>
      <c r="AG87" s="25">
        <v>5.561E-3</v>
      </c>
      <c r="AH87">
        <v>20.529709</v>
      </c>
      <c r="AI87">
        <v>20.821176999999999</v>
      </c>
      <c r="AJ87" s="8">
        <v>2.1000000000000001E-2</v>
      </c>
    </row>
    <row r="88" spans="1:36" ht="24.75">
      <c r="A88" s="10" t="s">
        <v>468</v>
      </c>
      <c r="B88" s="21" t="s">
        <v>444</v>
      </c>
      <c r="C88" s="22">
        <v>4.5499660000000004</v>
      </c>
      <c r="D88" s="22">
        <v>5.4323610000000002</v>
      </c>
      <c r="E88" s="22">
        <v>5.7422389999999996</v>
      </c>
      <c r="F88" s="22">
        <v>5.8294680000000003</v>
      </c>
      <c r="G88" s="22">
        <v>5.8417770000000004</v>
      </c>
      <c r="H88" s="22">
        <v>5.8208419999999998</v>
      </c>
      <c r="I88" s="22">
        <v>5.7883389999999997</v>
      </c>
      <c r="J88" s="22">
        <v>5.7565119999999999</v>
      </c>
      <c r="K88" s="22">
        <v>5.72506</v>
      </c>
      <c r="L88" s="22">
        <v>5.6930069999999997</v>
      </c>
      <c r="M88" s="22">
        <v>5.6610750000000003</v>
      </c>
      <c r="N88" s="22">
        <v>5.6335709999999999</v>
      </c>
      <c r="O88" s="22">
        <v>5.6126889999999996</v>
      </c>
      <c r="P88" s="22">
        <v>5.5988730000000002</v>
      </c>
      <c r="Q88" s="22">
        <v>5.5879630000000002</v>
      </c>
      <c r="R88" s="22">
        <v>5.5845029999999998</v>
      </c>
      <c r="S88" s="22">
        <v>5.5962059999999996</v>
      </c>
      <c r="T88" s="22">
        <v>5.6047589999999996</v>
      </c>
      <c r="U88" s="22">
        <v>5.5910580000000003</v>
      </c>
      <c r="V88" s="22">
        <v>5.576765</v>
      </c>
      <c r="W88" s="22">
        <v>5.5581630000000004</v>
      </c>
      <c r="X88" s="22">
        <v>5.5375730000000001</v>
      </c>
      <c r="Y88" s="22">
        <v>5.5160460000000002</v>
      </c>
      <c r="Z88" s="22">
        <v>5.4936579999999999</v>
      </c>
      <c r="AA88" s="22">
        <v>5.470987</v>
      </c>
      <c r="AB88" s="22">
        <v>5.4482299999999997</v>
      </c>
      <c r="AC88" s="22">
        <v>5.4238799999999996</v>
      </c>
      <c r="AD88" s="22">
        <v>5.3982349999999997</v>
      </c>
      <c r="AE88" s="22">
        <v>5.37134</v>
      </c>
      <c r="AF88" s="22">
        <v>5.3437510000000001</v>
      </c>
      <c r="AG88" s="25">
        <v>5.561E-3</v>
      </c>
      <c r="AH88">
        <v>0</v>
      </c>
      <c r="AI88">
        <v>0</v>
      </c>
      <c r="AJ88" t="s">
        <v>109</v>
      </c>
    </row>
    <row r="89" spans="1:36">
      <c r="A89" s="10" t="s">
        <v>469</v>
      </c>
      <c r="B89" s="21" t="s">
        <v>446</v>
      </c>
      <c r="C89" s="22">
        <v>0</v>
      </c>
      <c r="D89" s="22">
        <v>0</v>
      </c>
      <c r="E89" s="22">
        <v>0</v>
      </c>
      <c r="F89" s="22">
        <v>0</v>
      </c>
      <c r="G89" s="22">
        <v>0</v>
      </c>
      <c r="H89" s="22">
        <v>0</v>
      </c>
      <c r="I89" s="22">
        <v>0</v>
      </c>
      <c r="J89" s="22">
        <v>0</v>
      </c>
      <c r="K89" s="22">
        <v>0</v>
      </c>
      <c r="L89" s="22">
        <v>0</v>
      </c>
      <c r="M89" s="22">
        <v>0</v>
      </c>
      <c r="N89" s="22">
        <v>0</v>
      </c>
      <c r="O89" s="22">
        <v>0</v>
      </c>
      <c r="P89" s="22">
        <v>0</v>
      </c>
      <c r="Q89" s="22">
        <v>0</v>
      </c>
      <c r="R89" s="22">
        <v>0</v>
      </c>
      <c r="S89" s="22">
        <v>0</v>
      </c>
      <c r="T89" s="22">
        <v>0</v>
      </c>
      <c r="U89" s="22">
        <v>0</v>
      </c>
      <c r="V89" s="22">
        <v>0</v>
      </c>
      <c r="W89" s="22">
        <v>0</v>
      </c>
      <c r="X89" s="22">
        <v>0</v>
      </c>
      <c r="Y89" s="22">
        <v>0</v>
      </c>
      <c r="Z89" s="22">
        <v>0</v>
      </c>
      <c r="AA89" s="22">
        <v>0</v>
      </c>
      <c r="AB89" s="22">
        <v>0</v>
      </c>
      <c r="AC89" s="22">
        <v>0</v>
      </c>
      <c r="AD89" s="22">
        <v>0</v>
      </c>
      <c r="AE89" s="22">
        <v>0</v>
      </c>
      <c r="AF89" s="22">
        <v>0</v>
      </c>
      <c r="AG89" s="25" t="s">
        <v>397</v>
      </c>
      <c r="AH89">
        <v>0</v>
      </c>
      <c r="AI89">
        <v>0</v>
      </c>
      <c r="AJ89" t="s">
        <v>109</v>
      </c>
    </row>
    <row r="90" spans="1:36" ht="48.75">
      <c r="A90" s="10" t="s">
        <v>470</v>
      </c>
      <c r="B90" s="21" t="s">
        <v>448</v>
      </c>
      <c r="C90" s="22">
        <v>66.903946000000005</v>
      </c>
      <c r="D90" s="22">
        <v>79.866623000000004</v>
      </c>
      <c r="E90" s="22">
        <v>84.410392999999999</v>
      </c>
      <c r="F90" s="22">
        <v>85.676758000000007</v>
      </c>
      <c r="G90" s="22">
        <v>85.841071999999997</v>
      </c>
      <c r="H90" s="22">
        <v>85.516707999999994</v>
      </c>
      <c r="I90" s="22">
        <v>85.022239999999996</v>
      </c>
      <c r="J90" s="22">
        <v>84.537384000000003</v>
      </c>
      <c r="K90" s="22">
        <v>84.058197000000007</v>
      </c>
      <c r="L90" s="22">
        <v>83.57029</v>
      </c>
      <c r="M90" s="22">
        <v>83.087447999999995</v>
      </c>
      <c r="N90" s="22">
        <v>82.669296000000003</v>
      </c>
      <c r="O90" s="22">
        <v>82.348731999999998</v>
      </c>
      <c r="P90" s="22">
        <v>82.131691000000004</v>
      </c>
      <c r="Q90" s="22">
        <v>81.956665000000001</v>
      </c>
      <c r="R90" s="22">
        <v>81.890297000000004</v>
      </c>
      <c r="S90" s="22">
        <v>82.045471000000006</v>
      </c>
      <c r="T90" s="22">
        <v>82.153717</v>
      </c>
      <c r="U90" s="22">
        <v>81.93544</v>
      </c>
      <c r="V90" s="22">
        <v>81.707840000000004</v>
      </c>
      <c r="W90" s="22">
        <v>81.416816999999995</v>
      </c>
      <c r="X90" s="22">
        <v>81.096405000000004</v>
      </c>
      <c r="Y90" s="22">
        <v>80.761443999999997</v>
      </c>
      <c r="Z90" s="22">
        <v>80.413048000000003</v>
      </c>
      <c r="AA90" s="22">
        <v>80.060181</v>
      </c>
      <c r="AB90" s="22">
        <v>79.705521000000005</v>
      </c>
      <c r="AC90" s="22">
        <v>79.327445999999995</v>
      </c>
      <c r="AD90" s="22">
        <v>78.930412000000004</v>
      </c>
      <c r="AE90" s="22">
        <v>78.515174999999999</v>
      </c>
      <c r="AF90" s="22">
        <v>78.090041999999997</v>
      </c>
      <c r="AG90" s="25">
        <v>5.3449999999999999E-3</v>
      </c>
      <c r="AH90">
        <v>192.858002</v>
      </c>
      <c r="AI90">
        <v>192.57214400000001</v>
      </c>
      <c r="AJ90" s="8">
        <v>-2E-3</v>
      </c>
    </row>
    <row r="91" spans="1:36" ht="72.75">
      <c r="A91" s="10" t="s">
        <v>471</v>
      </c>
      <c r="B91" s="21" t="s">
        <v>450</v>
      </c>
      <c r="C91" s="22">
        <v>0.87057399999999996</v>
      </c>
      <c r="D91" s="22">
        <v>1.0516920000000001</v>
      </c>
      <c r="E91" s="22">
        <v>1.1237379999999999</v>
      </c>
      <c r="F91" s="22">
        <v>1.1567270000000001</v>
      </c>
      <c r="G91" s="22">
        <v>1.1757610000000001</v>
      </c>
      <c r="H91" s="22">
        <v>1.18828</v>
      </c>
      <c r="I91" s="22">
        <v>1.1985840000000001</v>
      </c>
      <c r="J91" s="22">
        <v>1.2093670000000001</v>
      </c>
      <c r="K91" s="22">
        <v>1.2200660000000001</v>
      </c>
      <c r="L91" s="22">
        <v>1.230507</v>
      </c>
      <c r="M91" s="22">
        <v>1.237716</v>
      </c>
      <c r="N91" s="22">
        <v>1.2461850000000001</v>
      </c>
      <c r="O91" s="22">
        <v>1.2556890000000001</v>
      </c>
      <c r="P91" s="22">
        <v>1.2669239999999999</v>
      </c>
      <c r="Q91" s="22">
        <v>1.279453</v>
      </c>
      <c r="R91" s="22">
        <v>1.2942689999999999</v>
      </c>
      <c r="S91" s="22">
        <v>1.3134410000000001</v>
      </c>
      <c r="T91" s="22">
        <v>1.332581</v>
      </c>
      <c r="U91" s="22">
        <v>1.34677</v>
      </c>
      <c r="V91" s="22">
        <v>1.3614630000000001</v>
      </c>
      <c r="W91" s="22">
        <v>1.375402</v>
      </c>
      <c r="X91" s="22">
        <v>1.389122</v>
      </c>
      <c r="Y91" s="22">
        <v>1.40341</v>
      </c>
      <c r="Z91" s="22">
        <v>1.418331</v>
      </c>
      <c r="AA91" s="22">
        <v>1.4335059999999999</v>
      </c>
      <c r="AB91" s="22">
        <v>1.449198</v>
      </c>
      <c r="AC91" s="22">
        <v>1.4645550000000001</v>
      </c>
      <c r="AD91" s="22">
        <v>1.479595</v>
      </c>
      <c r="AE91" s="22">
        <v>1.4942040000000001</v>
      </c>
      <c r="AF91" s="22">
        <v>1.508394</v>
      </c>
      <c r="AG91" s="25">
        <v>1.9134000000000002E-2</v>
      </c>
      <c r="AH91">
        <v>148.35287500000001</v>
      </c>
      <c r="AI91">
        <v>147.84863300000001</v>
      </c>
      <c r="AJ91" s="8">
        <v>-4.0000000000000001E-3</v>
      </c>
    </row>
    <row r="92" spans="1:36">
      <c r="A92" s="10" t="s">
        <v>472</v>
      </c>
      <c r="B92" s="21" t="s">
        <v>452</v>
      </c>
      <c r="C92" s="22">
        <v>3.7200169999999999</v>
      </c>
      <c r="D92" s="22">
        <v>4.4414559999999996</v>
      </c>
      <c r="E92" s="22">
        <v>4.6948090000000002</v>
      </c>
      <c r="F92" s="22">
        <v>4.7661290000000003</v>
      </c>
      <c r="G92" s="22">
        <v>4.776192</v>
      </c>
      <c r="H92" s="22">
        <v>4.7590760000000003</v>
      </c>
      <c r="I92" s="22">
        <v>4.7325010000000001</v>
      </c>
      <c r="J92" s="22">
        <v>4.7064789999999999</v>
      </c>
      <c r="K92" s="22">
        <v>4.6807660000000002</v>
      </c>
      <c r="L92" s="22">
        <v>4.6545579999999998</v>
      </c>
      <c r="M92" s="22">
        <v>4.6284510000000001</v>
      </c>
      <c r="N92" s="22">
        <v>4.6059640000000002</v>
      </c>
      <c r="O92" s="22">
        <v>4.5888910000000003</v>
      </c>
      <c r="P92" s="22">
        <v>4.5775959999999998</v>
      </c>
      <c r="Q92" s="22">
        <v>4.568676</v>
      </c>
      <c r="R92" s="22">
        <v>4.5658450000000004</v>
      </c>
      <c r="S92" s="22">
        <v>4.5754159999999997</v>
      </c>
      <c r="T92" s="22">
        <v>4.5824069999999999</v>
      </c>
      <c r="U92" s="22">
        <v>4.5712060000000001</v>
      </c>
      <c r="V92" s="22">
        <v>4.55952</v>
      </c>
      <c r="W92" s="22">
        <v>4.5443110000000004</v>
      </c>
      <c r="X92" s="22">
        <v>4.5274770000000002</v>
      </c>
      <c r="Y92" s="22">
        <v>4.5098760000000002</v>
      </c>
      <c r="Z92" s="22">
        <v>4.4915719999999997</v>
      </c>
      <c r="AA92" s="22">
        <v>4.4730369999999997</v>
      </c>
      <c r="AB92" s="22">
        <v>4.4544319999999997</v>
      </c>
      <c r="AC92" s="22">
        <v>4.4345220000000003</v>
      </c>
      <c r="AD92" s="22">
        <v>4.4135559999999998</v>
      </c>
      <c r="AE92" s="22">
        <v>4.3915660000000001</v>
      </c>
      <c r="AF92" s="22">
        <v>4.3690100000000003</v>
      </c>
      <c r="AG92" s="25">
        <v>5.561E-3</v>
      </c>
      <c r="AH92">
        <v>44.505119000000001</v>
      </c>
      <c r="AI92">
        <v>44.723514999999999</v>
      </c>
      <c r="AJ92" s="8">
        <v>5.0000000000000001E-3</v>
      </c>
    </row>
    <row r="93" spans="1:36" ht="24.75">
      <c r="A93" s="10" t="s">
        <v>473</v>
      </c>
      <c r="B93" s="21" t="s">
        <v>454</v>
      </c>
      <c r="C93" s="22">
        <v>0</v>
      </c>
      <c r="D93" s="22">
        <v>0</v>
      </c>
      <c r="E93" s="22">
        <v>0</v>
      </c>
      <c r="F93" s="22">
        <v>0</v>
      </c>
      <c r="G93" s="22">
        <v>0</v>
      </c>
      <c r="H93" s="22">
        <v>0</v>
      </c>
      <c r="I93" s="22">
        <v>0</v>
      </c>
      <c r="J93" s="22">
        <v>0</v>
      </c>
      <c r="K93" s="22">
        <v>0</v>
      </c>
      <c r="L93" s="22">
        <v>0</v>
      </c>
      <c r="M93" s="22">
        <v>0</v>
      </c>
      <c r="N93" s="22">
        <v>0</v>
      </c>
      <c r="O93" s="22">
        <v>0</v>
      </c>
      <c r="P93" s="22">
        <v>0</v>
      </c>
      <c r="Q93" s="22">
        <v>0</v>
      </c>
      <c r="R93" s="22">
        <v>0</v>
      </c>
      <c r="S93" s="22">
        <v>0</v>
      </c>
      <c r="T93" s="22">
        <v>0</v>
      </c>
      <c r="U93" s="22">
        <v>0</v>
      </c>
      <c r="V93" s="22">
        <v>0</v>
      </c>
      <c r="W93" s="22">
        <v>0</v>
      </c>
      <c r="X93" s="22">
        <v>0</v>
      </c>
      <c r="Y93" s="22">
        <v>0</v>
      </c>
      <c r="Z93" s="22">
        <v>0</v>
      </c>
      <c r="AA93" s="22">
        <v>0</v>
      </c>
      <c r="AB93" s="22">
        <v>0</v>
      </c>
      <c r="AC93" s="22">
        <v>0</v>
      </c>
      <c r="AD93" s="22">
        <v>0</v>
      </c>
      <c r="AE93" s="22">
        <v>0</v>
      </c>
      <c r="AF93" s="22">
        <v>0</v>
      </c>
      <c r="AG93" s="25" t="s">
        <v>397</v>
      </c>
      <c r="AH93">
        <v>132.70448300000001</v>
      </c>
      <c r="AI93">
        <v>132.83111600000001</v>
      </c>
      <c r="AJ93" s="8">
        <v>2E-3</v>
      </c>
    </row>
    <row r="94" spans="1:36" ht="24.75">
      <c r="A94" s="10" t="s">
        <v>474</v>
      </c>
      <c r="B94" s="21" t="s">
        <v>456</v>
      </c>
      <c r="C94" s="22">
        <v>0</v>
      </c>
      <c r="D94" s="22">
        <v>0</v>
      </c>
      <c r="E94" s="22">
        <v>0</v>
      </c>
      <c r="F94" s="22">
        <v>0</v>
      </c>
      <c r="G94" s="22">
        <v>0</v>
      </c>
      <c r="H94" s="22">
        <v>0</v>
      </c>
      <c r="I94" s="22">
        <v>0</v>
      </c>
      <c r="J94" s="22">
        <v>0</v>
      </c>
      <c r="K94" s="22">
        <v>0</v>
      </c>
      <c r="L94" s="22">
        <v>0</v>
      </c>
      <c r="M94" s="22">
        <v>0</v>
      </c>
      <c r="N94" s="22">
        <v>0</v>
      </c>
      <c r="O94" s="22">
        <v>0</v>
      </c>
      <c r="P94" s="22">
        <v>0</v>
      </c>
      <c r="Q94" s="22">
        <v>0</v>
      </c>
      <c r="R94" s="22">
        <v>0</v>
      </c>
      <c r="S94" s="22">
        <v>0</v>
      </c>
      <c r="T94" s="22">
        <v>0</v>
      </c>
      <c r="U94" s="22">
        <v>0</v>
      </c>
      <c r="V94" s="22">
        <v>0</v>
      </c>
      <c r="W94" s="22">
        <v>0</v>
      </c>
      <c r="X94" s="22">
        <v>0</v>
      </c>
      <c r="Y94" s="22">
        <v>0</v>
      </c>
      <c r="Z94" s="22">
        <v>0</v>
      </c>
      <c r="AA94" s="22">
        <v>0</v>
      </c>
      <c r="AB94" s="22">
        <v>0</v>
      </c>
      <c r="AC94" s="22">
        <v>0</v>
      </c>
      <c r="AD94" s="22">
        <v>0</v>
      </c>
      <c r="AE94" s="22">
        <v>0</v>
      </c>
      <c r="AF94" s="22">
        <v>0</v>
      </c>
      <c r="AG94" s="25" t="s">
        <v>397</v>
      </c>
      <c r="AH94">
        <v>703.19329800000003</v>
      </c>
      <c r="AI94">
        <v>710.15020800000002</v>
      </c>
      <c r="AJ94" s="8">
        <v>-2E-3</v>
      </c>
    </row>
    <row r="95" spans="1:36" ht="36.75">
      <c r="A95" s="10" t="s">
        <v>475</v>
      </c>
      <c r="B95" s="20" t="s">
        <v>371</v>
      </c>
      <c r="C95" s="23">
        <v>35.747318</v>
      </c>
      <c r="D95" s="23">
        <v>40.344104999999999</v>
      </c>
      <c r="E95" s="23">
        <v>43.365397999999999</v>
      </c>
      <c r="F95" s="23">
        <v>45.948174000000002</v>
      </c>
      <c r="G95" s="23">
        <v>47.974677999999997</v>
      </c>
      <c r="H95" s="23">
        <v>49.670772999999997</v>
      </c>
      <c r="I95" s="23">
        <v>50.918190000000003</v>
      </c>
      <c r="J95" s="23">
        <v>51.923713999999997</v>
      </c>
      <c r="K95" s="23">
        <v>52.848305000000003</v>
      </c>
      <c r="L95" s="23">
        <v>53.864001999999999</v>
      </c>
      <c r="M95" s="23">
        <v>54.846595999999998</v>
      </c>
      <c r="N95" s="23">
        <v>55.669662000000002</v>
      </c>
      <c r="O95" s="23">
        <v>56.455813999999997</v>
      </c>
      <c r="P95" s="23">
        <v>57.163257999999999</v>
      </c>
      <c r="Q95" s="23">
        <v>57.769817000000003</v>
      </c>
      <c r="R95" s="23">
        <v>58.395102999999999</v>
      </c>
      <c r="S95" s="23">
        <v>59.068030999999998</v>
      </c>
      <c r="T95" s="23">
        <v>59.723274000000004</v>
      </c>
      <c r="U95" s="23">
        <v>60.304985000000002</v>
      </c>
      <c r="V95" s="23">
        <v>60.995941000000002</v>
      </c>
      <c r="W95" s="23">
        <v>61.573295999999999</v>
      </c>
      <c r="X95" s="23">
        <v>62.161354000000003</v>
      </c>
      <c r="Y95" s="23">
        <v>62.81823</v>
      </c>
      <c r="Z95" s="23">
        <v>63.486359</v>
      </c>
      <c r="AA95" s="23">
        <v>64.212356999999997</v>
      </c>
      <c r="AB95" s="23">
        <v>65.027725000000004</v>
      </c>
      <c r="AC95" s="23">
        <v>65.726546999999997</v>
      </c>
      <c r="AD95" s="23">
        <v>66.387557999999999</v>
      </c>
      <c r="AE95" s="23">
        <v>67.135193000000001</v>
      </c>
      <c r="AF95" s="23">
        <v>67.960930000000005</v>
      </c>
      <c r="AG95" s="26">
        <v>2.2401000000000001E-2</v>
      </c>
      <c r="AH95">
        <v>28719.751952999999</v>
      </c>
      <c r="AI95">
        <v>28946.207031000002</v>
      </c>
      <c r="AJ95" s="8">
        <v>3.0000000000000001E-3</v>
      </c>
    </row>
    <row r="96" spans="1:36" ht="24.75">
      <c r="A96" s="10" t="s">
        <v>476</v>
      </c>
      <c r="B96" s="21" t="s">
        <v>477</v>
      </c>
      <c r="C96" s="22">
        <v>6.5376079999999996</v>
      </c>
      <c r="D96" s="22">
        <v>7.6941170000000003</v>
      </c>
      <c r="E96" s="22">
        <v>8.600384</v>
      </c>
      <c r="F96" s="22">
        <v>9.3146170000000001</v>
      </c>
      <c r="G96" s="22">
        <v>9.8805449999999997</v>
      </c>
      <c r="H96" s="22">
        <v>10.335025999999999</v>
      </c>
      <c r="I96" s="22">
        <v>10.704774</v>
      </c>
      <c r="J96" s="22">
        <v>11.008782</v>
      </c>
      <c r="K96" s="22">
        <v>11.263825000000001</v>
      </c>
      <c r="L96" s="22">
        <v>11.482137</v>
      </c>
      <c r="M96" s="22">
        <v>11.671988000000001</v>
      </c>
      <c r="N96" s="22">
        <v>11.837391999999999</v>
      </c>
      <c r="O96" s="22">
        <v>11.982087999999999</v>
      </c>
      <c r="P96" s="22">
        <v>12.11</v>
      </c>
      <c r="Q96" s="22">
        <v>12.225593999999999</v>
      </c>
      <c r="R96" s="22">
        <v>12.328609</v>
      </c>
      <c r="S96" s="22">
        <v>12.416886</v>
      </c>
      <c r="T96" s="22">
        <v>12.500261</v>
      </c>
      <c r="U96" s="22">
        <v>12.589261</v>
      </c>
      <c r="V96" s="22">
        <v>12.674621999999999</v>
      </c>
      <c r="W96" s="22">
        <v>12.758965</v>
      </c>
      <c r="X96" s="22">
        <v>12.842041</v>
      </c>
      <c r="Y96" s="22">
        <v>12.923666000000001</v>
      </c>
      <c r="Z96" s="22">
        <v>13.003992</v>
      </c>
      <c r="AA96" s="22">
        <v>13.083086</v>
      </c>
      <c r="AB96" s="22">
        <v>13.161218999999999</v>
      </c>
      <c r="AC96" s="22">
        <v>13.239566</v>
      </c>
      <c r="AD96" s="22">
        <v>13.317968</v>
      </c>
      <c r="AE96" s="22">
        <v>13.396444000000001</v>
      </c>
      <c r="AF96" s="22">
        <v>13.474932000000001</v>
      </c>
      <c r="AG96" s="25">
        <v>2.5253999999999999E-2</v>
      </c>
    </row>
    <row r="97" spans="1:33" ht="24.75">
      <c r="A97" s="10" t="s">
        <v>478</v>
      </c>
      <c r="B97" s="21" t="s">
        <v>454</v>
      </c>
      <c r="C97" s="22">
        <v>1.0159469999999999</v>
      </c>
      <c r="D97" s="22">
        <v>1.1956690000000001</v>
      </c>
      <c r="E97" s="22">
        <v>1.336503</v>
      </c>
      <c r="F97" s="22">
        <v>1.447495</v>
      </c>
      <c r="G97" s="22">
        <v>1.5354399999999999</v>
      </c>
      <c r="H97" s="22">
        <v>1.6060669999999999</v>
      </c>
      <c r="I97" s="22">
        <v>1.663527</v>
      </c>
      <c r="J97" s="22">
        <v>1.710769</v>
      </c>
      <c r="K97" s="22">
        <v>1.750402</v>
      </c>
      <c r="L97" s="22">
        <v>1.7843279999999999</v>
      </c>
      <c r="M97" s="22">
        <v>1.813831</v>
      </c>
      <c r="N97" s="22">
        <v>1.8395360000000001</v>
      </c>
      <c r="O97" s="22">
        <v>1.8620209999999999</v>
      </c>
      <c r="P97" s="22">
        <v>1.881899</v>
      </c>
      <c r="Q97" s="22">
        <v>1.8998619999999999</v>
      </c>
      <c r="R97" s="22">
        <v>1.9158710000000001</v>
      </c>
      <c r="S97" s="22">
        <v>1.929589</v>
      </c>
      <c r="T97" s="22">
        <v>1.9425460000000001</v>
      </c>
      <c r="U97" s="22">
        <v>1.9563759999999999</v>
      </c>
      <c r="V97" s="22">
        <v>1.969641</v>
      </c>
      <c r="W97" s="22">
        <v>1.982748</v>
      </c>
      <c r="X97" s="22">
        <v>1.9956579999999999</v>
      </c>
      <c r="Y97" s="22">
        <v>2.008343</v>
      </c>
      <c r="Z97" s="22">
        <v>2.0208249999999999</v>
      </c>
      <c r="AA97" s="22">
        <v>2.0331160000000001</v>
      </c>
      <c r="AB97" s="22">
        <v>2.0452590000000002</v>
      </c>
      <c r="AC97" s="22">
        <v>2.0574340000000002</v>
      </c>
      <c r="AD97" s="22">
        <v>2.069617</v>
      </c>
      <c r="AE97" s="22">
        <v>2.0818129999999999</v>
      </c>
      <c r="AF97" s="22">
        <v>2.0940089999999998</v>
      </c>
      <c r="AG97" s="25">
        <v>2.5253999999999999E-2</v>
      </c>
    </row>
    <row r="98" spans="1:33">
      <c r="A98" s="10" t="s">
        <v>479</v>
      </c>
      <c r="B98" s="21" t="s">
        <v>480</v>
      </c>
      <c r="C98" s="22">
        <v>5.5216609999999999</v>
      </c>
      <c r="D98" s="22">
        <v>6.4984479999999998</v>
      </c>
      <c r="E98" s="22">
        <v>7.2638809999999996</v>
      </c>
      <c r="F98" s="22">
        <v>7.8671220000000002</v>
      </c>
      <c r="G98" s="22">
        <v>8.3451039999999992</v>
      </c>
      <c r="H98" s="22">
        <v>8.7289589999999997</v>
      </c>
      <c r="I98" s="22">
        <v>9.0412470000000003</v>
      </c>
      <c r="J98" s="22">
        <v>9.2980140000000002</v>
      </c>
      <c r="K98" s="22">
        <v>9.5134229999999995</v>
      </c>
      <c r="L98" s="22">
        <v>9.6978080000000002</v>
      </c>
      <c r="M98" s="22">
        <v>9.8581559999999993</v>
      </c>
      <c r="N98" s="22">
        <v>9.9978560000000005</v>
      </c>
      <c r="O98" s="22">
        <v>10.120067000000001</v>
      </c>
      <c r="P98" s="22">
        <v>10.228101000000001</v>
      </c>
      <c r="Q98" s="22">
        <v>10.325730999999999</v>
      </c>
      <c r="R98" s="22">
        <v>10.412739</v>
      </c>
      <c r="S98" s="22">
        <v>10.487297</v>
      </c>
      <c r="T98" s="22">
        <v>10.557715</v>
      </c>
      <c r="U98" s="22">
        <v>10.632885</v>
      </c>
      <c r="V98" s="22">
        <v>10.704981</v>
      </c>
      <c r="W98" s="22">
        <v>10.776217000000001</v>
      </c>
      <c r="X98" s="22">
        <v>10.846382999999999</v>
      </c>
      <c r="Y98" s="22">
        <v>10.915323000000001</v>
      </c>
      <c r="Z98" s="22">
        <v>10.983167</v>
      </c>
      <c r="AA98" s="22">
        <v>11.04997</v>
      </c>
      <c r="AB98" s="22">
        <v>11.115959999999999</v>
      </c>
      <c r="AC98" s="22">
        <v>11.182131999999999</v>
      </c>
      <c r="AD98" s="22">
        <v>11.248351</v>
      </c>
      <c r="AE98" s="22">
        <v>11.314631</v>
      </c>
      <c r="AF98" s="22">
        <v>11.380922</v>
      </c>
      <c r="AG98" s="25">
        <v>2.5253999999999999E-2</v>
      </c>
    </row>
    <row r="99" spans="1:33" ht="60.75">
      <c r="A99" s="10" t="s">
        <v>481</v>
      </c>
      <c r="B99" s="21" t="s">
        <v>482</v>
      </c>
      <c r="C99" s="22">
        <v>0</v>
      </c>
      <c r="D99" s="22">
        <v>0</v>
      </c>
      <c r="E99" s="22">
        <v>0</v>
      </c>
      <c r="F99" s="22">
        <v>0</v>
      </c>
      <c r="G99" s="22">
        <v>0</v>
      </c>
      <c r="H99" s="22">
        <v>0</v>
      </c>
      <c r="I99" s="22">
        <v>0</v>
      </c>
      <c r="J99" s="22">
        <v>0</v>
      </c>
      <c r="K99" s="22">
        <v>0</v>
      </c>
      <c r="L99" s="22">
        <v>0</v>
      </c>
      <c r="M99" s="22">
        <v>0</v>
      </c>
      <c r="N99" s="22">
        <v>0</v>
      </c>
      <c r="O99" s="22">
        <v>0</v>
      </c>
      <c r="P99" s="22">
        <v>0</v>
      </c>
      <c r="Q99" s="22">
        <v>0</v>
      </c>
      <c r="R99" s="22">
        <v>0</v>
      </c>
      <c r="S99" s="22">
        <v>0</v>
      </c>
      <c r="T99" s="22">
        <v>0</v>
      </c>
      <c r="U99" s="22">
        <v>0</v>
      </c>
      <c r="V99" s="22">
        <v>0</v>
      </c>
      <c r="W99" s="22">
        <v>0</v>
      </c>
      <c r="X99" s="22">
        <v>0</v>
      </c>
      <c r="Y99" s="22">
        <v>0</v>
      </c>
      <c r="Z99" s="22">
        <v>0</v>
      </c>
      <c r="AA99" s="22">
        <v>0</v>
      </c>
      <c r="AB99" s="22">
        <v>0</v>
      </c>
      <c r="AC99" s="22">
        <v>0</v>
      </c>
      <c r="AD99" s="22">
        <v>0</v>
      </c>
      <c r="AE99" s="22">
        <v>0</v>
      </c>
      <c r="AF99" s="22">
        <v>0</v>
      </c>
      <c r="AG99" s="25" t="s">
        <v>397</v>
      </c>
    </row>
    <row r="100" spans="1:33" ht="48.75">
      <c r="A100" s="10" t="s">
        <v>483</v>
      </c>
      <c r="B100" s="21" t="s">
        <v>484</v>
      </c>
      <c r="C100" s="22">
        <v>0</v>
      </c>
      <c r="D100" s="22">
        <v>0</v>
      </c>
      <c r="E100" s="22">
        <v>0</v>
      </c>
      <c r="F100" s="22">
        <v>0</v>
      </c>
      <c r="G100" s="22">
        <v>0</v>
      </c>
      <c r="H100" s="22">
        <v>0</v>
      </c>
      <c r="I100" s="22">
        <v>0</v>
      </c>
      <c r="J100" s="22">
        <v>0</v>
      </c>
      <c r="K100" s="22">
        <v>0</v>
      </c>
      <c r="L100" s="22">
        <v>0</v>
      </c>
      <c r="M100" s="22">
        <v>0</v>
      </c>
      <c r="N100" s="22">
        <v>0</v>
      </c>
      <c r="O100" s="22">
        <v>0</v>
      </c>
      <c r="P100" s="22">
        <v>0</v>
      </c>
      <c r="Q100" s="22">
        <v>0</v>
      </c>
      <c r="R100" s="22">
        <v>0</v>
      </c>
      <c r="S100" s="22">
        <v>0</v>
      </c>
      <c r="T100" s="22">
        <v>0</v>
      </c>
      <c r="U100" s="22">
        <v>0</v>
      </c>
      <c r="V100" s="22">
        <v>0</v>
      </c>
      <c r="W100" s="22">
        <v>0</v>
      </c>
      <c r="X100" s="22">
        <v>0</v>
      </c>
      <c r="Y100" s="22">
        <v>0</v>
      </c>
      <c r="Z100" s="22">
        <v>0</v>
      </c>
      <c r="AA100" s="22">
        <v>0</v>
      </c>
      <c r="AB100" s="22">
        <v>0</v>
      </c>
      <c r="AC100" s="22">
        <v>0</v>
      </c>
      <c r="AD100" s="22">
        <v>0</v>
      </c>
      <c r="AE100" s="22">
        <v>0</v>
      </c>
      <c r="AF100" s="22">
        <v>0</v>
      </c>
      <c r="AG100" s="25" t="s">
        <v>397</v>
      </c>
    </row>
    <row r="101" spans="1:33" ht="24.75">
      <c r="A101" s="10" t="s">
        <v>485</v>
      </c>
      <c r="B101" s="21" t="s">
        <v>486</v>
      </c>
      <c r="C101" s="22">
        <v>12.700588</v>
      </c>
      <c r="D101" s="22">
        <v>14.364753</v>
      </c>
      <c r="E101" s="22">
        <v>15.38791</v>
      </c>
      <c r="F101" s="22">
        <v>16.292556999999999</v>
      </c>
      <c r="G101" s="22">
        <v>16.996079999999999</v>
      </c>
      <c r="H101" s="22">
        <v>17.604413999999998</v>
      </c>
      <c r="I101" s="22">
        <v>18.043613000000001</v>
      </c>
      <c r="J101" s="22">
        <v>18.391649000000001</v>
      </c>
      <c r="K101" s="22">
        <v>18.714884000000001</v>
      </c>
      <c r="L101" s="22">
        <v>19.093592000000001</v>
      </c>
      <c r="M101" s="22">
        <v>19.474936</v>
      </c>
      <c r="N101" s="22">
        <v>19.774450000000002</v>
      </c>
      <c r="O101" s="22">
        <v>20.058819</v>
      </c>
      <c r="P101" s="22">
        <v>20.311828999999999</v>
      </c>
      <c r="Q101" s="22">
        <v>20.512810000000002</v>
      </c>
      <c r="R101" s="22">
        <v>20.728580000000001</v>
      </c>
      <c r="S101" s="22">
        <v>20.966011000000002</v>
      </c>
      <c r="T101" s="22">
        <v>21.199514000000001</v>
      </c>
      <c r="U101" s="22">
        <v>21.387691</v>
      </c>
      <c r="V101" s="22">
        <v>21.628992</v>
      </c>
      <c r="W101" s="22">
        <v>21.819023000000001</v>
      </c>
      <c r="X101" s="22">
        <v>22.007545</v>
      </c>
      <c r="Y101" s="22">
        <v>22.229607000000001</v>
      </c>
      <c r="Z101" s="22">
        <v>22.454782000000002</v>
      </c>
      <c r="AA101" s="22">
        <v>22.696708999999998</v>
      </c>
      <c r="AB101" s="22">
        <v>22.978424</v>
      </c>
      <c r="AC101" s="22">
        <v>23.205546999999999</v>
      </c>
      <c r="AD101" s="22">
        <v>23.414211000000002</v>
      </c>
      <c r="AE101" s="22">
        <v>23.661840000000002</v>
      </c>
      <c r="AF101" s="22">
        <v>23.94849</v>
      </c>
      <c r="AG101" s="25">
        <v>2.2112E-2</v>
      </c>
    </row>
    <row r="102" spans="1:33" ht="24.75">
      <c r="A102" s="10" t="s">
        <v>487</v>
      </c>
      <c r="B102" s="21" t="s">
        <v>454</v>
      </c>
      <c r="C102" s="22">
        <v>12.700588</v>
      </c>
      <c r="D102" s="22">
        <v>14.364753</v>
      </c>
      <c r="E102" s="22">
        <v>15.38791</v>
      </c>
      <c r="F102" s="22">
        <v>16.292556999999999</v>
      </c>
      <c r="G102" s="22">
        <v>16.996079999999999</v>
      </c>
      <c r="H102" s="22">
        <v>17.604413999999998</v>
      </c>
      <c r="I102" s="22">
        <v>18.043613000000001</v>
      </c>
      <c r="J102" s="22">
        <v>18.391649000000001</v>
      </c>
      <c r="K102" s="22">
        <v>18.714884000000001</v>
      </c>
      <c r="L102" s="22">
        <v>19.093592000000001</v>
      </c>
      <c r="M102" s="22">
        <v>19.474936</v>
      </c>
      <c r="N102" s="22">
        <v>19.774450000000002</v>
      </c>
      <c r="O102" s="22">
        <v>20.058819</v>
      </c>
      <c r="P102" s="22">
        <v>20.311828999999999</v>
      </c>
      <c r="Q102" s="22">
        <v>20.512810000000002</v>
      </c>
      <c r="R102" s="22">
        <v>20.728580000000001</v>
      </c>
      <c r="S102" s="22">
        <v>20.966011000000002</v>
      </c>
      <c r="T102" s="22">
        <v>21.199514000000001</v>
      </c>
      <c r="U102" s="22">
        <v>21.387691</v>
      </c>
      <c r="V102" s="22">
        <v>21.628992</v>
      </c>
      <c r="W102" s="22">
        <v>21.819023000000001</v>
      </c>
      <c r="X102" s="22">
        <v>22.007545</v>
      </c>
      <c r="Y102" s="22">
        <v>22.229607000000001</v>
      </c>
      <c r="Z102" s="22">
        <v>22.454782000000002</v>
      </c>
      <c r="AA102" s="22">
        <v>22.696708999999998</v>
      </c>
      <c r="AB102" s="22">
        <v>22.978424</v>
      </c>
      <c r="AC102" s="22">
        <v>23.205546999999999</v>
      </c>
      <c r="AD102" s="22">
        <v>23.414211000000002</v>
      </c>
      <c r="AE102" s="22">
        <v>23.661840000000002</v>
      </c>
      <c r="AF102" s="22">
        <v>23.94849</v>
      </c>
      <c r="AG102" s="25">
        <v>2.2112E-2</v>
      </c>
    </row>
    <row r="103" spans="1:33" ht="36.75">
      <c r="A103" s="10" t="s">
        <v>488</v>
      </c>
      <c r="B103" s="21" t="s">
        <v>489</v>
      </c>
      <c r="C103" s="22">
        <v>16.509121</v>
      </c>
      <c r="D103" s="22">
        <v>18.285233000000002</v>
      </c>
      <c r="E103" s="22">
        <v>19.377106000000001</v>
      </c>
      <c r="F103" s="22">
        <v>20.340997999999999</v>
      </c>
      <c r="G103" s="22">
        <v>21.098049</v>
      </c>
      <c r="H103" s="22">
        <v>21.731332999999999</v>
      </c>
      <c r="I103" s="22">
        <v>22.169803999999999</v>
      </c>
      <c r="J103" s="22">
        <v>22.523285000000001</v>
      </c>
      <c r="K103" s="22">
        <v>22.869595</v>
      </c>
      <c r="L103" s="22">
        <v>23.288273</v>
      </c>
      <c r="M103" s="22">
        <v>23.699677000000001</v>
      </c>
      <c r="N103" s="22">
        <v>24.057817</v>
      </c>
      <c r="O103" s="22">
        <v>24.414905999999998</v>
      </c>
      <c r="P103" s="22">
        <v>24.741427999999999</v>
      </c>
      <c r="Q103" s="22">
        <v>25.031414000000002</v>
      </c>
      <c r="R103" s="22">
        <v>25.337914999999999</v>
      </c>
      <c r="S103" s="22">
        <v>25.685137000000001</v>
      </c>
      <c r="T103" s="22">
        <v>26.023502000000001</v>
      </c>
      <c r="U103" s="22">
        <v>26.328029999999998</v>
      </c>
      <c r="V103" s="22">
        <v>26.692329000000001</v>
      </c>
      <c r="W103" s="22">
        <v>26.99531</v>
      </c>
      <c r="X103" s="22">
        <v>27.311768000000001</v>
      </c>
      <c r="Y103" s="22">
        <v>27.664957000000001</v>
      </c>
      <c r="Z103" s="22">
        <v>28.027588000000002</v>
      </c>
      <c r="AA103" s="22">
        <v>28.432559999999999</v>
      </c>
      <c r="AB103" s="22">
        <v>28.888083000000002</v>
      </c>
      <c r="AC103" s="22">
        <v>29.281431000000001</v>
      </c>
      <c r="AD103" s="22">
        <v>29.655377999999999</v>
      </c>
      <c r="AE103" s="22">
        <v>30.076912</v>
      </c>
      <c r="AF103" s="22">
        <v>30.537510000000001</v>
      </c>
      <c r="AG103" s="25">
        <v>2.1434999999999999E-2</v>
      </c>
    </row>
    <row r="104" spans="1:33" ht="24.75">
      <c r="A104" s="10" t="s">
        <v>490</v>
      </c>
      <c r="B104" s="21" t="s">
        <v>454</v>
      </c>
      <c r="C104" s="22">
        <v>5.2127150000000002</v>
      </c>
      <c r="D104" s="22">
        <v>5.695138</v>
      </c>
      <c r="E104" s="22">
        <v>5.9626049999999999</v>
      </c>
      <c r="F104" s="22">
        <v>6.2147670000000002</v>
      </c>
      <c r="G104" s="22">
        <v>6.4174519999999999</v>
      </c>
      <c r="H104" s="22">
        <v>6.5885199999999999</v>
      </c>
      <c r="I104" s="22">
        <v>6.6994280000000002</v>
      </c>
      <c r="J104" s="22">
        <v>6.7960029999999998</v>
      </c>
      <c r="K104" s="22">
        <v>6.9016250000000001</v>
      </c>
      <c r="L104" s="22">
        <v>7.0355650000000001</v>
      </c>
      <c r="M104" s="22">
        <v>7.165921</v>
      </c>
      <c r="N104" s="22">
        <v>7.2919429999999998</v>
      </c>
      <c r="O104" s="22">
        <v>7.4233589999999996</v>
      </c>
      <c r="P104" s="22">
        <v>7.5462530000000001</v>
      </c>
      <c r="Q104" s="22">
        <v>7.65665</v>
      </c>
      <c r="R104" s="22">
        <v>7.7712139999999996</v>
      </c>
      <c r="S104" s="22">
        <v>7.9042019999999997</v>
      </c>
      <c r="T104" s="22">
        <v>8.032076</v>
      </c>
      <c r="U104" s="22">
        <v>8.1507020000000008</v>
      </c>
      <c r="V104" s="22">
        <v>8.2886360000000003</v>
      </c>
      <c r="W104" s="22">
        <v>8.4046099999999999</v>
      </c>
      <c r="X104" s="22">
        <v>8.5259020000000003</v>
      </c>
      <c r="Y104" s="22">
        <v>8.6576000000000004</v>
      </c>
      <c r="Z104" s="22">
        <v>8.7912809999999997</v>
      </c>
      <c r="AA104" s="22">
        <v>8.9423670000000008</v>
      </c>
      <c r="AB104" s="22">
        <v>9.108644</v>
      </c>
      <c r="AC104" s="22">
        <v>9.2528950000000005</v>
      </c>
      <c r="AD104" s="22">
        <v>9.3912560000000003</v>
      </c>
      <c r="AE104" s="22">
        <v>9.5472020000000004</v>
      </c>
      <c r="AF104" s="22">
        <v>9.7163330000000006</v>
      </c>
      <c r="AG104" s="25">
        <v>2.1704999999999999E-2</v>
      </c>
    </row>
    <row r="105" spans="1:33">
      <c r="A105" s="10" t="s">
        <v>491</v>
      </c>
      <c r="B105" s="21" t="s">
        <v>480</v>
      </c>
      <c r="C105" s="22">
        <v>11.296407</v>
      </c>
      <c r="D105" s="22">
        <v>12.590095</v>
      </c>
      <c r="E105" s="22">
        <v>13.414501</v>
      </c>
      <c r="F105" s="22">
        <v>14.126231000000001</v>
      </c>
      <c r="G105" s="22">
        <v>14.680597000000001</v>
      </c>
      <c r="H105" s="22">
        <v>15.142814</v>
      </c>
      <c r="I105" s="22">
        <v>15.470375000000001</v>
      </c>
      <c r="J105" s="22">
        <v>15.727282000000001</v>
      </c>
      <c r="K105" s="22">
        <v>15.967969999999999</v>
      </c>
      <c r="L105" s="22">
        <v>16.252707999999998</v>
      </c>
      <c r="M105" s="22">
        <v>16.533753999999998</v>
      </c>
      <c r="N105" s="22">
        <v>16.765875000000001</v>
      </c>
      <c r="O105" s="22">
        <v>16.991547000000001</v>
      </c>
      <c r="P105" s="22">
        <v>17.195174999999999</v>
      </c>
      <c r="Q105" s="22">
        <v>17.374763000000002</v>
      </c>
      <c r="R105" s="22">
        <v>17.566701999999999</v>
      </c>
      <c r="S105" s="22">
        <v>17.780934999999999</v>
      </c>
      <c r="T105" s="22">
        <v>17.991426000000001</v>
      </c>
      <c r="U105" s="22">
        <v>18.177327999999999</v>
      </c>
      <c r="V105" s="22">
        <v>18.403694000000002</v>
      </c>
      <c r="W105" s="22">
        <v>18.590699999999998</v>
      </c>
      <c r="X105" s="22">
        <v>18.785865999999999</v>
      </c>
      <c r="Y105" s="22">
        <v>19.007356999999999</v>
      </c>
      <c r="Z105" s="22">
        <v>19.236307</v>
      </c>
      <c r="AA105" s="22">
        <v>19.490192</v>
      </c>
      <c r="AB105" s="22">
        <v>19.779437999999999</v>
      </c>
      <c r="AC105" s="22">
        <v>20.028535999999999</v>
      </c>
      <c r="AD105" s="22">
        <v>20.264122</v>
      </c>
      <c r="AE105" s="22">
        <v>20.529709</v>
      </c>
      <c r="AF105" s="22">
        <v>20.821176999999999</v>
      </c>
      <c r="AG105" s="25">
        <v>2.1309999999999999E-2</v>
      </c>
    </row>
    <row r="106" spans="1:33" ht="60.75">
      <c r="A106" s="10" t="s">
        <v>492</v>
      </c>
      <c r="B106" s="21" t="s">
        <v>482</v>
      </c>
      <c r="C106" s="22">
        <v>0</v>
      </c>
      <c r="D106" s="22">
        <v>0</v>
      </c>
      <c r="E106" s="22">
        <v>0</v>
      </c>
      <c r="F106" s="22">
        <v>0</v>
      </c>
      <c r="G106" s="22">
        <v>0</v>
      </c>
      <c r="H106" s="22">
        <v>0</v>
      </c>
      <c r="I106" s="22">
        <v>0</v>
      </c>
      <c r="J106" s="22">
        <v>0</v>
      </c>
      <c r="K106" s="22">
        <v>0</v>
      </c>
      <c r="L106" s="22">
        <v>0</v>
      </c>
      <c r="M106" s="22">
        <v>0</v>
      </c>
      <c r="N106" s="22">
        <v>0</v>
      </c>
      <c r="O106" s="22">
        <v>0</v>
      </c>
      <c r="P106" s="22">
        <v>0</v>
      </c>
      <c r="Q106" s="22">
        <v>0</v>
      </c>
      <c r="R106" s="22">
        <v>0</v>
      </c>
      <c r="S106" s="22">
        <v>0</v>
      </c>
      <c r="T106" s="22">
        <v>0</v>
      </c>
      <c r="U106" s="22">
        <v>0</v>
      </c>
      <c r="V106" s="22">
        <v>0</v>
      </c>
      <c r="W106" s="22">
        <v>0</v>
      </c>
      <c r="X106" s="22">
        <v>0</v>
      </c>
      <c r="Y106" s="22">
        <v>0</v>
      </c>
      <c r="Z106" s="22">
        <v>0</v>
      </c>
      <c r="AA106" s="22">
        <v>0</v>
      </c>
      <c r="AB106" s="22">
        <v>0</v>
      </c>
      <c r="AC106" s="22">
        <v>0</v>
      </c>
      <c r="AD106" s="22">
        <v>0</v>
      </c>
      <c r="AE106" s="22">
        <v>0</v>
      </c>
      <c r="AF106" s="22">
        <v>0</v>
      </c>
      <c r="AG106" s="25" t="s">
        <v>397</v>
      </c>
    </row>
    <row r="107" spans="1:33" ht="48.75">
      <c r="A107" s="10" t="s">
        <v>493</v>
      </c>
      <c r="B107" s="21" t="s">
        <v>484</v>
      </c>
      <c r="C107" s="22">
        <v>0</v>
      </c>
      <c r="D107" s="22">
        <v>0</v>
      </c>
      <c r="E107" s="22">
        <v>0</v>
      </c>
      <c r="F107" s="22">
        <v>0</v>
      </c>
      <c r="G107" s="22">
        <v>0</v>
      </c>
      <c r="H107" s="22">
        <v>0</v>
      </c>
      <c r="I107" s="22">
        <v>0</v>
      </c>
      <c r="J107" s="22">
        <v>0</v>
      </c>
      <c r="K107" s="22">
        <v>0</v>
      </c>
      <c r="L107" s="22">
        <v>0</v>
      </c>
      <c r="M107" s="22">
        <v>0</v>
      </c>
      <c r="N107" s="22">
        <v>0</v>
      </c>
      <c r="O107" s="22">
        <v>0</v>
      </c>
      <c r="P107" s="22">
        <v>0</v>
      </c>
      <c r="Q107" s="22">
        <v>0</v>
      </c>
      <c r="R107" s="22">
        <v>0</v>
      </c>
      <c r="S107" s="22">
        <v>0</v>
      </c>
      <c r="T107" s="22">
        <v>0</v>
      </c>
      <c r="U107" s="22">
        <v>0</v>
      </c>
      <c r="V107" s="22">
        <v>0</v>
      </c>
      <c r="W107" s="22">
        <v>0</v>
      </c>
      <c r="X107" s="22">
        <v>0</v>
      </c>
      <c r="Y107" s="22">
        <v>0</v>
      </c>
      <c r="Z107" s="22">
        <v>0</v>
      </c>
      <c r="AA107" s="22">
        <v>0</v>
      </c>
      <c r="AB107" s="22">
        <v>0</v>
      </c>
      <c r="AC107" s="22">
        <v>0</v>
      </c>
      <c r="AD107" s="22">
        <v>0</v>
      </c>
      <c r="AE107" s="22">
        <v>0</v>
      </c>
      <c r="AF107" s="22">
        <v>0</v>
      </c>
      <c r="AG107" s="25" t="s">
        <v>397</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75">
      <c r="A109" s="10" t="s">
        <v>494</v>
      </c>
      <c r="B109" s="20" t="s">
        <v>161</v>
      </c>
      <c r="C109" s="23">
        <v>204.09703099999999</v>
      </c>
      <c r="D109" s="23">
        <v>207.81658899999999</v>
      </c>
      <c r="E109" s="23">
        <v>208.00427199999999</v>
      </c>
      <c r="F109" s="23">
        <v>208.62669399999999</v>
      </c>
      <c r="G109" s="23">
        <v>208.70083600000001</v>
      </c>
      <c r="H109" s="23">
        <v>208.389374</v>
      </c>
      <c r="I109" s="23">
        <v>207.106934</v>
      </c>
      <c r="J109" s="23">
        <v>205.85676599999999</v>
      </c>
      <c r="K109" s="23">
        <v>204.91546600000001</v>
      </c>
      <c r="L109" s="23">
        <v>204.26499899999999</v>
      </c>
      <c r="M109" s="23">
        <v>203.40438800000001</v>
      </c>
      <c r="N109" s="23">
        <v>202.68185399999999</v>
      </c>
      <c r="O109" s="23">
        <v>202.113373</v>
      </c>
      <c r="P109" s="23">
        <v>201.50842299999999</v>
      </c>
      <c r="Q109" s="23">
        <v>200.80012500000001</v>
      </c>
      <c r="R109" s="23">
        <v>200.07522599999999</v>
      </c>
      <c r="S109" s="23">
        <v>199.64593500000001</v>
      </c>
      <c r="T109" s="23">
        <v>199.11071799999999</v>
      </c>
      <c r="U109" s="23">
        <v>198.525757</v>
      </c>
      <c r="V109" s="23">
        <v>198.07746900000001</v>
      </c>
      <c r="W109" s="23">
        <v>197.287598</v>
      </c>
      <c r="X109" s="23">
        <v>196.60789500000001</v>
      </c>
      <c r="Y109" s="23">
        <v>195.98907500000001</v>
      </c>
      <c r="Z109" s="23">
        <v>195.342804</v>
      </c>
      <c r="AA109" s="23">
        <v>194.913635</v>
      </c>
      <c r="AB109" s="23">
        <v>194.54913300000001</v>
      </c>
      <c r="AC109" s="23">
        <v>193.90734900000001</v>
      </c>
      <c r="AD109" s="23">
        <v>193.25498999999999</v>
      </c>
      <c r="AE109" s="23">
        <v>192.858002</v>
      </c>
      <c r="AF109" s="23">
        <v>192.57214400000001</v>
      </c>
      <c r="AG109" s="26">
        <v>-2.0019999999999999E-3</v>
      </c>
    </row>
    <row r="110" spans="1:33">
      <c r="A110" s="10" t="s">
        <v>495</v>
      </c>
      <c r="B110" s="21" t="s">
        <v>496</v>
      </c>
      <c r="C110" s="22">
        <v>164.88896199999999</v>
      </c>
      <c r="D110" s="22">
        <v>167.62558000000001</v>
      </c>
      <c r="E110" s="22">
        <v>167.50697299999999</v>
      </c>
      <c r="F110" s="22">
        <v>167.73602299999999</v>
      </c>
      <c r="G110" s="22">
        <v>167.521973</v>
      </c>
      <c r="H110" s="22">
        <v>166.997345</v>
      </c>
      <c r="I110" s="22">
        <v>165.69532799999999</v>
      </c>
      <c r="J110" s="22">
        <v>164.42112700000001</v>
      </c>
      <c r="K110" s="22">
        <v>163.39518699999999</v>
      </c>
      <c r="L110" s="22">
        <v>162.601913</v>
      </c>
      <c r="M110" s="22">
        <v>161.64205899999999</v>
      </c>
      <c r="N110" s="22">
        <v>160.79272499999999</v>
      </c>
      <c r="O110" s="22">
        <v>160.06601000000001</v>
      </c>
      <c r="P110" s="22">
        <v>159.31068400000001</v>
      </c>
      <c r="Q110" s="22">
        <v>158.474121</v>
      </c>
      <c r="R110" s="22">
        <v>157.62510700000001</v>
      </c>
      <c r="S110" s="22">
        <v>157.00924699999999</v>
      </c>
      <c r="T110" s="22">
        <v>156.310104</v>
      </c>
      <c r="U110" s="22">
        <v>155.57217399999999</v>
      </c>
      <c r="V110" s="22">
        <v>154.94146699999999</v>
      </c>
      <c r="W110" s="22">
        <v>154.044006</v>
      </c>
      <c r="X110" s="22">
        <v>153.23336800000001</v>
      </c>
      <c r="Y110" s="22">
        <v>152.47070299999999</v>
      </c>
      <c r="Z110" s="22">
        <v>151.68722500000001</v>
      </c>
      <c r="AA110" s="22">
        <v>151.07257100000001</v>
      </c>
      <c r="AB110" s="22">
        <v>150.507904</v>
      </c>
      <c r="AC110" s="22">
        <v>149.72891200000001</v>
      </c>
      <c r="AD110" s="22">
        <v>148.942352</v>
      </c>
      <c r="AE110" s="22">
        <v>148.35287500000001</v>
      </c>
      <c r="AF110" s="22">
        <v>147.84863300000001</v>
      </c>
      <c r="AG110" s="25">
        <v>-3.754E-3</v>
      </c>
    </row>
    <row r="111" spans="1:33" ht="48.75">
      <c r="A111" s="10" t="s">
        <v>497</v>
      </c>
      <c r="B111" s="21" t="s">
        <v>380</v>
      </c>
      <c r="C111" s="22">
        <v>39.208072999999999</v>
      </c>
      <c r="D111" s="22">
        <v>40.191006000000002</v>
      </c>
      <c r="E111" s="22">
        <v>40.497298999999998</v>
      </c>
      <c r="F111" s="22">
        <v>40.890670999999998</v>
      </c>
      <c r="G111" s="22">
        <v>41.17886</v>
      </c>
      <c r="H111" s="22">
        <v>41.392029000000001</v>
      </c>
      <c r="I111" s="22">
        <v>41.411610000000003</v>
      </c>
      <c r="J111" s="22">
        <v>41.435642000000001</v>
      </c>
      <c r="K111" s="22">
        <v>41.520287000000003</v>
      </c>
      <c r="L111" s="22">
        <v>41.663086</v>
      </c>
      <c r="M111" s="22">
        <v>41.762337000000002</v>
      </c>
      <c r="N111" s="22">
        <v>41.889136999999998</v>
      </c>
      <c r="O111" s="22">
        <v>42.047367000000001</v>
      </c>
      <c r="P111" s="22">
        <v>42.197741999999998</v>
      </c>
      <c r="Q111" s="22">
        <v>42.326008000000002</v>
      </c>
      <c r="R111" s="22">
        <v>42.450127000000002</v>
      </c>
      <c r="S111" s="22">
        <v>42.636696000000001</v>
      </c>
      <c r="T111" s="22">
        <v>42.800617000000003</v>
      </c>
      <c r="U111" s="22">
        <v>42.953589999999998</v>
      </c>
      <c r="V111" s="22">
        <v>43.136001999999998</v>
      </c>
      <c r="W111" s="22">
        <v>43.243583999999998</v>
      </c>
      <c r="X111" s="22">
        <v>43.374530999999998</v>
      </c>
      <c r="Y111" s="22">
        <v>43.518363999999998</v>
      </c>
      <c r="Z111" s="22">
        <v>43.655586</v>
      </c>
      <c r="AA111" s="22">
        <v>43.841064000000003</v>
      </c>
      <c r="AB111" s="22">
        <v>44.041221999999998</v>
      </c>
      <c r="AC111" s="22">
        <v>44.178435999999998</v>
      </c>
      <c r="AD111" s="22">
        <v>44.312634000000003</v>
      </c>
      <c r="AE111" s="22">
        <v>44.505119000000001</v>
      </c>
      <c r="AF111" s="22">
        <v>44.723514999999999</v>
      </c>
      <c r="AG111" s="25">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0" t="s">
        <v>498</v>
      </c>
      <c r="B113" s="21" t="s">
        <v>165</v>
      </c>
      <c r="C113" s="22">
        <v>125.031578</v>
      </c>
      <c r="D113" s="22">
        <v>126.896736</v>
      </c>
      <c r="E113" s="22">
        <v>127.926041</v>
      </c>
      <c r="F113" s="22">
        <v>128.600266</v>
      </c>
      <c r="G113" s="22">
        <v>129.10189800000001</v>
      </c>
      <c r="H113" s="22">
        <v>129.64999399999999</v>
      </c>
      <c r="I113" s="22">
        <v>129.96121199999999</v>
      </c>
      <c r="J113" s="22">
        <v>130.19676200000001</v>
      </c>
      <c r="K113" s="22">
        <v>130.40360999999999</v>
      </c>
      <c r="L113" s="22">
        <v>130.57878099999999</v>
      </c>
      <c r="M113" s="22">
        <v>130.71516399999999</v>
      </c>
      <c r="N113" s="22">
        <v>130.83389299999999</v>
      </c>
      <c r="O113" s="22">
        <v>130.94082599999999</v>
      </c>
      <c r="P113" s="22">
        <v>131.026443</v>
      </c>
      <c r="Q113" s="22">
        <v>131.09085099999999</v>
      </c>
      <c r="R113" s="22">
        <v>131.16413900000001</v>
      </c>
      <c r="S113" s="22">
        <v>131.26132200000001</v>
      </c>
      <c r="T113" s="22">
        <v>131.36518899999999</v>
      </c>
      <c r="U113" s="22">
        <v>131.48391699999999</v>
      </c>
      <c r="V113" s="22">
        <v>131.63140899999999</v>
      </c>
      <c r="W113" s="22">
        <v>131.76234400000001</v>
      </c>
      <c r="X113" s="22">
        <v>131.87556499999999</v>
      </c>
      <c r="Y113" s="22">
        <v>131.992706</v>
      </c>
      <c r="Z113" s="22">
        <v>132.10150100000001</v>
      </c>
      <c r="AA113" s="22">
        <v>132.230469</v>
      </c>
      <c r="AB113" s="22">
        <v>132.369202</v>
      </c>
      <c r="AC113" s="22">
        <v>132.482193</v>
      </c>
      <c r="AD113" s="22">
        <v>132.585846</v>
      </c>
      <c r="AE113" s="22">
        <v>132.70448300000001</v>
      </c>
      <c r="AF113" s="22">
        <v>132.83111600000001</v>
      </c>
      <c r="AG113" s="25">
        <v>2.0890000000000001E-3</v>
      </c>
    </row>
    <row r="114" spans="1:33" ht="48.75">
      <c r="A114" s="10" t="s">
        <v>499</v>
      </c>
      <c r="B114" s="21" t="s">
        <v>166</v>
      </c>
      <c r="C114" s="22">
        <v>748.06146200000001</v>
      </c>
      <c r="D114" s="22">
        <v>701.06182899999999</v>
      </c>
      <c r="E114" s="22">
        <v>682.70349099999999</v>
      </c>
      <c r="F114" s="22">
        <v>669.31573500000002</v>
      </c>
      <c r="G114" s="22">
        <v>657.777649</v>
      </c>
      <c r="H114" s="22">
        <v>646.21258499999999</v>
      </c>
      <c r="I114" s="22">
        <v>628.37182600000006</v>
      </c>
      <c r="J114" s="22">
        <v>632.31945800000005</v>
      </c>
      <c r="K114" s="22">
        <v>627.75476100000003</v>
      </c>
      <c r="L114" s="22">
        <v>619.43811000000005</v>
      </c>
      <c r="M114" s="22">
        <v>616.01281700000004</v>
      </c>
      <c r="N114" s="22">
        <v>619.79211399999997</v>
      </c>
      <c r="O114" s="22">
        <v>619.58685300000002</v>
      </c>
      <c r="P114" s="22">
        <v>616.83026099999995</v>
      </c>
      <c r="Q114" s="22">
        <v>618.30474900000002</v>
      </c>
      <c r="R114" s="22">
        <v>621.54339600000003</v>
      </c>
      <c r="S114" s="22">
        <v>629.67156999999997</v>
      </c>
      <c r="T114" s="22">
        <v>636.62567100000001</v>
      </c>
      <c r="U114" s="22">
        <v>641.26690699999995</v>
      </c>
      <c r="V114" s="22">
        <v>649.24737500000003</v>
      </c>
      <c r="W114" s="22">
        <v>656.71551499999998</v>
      </c>
      <c r="X114" s="22">
        <v>659.97137499999997</v>
      </c>
      <c r="Y114" s="22">
        <v>668.71801800000003</v>
      </c>
      <c r="Z114" s="22">
        <v>671.82458499999996</v>
      </c>
      <c r="AA114" s="22">
        <v>675.87640399999998</v>
      </c>
      <c r="AB114" s="22">
        <v>683.62017800000001</v>
      </c>
      <c r="AC114" s="22">
        <v>691.62048300000004</v>
      </c>
      <c r="AD114" s="22">
        <v>699.38653599999998</v>
      </c>
      <c r="AE114" s="22">
        <v>703.19329800000003</v>
      </c>
      <c r="AF114" s="22">
        <v>710.15020800000002</v>
      </c>
      <c r="AG114" s="25">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6.75">
      <c r="A116" s="10" t="s">
        <v>500</v>
      </c>
      <c r="B116" s="20" t="s">
        <v>132</v>
      </c>
      <c r="C116" s="23">
        <v>26324.886718999998</v>
      </c>
      <c r="D116" s="23">
        <v>27263.316406000002</v>
      </c>
      <c r="E116" s="23">
        <v>27692.980468999998</v>
      </c>
      <c r="F116" s="23">
        <v>27715.5</v>
      </c>
      <c r="G116" s="23">
        <v>27753.820312</v>
      </c>
      <c r="H116" s="23">
        <v>27727.53125</v>
      </c>
      <c r="I116" s="23">
        <v>27607.042968999998</v>
      </c>
      <c r="J116" s="23">
        <v>27503.935547000001</v>
      </c>
      <c r="K116" s="23">
        <v>27408.986327999999</v>
      </c>
      <c r="L116" s="23">
        <v>27340.705077999999</v>
      </c>
      <c r="M116" s="23">
        <v>27288.166015999999</v>
      </c>
      <c r="N116" s="23">
        <v>27213.582031000002</v>
      </c>
      <c r="O116" s="23">
        <v>27191.142577999999</v>
      </c>
      <c r="P116" s="23">
        <v>27165.730468999998</v>
      </c>
      <c r="Q116" s="23">
        <v>27154.113281000002</v>
      </c>
      <c r="R116" s="23">
        <v>27158.546875</v>
      </c>
      <c r="S116" s="23">
        <v>27206.796875</v>
      </c>
      <c r="T116" s="23">
        <v>27259.251952999999</v>
      </c>
      <c r="U116" s="23">
        <v>27333.582031000002</v>
      </c>
      <c r="V116" s="23">
        <v>27424.380859000001</v>
      </c>
      <c r="W116" s="23">
        <v>27521.037109000001</v>
      </c>
      <c r="X116" s="23">
        <v>27633.677734000001</v>
      </c>
      <c r="Y116" s="23">
        <v>27756.361327999999</v>
      </c>
      <c r="Z116" s="23">
        <v>27883.910156000002</v>
      </c>
      <c r="AA116" s="23">
        <v>28036.740234000001</v>
      </c>
      <c r="AB116" s="23">
        <v>28214.255859000001</v>
      </c>
      <c r="AC116" s="23">
        <v>28376.744140999999</v>
      </c>
      <c r="AD116" s="23">
        <v>28533.669922000001</v>
      </c>
      <c r="AE116" s="23">
        <v>28719.751952999999</v>
      </c>
      <c r="AF116" s="23">
        <v>28946.207031000002</v>
      </c>
      <c r="AG116" s="26">
        <v>3.2789999999999998E-3</v>
      </c>
    </row>
    <row r="117" spans="1:33" ht="15.7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65" t="s">
        <v>501</v>
      </c>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row>
    <row r="119" spans="1:33">
      <c r="A119" s="6"/>
      <c r="B119" s="7" t="s">
        <v>133</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7" t="s">
        <v>273</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7" t="s">
        <v>502</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7" t="s">
        <v>503</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7" t="s">
        <v>142</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7" t="s">
        <v>274</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7" t="s">
        <v>270</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7" t="s">
        <v>275</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0"/>
      <c r="B127" s="21"/>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5"/>
    </row>
    <row r="128" spans="1:33">
      <c r="A128" s="10"/>
      <c r="B128" s="21"/>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5"/>
    </row>
    <row r="129" spans="1:33">
      <c r="A129" s="10"/>
      <c r="B129" s="21"/>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5"/>
    </row>
    <row r="130" spans="1:33">
      <c r="A130" s="10"/>
      <c r="B130" s="21"/>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5"/>
    </row>
    <row r="131" spans="1:33">
      <c r="A131" s="10"/>
      <c r="B131" s="21"/>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5"/>
    </row>
    <row r="132" spans="1:33">
      <c r="A132" s="10"/>
      <c r="B132" s="21"/>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5"/>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0"/>
      <c r="B134" s="20"/>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6"/>
    </row>
    <row r="135" spans="1:33">
      <c r="A135" s="10"/>
      <c r="B135" s="21"/>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5"/>
    </row>
    <row r="136" spans="1:33">
      <c r="A136" s="10"/>
      <c r="B136" s="21"/>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5"/>
    </row>
    <row r="137" spans="1:33">
      <c r="A137" s="10"/>
      <c r="B137" s="21"/>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5"/>
    </row>
    <row r="138" spans="1:33">
      <c r="A138" s="10"/>
      <c r="B138" s="21"/>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5"/>
    </row>
    <row r="139" spans="1:33">
      <c r="A139" s="10"/>
      <c r="B139" s="21"/>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5"/>
    </row>
    <row r="140" spans="1:33">
      <c r="A140" s="10"/>
      <c r="B140" s="21"/>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5"/>
    </row>
    <row r="141" spans="1:33">
      <c r="A141" s="10"/>
      <c r="B141" s="21"/>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5"/>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0"/>
      <c r="B143" s="20"/>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6"/>
    </row>
    <row r="144" spans="1:33">
      <c r="A144" s="10"/>
      <c r="B144" s="21"/>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5"/>
    </row>
    <row r="145" spans="1:33">
      <c r="A145" s="10"/>
      <c r="B145" s="21"/>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5"/>
    </row>
    <row r="146" spans="1:33">
      <c r="A146" s="10"/>
      <c r="B146" s="21"/>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5"/>
    </row>
    <row r="147" spans="1:33">
      <c r="A147" s="10"/>
      <c r="B147" s="21"/>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5"/>
    </row>
    <row r="148" spans="1:33">
      <c r="A148" s="10"/>
      <c r="B148" s="21"/>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5"/>
    </row>
    <row r="149" spans="1:33">
      <c r="A149" s="10"/>
      <c r="B149" s="21"/>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5"/>
    </row>
    <row r="150" spans="1:33">
      <c r="A150" s="10"/>
      <c r="B150" s="21"/>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5"/>
    </row>
    <row r="153" spans="1:33">
      <c r="A153" s="10"/>
      <c r="B153" s="20"/>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6"/>
    </row>
    <row r="154" spans="1:33">
      <c r="A154" s="10"/>
      <c r="B154" s="21"/>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5"/>
    </row>
    <row r="155" spans="1:33">
      <c r="A155" s="10"/>
      <c r="B155" s="21"/>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5"/>
    </row>
    <row r="156" spans="1:33">
      <c r="A156" s="10"/>
      <c r="B156" s="21"/>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5"/>
    </row>
    <row r="157" spans="1:33">
      <c r="A157" s="10"/>
      <c r="B157" s="21"/>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5"/>
    </row>
    <row r="159" spans="1:33">
      <c r="A159" s="10"/>
      <c r="B159" s="20"/>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6"/>
    </row>
    <row r="160" spans="1:33">
      <c r="A160" s="10"/>
      <c r="B160" s="21"/>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5"/>
    </row>
    <row r="161" spans="1:33">
      <c r="A161" s="10"/>
      <c r="B161" s="21"/>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5"/>
    </row>
    <row r="162" spans="1:33">
      <c r="A162" s="10"/>
      <c r="B162" s="21"/>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5"/>
    </row>
    <row r="163" spans="1:33">
      <c r="A163" s="10"/>
      <c r="B163" s="21"/>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5"/>
    </row>
    <row r="165" spans="1:33">
      <c r="A165" s="10"/>
      <c r="B165" s="20"/>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6"/>
    </row>
    <row r="166" spans="1:33">
      <c r="A166" s="10"/>
      <c r="B166" s="21"/>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5"/>
    </row>
    <row r="167" spans="1:33">
      <c r="A167" s="10"/>
      <c r="B167" s="21"/>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5"/>
    </row>
    <row r="168" spans="1:33">
      <c r="A168" s="10"/>
      <c r="B168" s="21"/>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5"/>
    </row>
    <row r="169" spans="1:33">
      <c r="A169" s="10"/>
      <c r="B169" s="21"/>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5"/>
    </row>
    <row r="171" spans="1:33">
      <c r="A171" s="10"/>
      <c r="B171" s="20"/>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6"/>
    </row>
    <row r="172" spans="1:33">
      <c r="A172" s="10"/>
      <c r="B172" s="21"/>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5"/>
    </row>
    <row r="173" spans="1:33">
      <c r="A173" s="10"/>
      <c r="B173" s="21"/>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5"/>
    </row>
    <row r="175" spans="1:33">
      <c r="A175" s="10"/>
      <c r="B175" s="20"/>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6"/>
    </row>
    <row r="176" spans="1:33">
      <c r="A176" s="10"/>
      <c r="B176" s="21"/>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5"/>
    </row>
    <row r="177" spans="1:33">
      <c r="A177" s="10"/>
      <c r="B177" s="21"/>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5"/>
    </row>
    <row r="178" spans="1:33">
      <c r="A178" s="10"/>
      <c r="B178" s="21"/>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5"/>
    </row>
    <row r="180" spans="1:33">
      <c r="A180" s="10"/>
      <c r="B180" s="20"/>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6"/>
    </row>
    <row r="181" spans="1:33">
      <c r="A181" s="10"/>
      <c r="B181" s="21"/>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5"/>
    </row>
    <row r="182" spans="1:33">
      <c r="A182" s="10"/>
      <c r="B182" s="21"/>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5"/>
    </row>
    <row r="183" spans="1:33">
      <c r="A183" s="10"/>
      <c r="B183" s="21"/>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5"/>
    </row>
    <row r="184" spans="1:33">
      <c r="A184" s="10"/>
      <c r="B184" s="21"/>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5"/>
    </row>
    <row r="185" spans="1:33">
      <c r="A185" s="10"/>
      <c r="B185" s="21"/>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5"/>
    </row>
    <row r="186" spans="1:33">
      <c r="A186" s="10"/>
      <c r="B186" s="21"/>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5"/>
    </row>
    <row r="187" spans="1:33">
      <c r="A187" s="10"/>
      <c r="B187" s="21"/>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5"/>
    </row>
    <row r="188" spans="1:33">
      <c r="A188" s="10"/>
      <c r="B188" s="21"/>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5"/>
    </row>
    <row r="189" spans="1:33">
      <c r="A189" s="10"/>
      <c r="B189" s="21"/>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5"/>
    </row>
    <row r="190" spans="1:33">
      <c r="A190" s="10"/>
      <c r="B190" s="21"/>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5"/>
    </row>
    <row r="191" spans="1:33">
      <c r="A191" s="10"/>
      <c r="B191" s="21"/>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5"/>
    </row>
    <row r="192" spans="1:33">
      <c r="A192" s="10"/>
      <c r="B192" s="21"/>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5"/>
    </row>
    <row r="193" spans="1:33">
      <c r="A193" s="10"/>
      <c r="B193" s="21"/>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5"/>
    </row>
    <row r="194" spans="1:33">
      <c r="A194" s="10"/>
      <c r="B194" s="21"/>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5"/>
    </row>
    <row r="195" spans="1:33">
      <c r="A195" s="10"/>
      <c r="B195" s="21"/>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5"/>
    </row>
    <row r="196" spans="1:33">
      <c r="A196" s="10"/>
      <c r="B196" s="21"/>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5"/>
    </row>
    <row r="197" spans="1:33">
      <c r="A197" s="10"/>
      <c r="B197" s="21"/>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5"/>
    </row>
    <row r="198" spans="1:33">
      <c r="A198" s="10"/>
      <c r="B198" s="21"/>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5"/>
    </row>
    <row r="199" spans="1:33">
      <c r="A199" s="10"/>
      <c r="B199" s="21"/>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5"/>
    </row>
    <row r="200" spans="1:33">
      <c r="A200" s="10"/>
      <c r="B200" s="21"/>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5"/>
    </row>
    <row r="201" spans="1:33">
      <c r="A201" s="10"/>
      <c r="B201" s="21"/>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5"/>
    </row>
    <row r="202" spans="1:33">
      <c r="A202" s="10"/>
      <c r="B202" s="21"/>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5"/>
    </row>
    <row r="203" spans="1:33">
      <c r="A203" s="10"/>
      <c r="B203" s="21"/>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5"/>
    </row>
    <row r="204" spans="1:33">
      <c r="A204" s="10"/>
      <c r="B204" s="21"/>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5"/>
    </row>
    <row r="205" spans="1:33">
      <c r="A205" s="10"/>
      <c r="B205" s="20"/>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6"/>
    </row>
    <row r="206" spans="1:33">
      <c r="A206" s="10"/>
      <c r="B206" s="21"/>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5"/>
    </row>
    <row r="207" spans="1:33">
      <c r="A207" s="10"/>
      <c r="B207" s="21"/>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5"/>
    </row>
    <row r="208" spans="1:33">
      <c r="A208" s="10"/>
      <c r="B208" s="21"/>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5"/>
    </row>
    <row r="209" spans="1:33">
      <c r="A209" s="10"/>
      <c r="B209" s="21"/>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5"/>
    </row>
    <row r="210" spans="1:33">
      <c r="A210" s="10"/>
      <c r="B210" s="21"/>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5"/>
    </row>
    <row r="211" spans="1:33">
      <c r="A211" s="10"/>
      <c r="B211" s="21"/>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5"/>
    </row>
    <row r="212" spans="1:33">
      <c r="A212" s="10"/>
      <c r="B212" s="21"/>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5"/>
    </row>
    <row r="213" spans="1:33">
      <c r="A213" s="10"/>
      <c r="B213" s="21"/>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5"/>
    </row>
    <row r="214" spans="1:33">
      <c r="A214" s="10"/>
      <c r="B214" s="21"/>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5"/>
    </row>
    <row r="215" spans="1:33">
      <c r="A215" s="10"/>
      <c r="B215" s="21"/>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5"/>
    </row>
    <row r="216" spans="1:33">
      <c r="A216" s="10"/>
      <c r="B216" s="21"/>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5"/>
    </row>
    <row r="217" spans="1:33">
      <c r="A217" s="10"/>
      <c r="B217" s="21"/>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5"/>
    </row>
    <row r="219" spans="1:33">
      <c r="A219" s="10"/>
      <c r="B219" s="20"/>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6"/>
    </row>
    <row r="220" spans="1:33">
      <c r="A220" s="10"/>
      <c r="B220" s="21"/>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5"/>
    </row>
    <row r="221" spans="1:33">
      <c r="A221" s="10"/>
      <c r="B221" s="21"/>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5"/>
    </row>
    <row r="223" spans="1:33">
      <c r="A223" s="10"/>
      <c r="B223" s="21"/>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5"/>
    </row>
    <row r="224" spans="1:33">
      <c r="A224" s="10"/>
      <c r="B224" s="21"/>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5"/>
    </row>
    <row r="226" spans="1:33">
      <c r="A226" s="10"/>
      <c r="B226" s="29"/>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1"/>
    </row>
    <row r="228" spans="1:33">
      <c r="A228" s="6"/>
      <c r="B228" s="32"/>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7"/>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7"/>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7"/>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7"/>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7"/>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7"/>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7"/>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7"/>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64"/>
      <c r="C1071" s="64"/>
      <c r="D1071" s="64"/>
      <c r="E1071" s="64"/>
      <c r="F1071" s="64"/>
      <c r="G1071" s="64"/>
      <c r="H1071" s="64"/>
      <c r="I1071" s="64"/>
      <c r="J1071" s="64"/>
      <c r="K1071" s="64"/>
      <c r="L1071" s="64"/>
      <c r="M1071" s="64"/>
      <c r="N1071" s="64"/>
      <c r="O1071" s="64"/>
      <c r="P1071" s="64"/>
      <c r="Q1071" s="64"/>
      <c r="R1071" s="64"/>
      <c r="S1071" s="64"/>
      <c r="T1071" s="64"/>
      <c r="U1071" s="64"/>
      <c r="V1071" s="64"/>
      <c r="W1071" s="64"/>
      <c r="X1071" s="64"/>
      <c r="Y1071" s="64"/>
      <c r="Z1071" s="64"/>
      <c r="AA1071" s="64"/>
      <c r="AB1071" s="64"/>
      <c r="AC1071" s="64"/>
      <c r="AD1071" s="64"/>
      <c r="AE1071" s="64"/>
      <c r="AF1071" s="64"/>
      <c r="AG1071" s="64"/>
    </row>
    <row r="1169" spans="2:33">
      <c r="B1169" s="64"/>
      <c r="C1169" s="64"/>
      <c r="D1169" s="64"/>
      <c r="E1169" s="64"/>
      <c r="F1169" s="64"/>
      <c r="G1169" s="64"/>
      <c r="H1169" s="64"/>
      <c r="I1169" s="64"/>
      <c r="J1169" s="64"/>
      <c r="K1169" s="64"/>
      <c r="L1169" s="64"/>
      <c r="M1169" s="64"/>
      <c r="N1169" s="64"/>
      <c r="O1169" s="64"/>
      <c r="P1169" s="64"/>
      <c r="Q1169" s="64"/>
      <c r="R1169" s="64"/>
      <c r="S1169" s="64"/>
      <c r="T1169" s="64"/>
      <c r="U1169" s="64"/>
      <c r="V1169" s="64"/>
      <c r="W1169" s="64"/>
      <c r="X1169" s="64"/>
      <c r="Y1169" s="64"/>
      <c r="Z1169" s="64"/>
      <c r="AA1169" s="64"/>
      <c r="AB1169" s="64"/>
      <c r="AC1169" s="64"/>
      <c r="AD1169" s="64"/>
      <c r="AE1169" s="64"/>
      <c r="AF1169" s="64"/>
      <c r="AG1169" s="6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64"/>
      <c r="C1269" s="64"/>
      <c r="D1269" s="64"/>
      <c r="E1269" s="64"/>
      <c r="F1269" s="64"/>
      <c r="G1269" s="64"/>
      <c r="H1269" s="64"/>
      <c r="I1269" s="64"/>
      <c r="J1269" s="64"/>
      <c r="K1269" s="64"/>
      <c r="L1269" s="64"/>
      <c r="M1269" s="64"/>
      <c r="N1269" s="64"/>
      <c r="O1269" s="64"/>
      <c r="P1269" s="64"/>
      <c r="Q1269" s="64"/>
      <c r="R1269" s="64"/>
      <c r="S1269" s="64"/>
      <c r="T1269" s="64"/>
      <c r="U1269" s="64"/>
      <c r="V1269" s="64"/>
      <c r="W1269" s="64"/>
      <c r="X1269" s="64"/>
      <c r="Y1269" s="64"/>
      <c r="Z1269" s="64"/>
      <c r="AA1269" s="64"/>
      <c r="AB1269" s="64"/>
      <c r="AC1269" s="64"/>
      <c r="AD1269" s="64"/>
      <c r="AE1269" s="64"/>
      <c r="AF1269" s="64"/>
      <c r="AG1269" s="6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64"/>
      <c r="C1484" s="64"/>
      <c r="D1484" s="64"/>
      <c r="E1484" s="64"/>
      <c r="F1484" s="64"/>
      <c r="G1484" s="64"/>
      <c r="H1484" s="64"/>
      <c r="I1484" s="64"/>
      <c r="J1484" s="64"/>
      <c r="K1484" s="64"/>
      <c r="L1484" s="64"/>
      <c r="M1484" s="64"/>
      <c r="N1484" s="64"/>
      <c r="O1484" s="64"/>
      <c r="P1484" s="64"/>
      <c r="Q1484" s="64"/>
      <c r="R1484" s="64"/>
      <c r="S1484" s="64"/>
      <c r="T1484" s="64"/>
      <c r="U1484" s="64"/>
      <c r="V1484" s="64"/>
      <c r="W1484" s="64"/>
      <c r="X1484" s="64"/>
      <c r="Y1484" s="64"/>
      <c r="Z1484" s="64"/>
      <c r="AA1484" s="64"/>
      <c r="AB1484" s="64"/>
      <c r="AC1484" s="64"/>
      <c r="AD1484" s="64"/>
      <c r="AE1484" s="64"/>
      <c r="AF1484" s="64"/>
      <c r="AG1484" s="64"/>
    </row>
    <row r="1713" spans="2:33">
      <c r="B1713" s="64"/>
      <c r="C1713" s="64"/>
      <c r="D1713" s="64"/>
      <c r="E1713" s="64"/>
      <c r="F1713" s="64"/>
      <c r="G1713" s="64"/>
      <c r="H1713" s="64"/>
      <c r="I1713" s="64"/>
      <c r="J1713" s="64"/>
      <c r="K1713" s="64"/>
      <c r="L1713" s="64"/>
      <c r="M1713" s="64"/>
      <c r="N1713" s="64"/>
      <c r="O1713" s="64"/>
      <c r="P1713" s="64"/>
      <c r="Q1713" s="64"/>
      <c r="R1713" s="64"/>
      <c r="S1713" s="64"/>
      <c r="T1713" s="64"/>
      <c r="U1713" s="64"/>
      <c r="V1713" s="64"/>
      <c r="W1713" s="64"/>
      <c r="X1713" s="64"/>
      <c r="Y1713" s="64"/>
      <c r="Z1713" s="64"/>
      <c r="AA1713" s="64"/>
      <c r="AB1713" s="64"/>
      <c r="AC1713" s="64"/>
      <c r="AD1713" s="64"/>
      <c r="AE1713" s="64"/>
      <c r="AF1713" s="64"/>
      <c r="AG1713" s="6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64"/>
      <c r="C1990" s="64"/>
      <c r="D1990" s="64"/>
      <c r="E1990" s="64"/>
      <c r="F1990" s="64"/>
      <c r="G1990" s="64"/>
      <c r="H1990" s="64"/>
      <c r="I1990" s="64"/>
      <c r="J1990" s="64"/>
      <c r="K1990" s="64"/>
      <c r="L1990" s="64"/>
      <c r="M1990" s="64"/>
      <c r="N1990" s="64"/>
      <c r="O1990" s="64"/>
      <c r="P1990" s="64"/>
      <c r="Q1990" s="64"/>
      <c r="R1990" s="64"/>
      <c r="S1990" s="64"/>
      <c r="T1990" s="64"/>
      <c r="U1990" s="64"/>
      <c r="V1990" s="64"/>
      <c r="W1990" s="64"/>
      <c r="X1990" s="64"/>
      <c r="Y1990" s="64"/>
      <c r="Z1990" s="64"/>
      <c r="AA1990" s="64"/>
      <c r="AB1990" s="64"/>
      <c r="AC1990" s="64"/>
      <c r="AD1990" s="64"/>
      <c r="AE1990" s="64"/>
      <c r="AF1990" s="64"/>
      <c r="AG1990" s="6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64"/>
      <c r="C2325" s="64"/>
      <c r="D2325" s="64"/>
      <c r="E2325" s="64"/>
      <c r="F2325" s="64"/>
      <c r="G2325" s="64"/>
      <c r="H2325" s="64"/>
      <c r="I2325" s="64"/>
      <c r="J2325" s="64"/>
      <c r="K2325" s="64"/>
      <c r="L2325" s="64"/>
      <c r="M2325" s="64"/>
      <c r="N2325" s="64"/>
      <c r="O2325" s="64"/>
      <c r="P2325" s="64"/>
      <c r="Q2325" s="64"/>
      <c r="R2325" s="64"/>
      <c r="S2325" s="64"/>
      <c r="T2325" s="64"/>
      <c r="U2325" s="64"/>
      <c r="V2325" s="64"/>
      <c r="W2325" s="64"/>
      <c r="X2325" s="64"/>
      <c r="Y2325" s="64"/>
      <c r="Z2325" s="64"/>
      <c r="AA2325" s="64"/>
      <c r="AB2325" s="64"/>
      <c r="AC2325" s="64"/>
      <c r="AD2325" s="64"/>
      <c r="AE2325" s="64"/>
      <c r="AF2325" s="64"/>
      <c r="AG2325" s="6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64"/>
      <c r="C2645" s="64"/>
      <c r="D2645" s="64"/>
      <c r="E2645" s="64"/>
      <c r="F2645" s="64"/>
      <c r="G2645" s="64"/>
      <c r="H2645" s="64"/>
      <c r="I2645" s="64"/>
      <c r="J2645" s="64"/>
      <c r="K2645" s="64"/>
      <c r="L2645" s="64"/>
      <c r="M2645" s="64"/>
      <c r="N2645" s="64"/>
      <c r="O2645" s="64"/>
      <c r="P2645" s="64"/>
      <c r="Q2645" s="64"/>
      <c r="R2645" s="64"/>
      <c r="S2645" s="64"/>
      <c r="T2645" s="64"/>
      <c r="U2645" s="64"/>
      <c r="V2645" s="64"/>
      <c r="W2645" s="64"/>
      <c r="X2645" s="64"/>
      <c r="Y2645" s="64"/>
      <c r="Z2645" s="64"/>
      <c r="AA2645" s="64"/>
      <c r="AB2645" s="64"/>
      <c r="AC2645" s="64"/>
      <c r="AD2645" s="64"/>
      <c r="AE2645" s="64"/>
      <c r="AF2645" s="64"/>
      <c r="AG2645" s="6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64"/>
      <c r="C2971" s="64"/>
      <c r="D2971" s="64"/>
      <c r="E2971" s="64"/>
      <c r="F2971" s="64"/>
      <c r="G2971" s="64"/>
      <c r="H2971" s="64"/>
      <c r="I2971" s="64"/>
      <c r="J2971" s="64"/>
      <c r="K2971" s="64"/>
      <c r="L2971" s="64"/>
      <c r="M2971" s="64"/>
      <c r="N2971" s="64"/>
      <c r="O2971" s="64"/>
      <c r="P2971" s="64"/>
      <c r="Q2971" s="64"/>
      <c r="R2971" s="64"/>
      <c r="S2971" s="64"/>
      <c r="T2971" s="64"/>
      <c r="U2971" s="64"/>
      <c r="V2971" s="64"/>
      <c r="W2971" s="64"/>
      <c r="X2971" s="64"/>
      <c r="Y2971" s="64"/>
      <c r="Z2971" s="64"/>
      <c r="AA2971" s="64"/>
      <c r="AB2971" s="64"/>
      <c r="AC2971" s="64"/>
      <c r="AD2971" s="64"/>
      <c r="AE2971" s="64"/>
      <c r="AF2971" s="64"/>
      <c r="AG2971" s="6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64"/>
      <c r="C3293" s="64"/>
      <c r="D3293" s="64"/>
      <c r="E3293" s="64"/>
      <c r="F3293" s="64"/>
      <c r="G3293" s="64"/>
      <c r="H3293" s="64"/>
      <c r="I3293" s="64"/>
      <c r="J3293" s="64"/>
      <c r="K3293" s="64"/>
      <c r="L3293" s="64"/>
      <c r="M3293" s="64"/>
      <c r="N3293" s="64"/>
      <c r="O3293" s="64"/>
      <c r="P3293" s="64"/>
      <c r="Q3293" s="64"/>
      <c r="R3293" s="64"/>
      <c r="S3293" s="64"/>
      <c r="T3293" s="64"/>
      <c r="U3293" s="64"/>
      <c r="V3293" s="64"/>
      <c r="W3293" s="64"/>
      <c r="X3293" s="64"/>
      <c r="Y3293" s="64"/>
      <c r="Z3293" s="64"/>
      <c r="AA3293" s="64"/>
      <c r="AB3293" s="64"/>
      <c r="AC3293" s="64"/>
      <c r="AD3293" s="64"/>
      <c r="AE3293" s="64"/>
      <c r="AF3293" s="64"/>
      <c r="AG3293" s="6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64"/>
      <c r="C3402" s="64"/>
      <c r="D3402" s="64"/>
      <c r="E3402" s="64"/>
      <c r="F3402" s="64"/>
      <c r="G3402" s="64"/>
      <c r="H3402" s="64"/>
      <c r="I3402" s="64"/>
      <c r="J3402" s="64"/>
      <c r="K3402" s="64"/>
      <c r="L3402" s="64"/>
      <c r="M3402" s="64"/>
      <c r="N3402" s="64"/>
      <c r="O3402" s="64"/>
      <c r="P3402" s="64"/>
      <c r="Q3402" s="64"/>
      <c r="R3402" s="64"/>
      <c r="S3402" s="64"/>
      <c r="T3402" s="64"/>
      <c r="U3402" s="64"/>
      <c r="V3402" s="64"/>
      <c r="W3402" s="64"/>
      <c r="X3402" s="64"/>
      <c r="Y3402" s="64"/>
      <c r="Z3402" s="64"/>
      <c r="AA3402" s="64"/>
      <c r="AB3402" s="64"/>
      <c r="AC3402" s="64"/>
      <c r="AD3402" s="64"/>
      <c r="AE3402" s="64"/>
      <c r="AF3402" s="64"/>
      <c r="AG3402" s="6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64"/>
      <c r="C3527" s="64"/>
      <c r="D3527" s="64"/>
      <c r="E3527" s="64"/>
      <c r="F3527" s="64"/>
      <c r="G3527" s="64"/>
      <c r="H3527" s="64"/>
      <c r="I3527" s="64"/>
      <c r="J3527" s="64"/>
      <c r="K3527" s="64"/>
      <c r="L3527" s="64"/>
      <c r="M3527" s="64"/>
      <c r="N3527" s="64"/>
      <c r="O3527" s="64"/>
      <c r="P3527" s="64"/>
      <c r="Q3527" s="64"/>
      <c r="R3527" s="64"/>
      <c r="S3527" s="64"/>
      <c r="T3527" s="64"/>
      <c r="U3527" s="64"/>
      <c r="V3527" s="64"/>
      <c r="W3527" s="64"/>
      <c r="X3527" s="64"/>
      <c r="Y3527" s="64"/>
      <c r="Z3527" s="64"/>
      <c r="AA3527" s="64"/>
      <c r="AB3527" s="64"/>
      <c r="AC3527" s="64"/>
      <c r="AD3527" s="64"/>
      <c r="AE3527" s="64"/>
      <c r="AF3527" s="64"/>
      <c r="AG3527" s="6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64"/>
      <c r="C3652" s="64"/>
      <c r="D3652" s="64"/>
      <c r="E3652" s="64"/>
      <c r="F3652" s="64"/>
      <c r="G3652" s="64"/>
      <c r="H3652" s="64"/>
      <c r="I3652" s="64"/>
      <c r="J3652" s="64"/>
      <c r="K3652" s="64"/>
      <c r="L3652" s="64"/>
      <c r="M3652" s="64"/>
      <c r="N3652" s="64"/>
      <c r="O3652" s="64"/>
      <c r="P3652" s="64"/>
      <c r="Q3652" s="64"/>
      <c r="R3652" s="64"/>
      <c r="S3652" s="64"/>
      <c r="T3652" s="64"/>
      <c r="U3652" s="64"/>
      <c r="V3652" s="64"/>
      <c r="W3652" s="64"/>
      <c r="X3652" s="64"/>
      <c r="Y3652" s="64"/>
      <c r="Z3652" s="64"/>
      <c r="AA3652" s="64"/>
      <c r="AB3652" s="64"/>
      <c r="AC3652" s="64"/>
      <c r="AD3652" s="64"/>
      <c r="AE3652" s="64"/>
      <c r="AF3652" s="64"/>
      <c r="AG3652" s="6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64"/>
      <c r="C3777" s="64"/>
      <c r="D3777" s="64"/>
      <c r="E3777" s="64"/>
      <c r="F3777" s="64"/>
      <c r="G3777" s="64"/>
      <c r="H3777" s="64"/>
      <c r="I3777" s="64"/>
      <c r="J3777" s="64"/>
      <c r="K3777" s="64"/>
      <c r="L3777" s="64"/>
      <c r="M3777" s="64"/>
      <c r="N3777" s="64"/>
      <c r="O3777" s="64"/>
      <c r="P3777" s="64"/>
      <c r="Q3777" s="64"/>
      <c r="R3777" s="64"/>
      <c r="S3777" s="64"/>
      <c r="T3777" s="64"/>
      <c r="U3777" s="64"/>
      <c r="V3777" s="64"/>
      <c r="W3777" s="64"/>
      <c r="X3777" s="64"/>
      <c r="Y3777" s="64"/>
      <c r="Z3777" s="64"/>
      <c r="AA3777" s="64"/>
      <c r="AB3777" s="64"/>
      <c r="AC3777" s="64"/>
      <c r="AD3777" s="64"/>
      <c r="AE3777" s="64"/>
      <c r="AF3777" s="64"/>
      <c r="AG3777" s="6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64"/>
      <c r="C3902" s="64"/>
      <c r="D3902" s="64"/>
      <c r="E3902" s="64"/>
      <c r="F3902" s="64"/>
      <c r="G3902" s="64"/>
      <c r="H3902" s="64"/>
      <c r="I3902" s="64"/>
      <c r="J3902" s="64"/>
      <c r="K3902" s="64"/>
      <c r="L3902" s="64"/>
      <c r="M3902" s="64"/>
      <c r="N3902" s="64"/>
      <c r="O3902" s="64"/>
      <c r="P3902" s="64"/>
      <c r="Q3902" s="64"/>
      <c r="R3902" s="64"/>
      <c r="S3902" s="64"/>
      <c r="T3902" s="64"/>
      <c r="U3902" s="64"/>
      <c r="V3902" s="64"/>
      <c r="W3902" s="64"/>
      <c r="X3902" s="64"/>
      <c r="Y3902" s="64"/>
      <c r="Z3902" s="64"/>
      <c r="AA3902" s="64"/>
      <c r="AB3902" s="64"/>
      <c r="AC3902" s="64"/>
      <c r="AD3902" s="64"/>
      <c r="AE3902" s="64"/>
      <c r="AF3902" s="64"/>
      <c r="AG3902" s="6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64"/>
      <c r="C4027" s="64"/>
      <c r="D4027" s="64"/>
      <c r="E4027" s="64"/>
      <c r="F4027" s="64"/>
      <c r="G4027" s="64"/>
      <c r="H4027" s="64"/>
      <c r="I4027" s="64"/>
      <c r="J4027" s="64"/>
      <c r="K4027" s="64"/>
      <c r="L4027" s="64"/>
      <c r="M4027" s="64"/>
      <c r="N4027" s="64"/>
      <c r="O4027" s="64"/>
      <c r="P4027" s="64"/>
      <c r="Q4027" s="64"/>
      <c r="R4027" s="64"/>
      <c r="S4027" s="64"/>
      <c r="T4027" s="64"/>
      <c r="U4027" s="64"/>
      <c r="V4027" s="64"/>
      <c r="W4027" s="64"/>
      <c r="X4027" s="64"/>
      <c r="Y4027" s="64"/>
      <c r="Z4027" s="64"/>
      <c r="AA4027" s="64"/>
      <c r="AB4027" s="64"/>
      <c r="AC4027" s="64"/>
      <c r="AD4027" s="64"/>
      <c r="AE4027" s="64"/>
      <c r="AF4027" s="64"/>
      <c r="AG4027" s="6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64"/>
      <c r="C4152" s="64"/>
      <c r="D4152" s="64"/>
      <c r="E4152" s="64"/>
      <c r="F4152" s="64"/>
      <c r="G4152" s="64"/>
      <c r="H4152" s="64"/>
      <c r="I4152" s="64"/>
      <c r="J4152" s="64"/>
      <c r="K4152" s="64"/>
      <c r="L4152" s="64"/>
      <c r="M4152" s="64"/>
      <c r="N4152" s="64"/>
      <c r="O4152" s="64"/>
      <c r="P4152" s="64"/>
      <c r="Q4152" s="64"/>
      <c r="R4152" s="64"/>
      <c r="S4152" s="64"/>
      <c r="T4152" s="64"/>
      <c r="U4152" s="64"/>
      <c r="V4152" s="64"/>
      <c r="W4152" s="64"/>
      <c r="X4152" s="64"/>
      <c r="Y4152" s="64"/>
      <c r="Z4152" s="64"/>
      <c r="AA4152" s="64"/>
      <c r="AB4152" s="64"/>
      <c r="AC4152" s="64"/>
      <c r="AD4152" s="64"/>
      <c r="AE4152" s="64"/>
      <c r="AF4152" s="64"/>
      <c r="AG4152" s="6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64"/>
      <c r="C4277" s="64"/>
      <c r="D4277" s="64"/>
      <c r="E4277" s="64"/>
      <c r="F4277" s="64"/>
      <c r="G4277" s="64"/>
      <c r="H4277" s="64"/>
      <c r="I4277" s="64"/>
      <c r="J4277" s="64"/>
      <c r="K4277" s="64"/>
      <c r="L4277" s="64"/>
      <c r="M4277" s="64"/>
      <c r="N4277" s="64"/>
      <c r="O4277" s="64"/>
      <c r="P4277" s="64"/>
      <c r="Q4277" s="64"/>
      <c r="R4277" s="64"/>
      <c r="S4277" s="64"/>
      <c r="T4277" s="64"/>
      <c r="U4277" s="64"/>
      <c r="V4277" s="64"/>
      <c r="W4277" s="64"/>
      <c r="X4277" s="64"/>
      <c r="Y4277" s="64"/>
      <c r="Z4277" s="64"/>
      <c r="AA4277" s="64"/>
      <c r="AB4277" s="64"/>
      <c r="AC4277" s="64"/>
      <c r="AD4277" s="64"/>
      <c r="AE4277" s="64"/>
      <c r="AF4277" s="64"/>
      <c r="AG4277" s="6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64"/>
      <c r="C4402" s="64"/>
      <c r="D4402" s="64"/>
      <c r="E4402" s="64"/>
      <c r="F4402" s="64"/>
      <c r="G4402" s="64"/>
      <c r="H4402" s="64"/>
      <c r="I4402" s="64"/>
      <c r="J4402" s="64"/>
      <c r="K4402" s="64"/>
      <c r="L4402" s="64"/>
      <c r="M4402" s="64"/>
      <c r="N4402" s="64"/>
      <c r="O4402" s="64"/>
      <c r="P4402" s="64"/>
      <c r="Q4402" s="64"/>
      <c r="R4402" s="64"/>
      <c r="S4402" s="64"/>
      <c r="T4402" s="64"/>
      <c r="U4402" s="64"/>
      <c r="V4402" s="64"/>
      <c r="W4402" s="64"/>
      <c r="X4402" s="64"/>
      <c r="Y4402" s="64"/>
      <c r="Z4402" s="64"/>
      <c r="AA4402" s="64"/>
      <c r="AB4402" s="64"/>
      <c r="AC4402" s="64"/>
      <c r="AD4402" s="64"/>
      <c r="AE4402" s="64"/>
      <c r="AF4402" s="64"/>
      <c r="AG4402" s="6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F22"/>
  <sheetViews>
    <sheetView topLeftCell="J1" workbookViewId="0">
      <selection activeCell="AD14" sqref="AD14"/>
    </sheetView>
  </sheetViews>
  <sheetFormatPr defaultColWidth="9.140625" defaultRowHeight="15"/>
  <cols>
    <col min="4" max="4" width="11" bestFit="1" customWidth="1"/>
    <col min="5" max="6" width="12" bestFit="1" customWidth="1"/>
  </cols>
  <sheetData>
    <row r="1" spans="1:32" s="34" customFormat="1">
      <c r="A1" s="34" t="s">
        <v>1964</v>
      </c>
    </row>
    <row r="2" spans="1:32">
      <c r="B2" s="1" t="s">
        <v>134</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c r="AF2" t="s">
        <v>2791</v>
      </c>
    </row>
    <row r="3" spans="1:32">
      <c r="B3" t="s">
        <v>119</v>
      </c>
      <c r="C3">
        <v>1</v>
      </c>
      <c r="D3">
        <f>INDEX('AEO 2025 Table 7'!9:9,MATCH(D2,'AEO 2025 Table 7'!5:5,0))/INDEX('AEO 2025 Table 7'!9:9,MATCH($D$2,'AEO 2025 Table 7'!5:5,0))</f>
        <v>1</v>
      </c>
      <c r="E3">
        <f>INDEX('AEO 2026 Table 7 raw'!15:15,MATCH(E2,'AEO 2026 Table 7 raw'!10:10,0))/INDEX('AEO 2026 Table 7 raw'!15:15,MATCH($E$2,'AEO 2026 Table 7 raw'!10:10,0))*$AF3</f>
        <v>1.0148128232823066</v>
      </c>
      <c r="F3">
        <f>INDEX('AEO 2026 Table 7 raw'!15:15,MATCH(F2,'AEO 2026 Table 7 raw'!10:10,0))/INDEX('AEO 2026 Table 7 raw'!15:15,MATCH($E$2,'AEO 2026 Table 7 raw'!10:10,0))*$AF3</f>
        <v>1.0221431408687249</v>
      </c>
      <c r="G3">
        <f>INDEX('AEO 2026 Table 7 raw'!15:15,MATCH(G2,'AEO 2026 Table 7 raw'!10:10,0))/INDEX('AEO 2026 Table 7 raw'!15:15,MATCH($E$2,'AEO 2026 Table 7 raw'!10:10,0))*$AF3</f>
        <v>1.0309346244042075</v>
      </c>
      <c r="H3">
        <f>INDEX('AEO 2026 Table 7 raw'!15:15,MATCH(H2,'AEO 2026 Table 7 raw'!10:10,0))/INDEX('AEO 2026 Table 7 raw'!15:15,MATCH($E$2,'AEO 2026 Table 7 raw'!10:10,0))*$AF3</f>
        <v>1.0366028188829439</v>
      </c>
      <c r="I3">
        <f>INDEX('AEO 2026 Table 7 raw'!15:15,MATCH(I2,'AEO 2026 Table 7 raw'!10:10,0))/INDEX('AEO 2026 Table 7 raw'!15:15,MATCH($E$2,'AEO 2026 Table 7 raw'!10:10,0))*$AF3</f>
        <v>1.0418613431090087</v>
      </c>
      <c r="J3">
        <f>INDEX('AEO 2026 Table 7 raw'!15:15,MATCH(J2,'AEO 2026 Table 7 raw'!10:10,0))/INDEX('AEO 2026 Table 7 raw'!15:15,MATCH($E$2,'AEO 2026 Table 7 raw'!10:10,0))*$AF3</f>
        <v>1.0463685873418198</v>
      </c>
      <c r="K3">
        <f>INDEX('AEO 2026 Table 7 raw'!15:15,MATCH(K2,'AEO 2026 Table 7 raw'!10:10,0))/INDEX('AEO 2026 Table 7 raw'!15:15,MATCH($E$2,'AEO 2026 Table 7 raw'!10:10,0))*$AF3</f>
        <v>1.050354876720244</v>
      </c>
      <c r="L3">
        <f>INDEX('AEO 2026 Table 7 raw'!15:15,MATCH(L2,'AEO 2026 Table 7 raw'!10:10,0))/INDEX('AEO 2026 Table 7 raw'!15:15,MATCH($E$2,'AEO 2026 Table 7 raw'!10:10,0))*$AF3</f>
        <v>1.0545121452596431</v>
      </c>
      <c r="M3">
        <f>INDEX('AEO 2026 Table 7 raw'!15:15,MATCH(M2,'AEO 2026 Table 7 raw'!10:10,0))/INDEX('AEO 2026 Table 7 raw'!15:15,MATCH($E$2,'AEO 2026 Table 7 raw'!10:10,0))*$AF3</f>
        <v>1.057243193132114</v>
      </c>
      <c r="N3">
        <f>INDEX('AEO 2026 Table 7 raw'!15:15,MATCH(N2,'AEO 2026 Table 7 raw'!10:10,0))/INDEX('AEO 2026 Table 7 raw'!15:15,MATCH($E$2,'AEO 2026 Table 7 raw'!10:10,0))*$AF3</f>
        <v>1.0605887899562638</v>
      </c>
      <c r="O3">
        <f>INDEX('AEO 2026 Table 7 raw'!15:15,MATCH(O2,'AEO 2026 Table 7 raw'!10:10,0))/INDEX('AEO 2026 Table 7 raw'!15:15,MATCH($E$2,'AEO 2026 Table 7 raw'!10:10,0))*$AF3</f>
        <v>1.0630652862847965</v>
      </c>
      <c r="P3">
        <f>INDEX('AEO 2026 Table 7 raw'!15:15,MATCH(P2,'AEO 2026 Table 7 raw'!10:10,0))/INDEX('AEO 2026 Table 7 raw'!15:15,MATCH($E$2,'AEO 2026 Table 7 raw'!10:10,0))*$AF3</f>
        <v>1.0662585530511564</v>
      </c>
      <c r="Q3">
        <f>INDEX('AEO 2026 Table 7 raw'!15:15,MATCH(Q2,'AEO 2026 Table 7 raw'!10:10,0))/INDEX('AEO 2026 Table 7 raw'!15:15,MATCH($E$2,'AEO 2026 Table 7 raw'!10:10,0))*$AF3</f>
        <v>1.0698984396951898</v>
      </c>
      <c r="R3">
        <f>INDEX('AEO 2026 Table 7 raw'!15:15,MATCH(R2,'AEO 2026 Table 7 raw'!10:10,0))/INDEX('AEO 2026 Table 7 raw'!15:15,MATCH($E$2,'AEO 2026 Table 7 raw'!10:10,0))*$AF3</f>
        <v>1.073598020898483</v>
      </c>
      <c r="S3">
        <f>INDEX('AEO 2026 Table 7 raw'!15:15,MATCH(S2,'AEO 2026 Table 7 raw'!10:10,0))/INDEX('AEO 2026 Table 7 raw'!15:15,MATCH($E$2,'AEO 2026 Table 7 raw'!10:10,0))*$AF3</f>
        <v>1.0766779115749203</v>
      </c>
      <c r="T3">
        <f>INDEX('AEO 2026 Table 7 raw'!15:15,MATCH(T2,'AEO 2026 Table 7 raw'!10:10,0))/INDEX('AEO 2026 Table 7 raw'!15:15,MATCH($E$2,'AEO 2026 Table 7 raw'!10:10,0))*$AF3</f>
        <v>1.0799660796187018</v>
      </c>
      <c r="U3">
        <f>INDEX('AEO 2026 Table 7 raw'!15:15,MATCH(U2,'AEO 2026 Table 7 raw'!10:10,0))/INDEX('AEO 2026 Table 7 raw'!15:15,MATCH($E$2,'AEO 2026 Table 7 raw'!10:10,0))*$AF3</f>
        <v>1.0823861929109699</v>
      </c>
      <c r="V3">
        <f>INDEX('AEO 2026 Table 7 raw'!15:15,MATCH(V2,'AEO 2026 Table 7 raw'!10:10,0))/INDEX('AEO 2026 Table 7 raw'!15:15,MATCH($E$2,'AEO 2026 Table 7 raw'!10:10,0))*$AF3</f>
        <v>1.0846782025505202</v>
      </c>
      <c r="W3">
        <f>INDEX('AEO 2026 Table 7 raw'!15:15,MATCH(W2,'AEO 2026 Table 7 raw'!10:10,0))/INDEX('AEO 2026 Table 7 raw'!15:15,MATCH($E$2,'AEO 2026 Table 7 raw'!10:10,0))*$AF3</f>
        <v>1.0866187550258442</v>
      </c>
      <c r="X3">
        <f>INDEX('AEO 2026 Table 7 raw'!15:15,MATCH(X2,'AEO 2026 Table 7 raw'!10:10,0))/INDEX('AEO 2026 Table 7 raw'!15:15,MATCH($E$2,'AEO 2026 Table 7 raw'!10:10,0))*$AF3</f>
        <v>1.0887933798897405</v>
      </c>
      <c r="Y3">
        <f>INDEX('AEO 2026 Table 7 raw'!15:15,MATCH(Y2,'AEO 2026 Table 7 raw'!10:10,0))/INDEX('AEO 2026 Table 7 raw'!15:15,MATCH($E$2,'AEO 2026 Table 7 raw'!10:10,0))*$AF3</f>
        <v>1.0907378539054537</v>
      </c>
      <c r="Z3">
        <f>INDEX('AEO 2026 Table 7 raw'!15:15,MATCH(Z2,'AEO 2026 Table 7 raw'!10:10,0))/INDEX('AEO 2026 Table 7 raw'!15:15,MATCH($E$2,'AEO 2026 Table 7 raw'!10:10,0))*$AF3</f>
        <v>1.0924016327746333</v>
      </c>
      <c r="AA3">
        <f>INDEX('AEO 2026 Table 7 raw'!15:15,MATCH(AA2,'AEO 2026 Table 7 raw'!10:10,0))/INDEX('AEO 2026 Table 7 raw'!15:15,MATCH($E$2,'AEO 2026 Table 7 raw'!10:10,0))*$AF3</f>
        <v>1.0932416267260274</v>
      </c>
      <c r="AB3">
        <f>INDEX('AEO 2026 Table 7 raw'!15:15,MATCH(AB2,'AEO 2026 Table 7 raw'!10:10,0))/INDEX('AEO 2026 Table 7 raw'!15:15,MATCH($E$2,'AEO 2026 Table 7 raw'!10:10,0))*$AF3</f>
        <v>1.094209550039456</v>
      </c>
      <c r="AC3">
        <f>INDEX('AEO 2026 Table 7 raw'!15:15,MATCH(AC2,'AEO 2026 Table 7 raw'!10:10,0))/INDEX('AEO 2026 Table 7 raw'!15:15,MATCH($E$2,'AEO 2026 Table 7 raw'!10:10,0))*$AF3</f>
        <v>1.0949302420176728</v>
      </c>
      <c r="AD3">
        <f>INDEX('AEO 2026 Table 7 raw'!15:15,MATCH(AD2,'AEO 2026 Table 7 raw'!10:10,0))/INDEX('AEO 2026 Table 7 raw'!15:15,MATCH($E$2,'AEO 2026 Table 7 raw'!10:10,0))*$AF3</f>
        <v>1.0960616499926652</v>
      </c>
      <c r="AF3">
        <f>INDEX('AEO 2025 Table 7'!9:9,MATCH($E$2,'AEO 2025 Table 7'!5:5,0))/INDEX('AEO 2025 Table 7'!9:9,MATCH($D$2,'AEO 2025 Table 7'!5:5,0))</f>
        <v>1.0148128232823066</v>
      </c>
    </row>
    <row r="4" spans="1:32">
      <c r="B4" t="s">
        <v>117</v>
      </c>
      <c r="C4">
        <v>1</v>
      </c>
      <c r="D4">
        <f>INDEX('AEO 2025 Table 7'!13:13,MATCH(D2,'AEO 2025 Table 7'!5:5,0))/INDEX('AEO 2025 Table 7'!13:13,MATCH($D$2,'AEO 2025 Table 7'!5:5,0))</f>
        <v>1</v>
      </c>
      <c r="E4">
        <f>INDEX('AEO 2026 Table 7 raw'!19:19,MATCH(E2,'AEO 2026 Table 7 raw'!10:10,0))/INDEX('AEO 2026 Table 7 raw'!19:19,MATCH($E$2,'AEO 2026 Table 7 raw'!10:10,0))*$AF4</f>
        <v>1.0307023822785142</v>
      </c>
      <c r="F4">
        <f>INDEX('AEO 2026 Table 7 raw'!19:19,MATCH(F2,'AEO 2026 Table 7 raw'!10:10,0))/INDEX('AEO 2026 Table 7 raw'!19:19,MATCH($E$2,'AEO 2026 Table 7 raw'!10:10,0))*$AF4</f>
        <v>1.0503320873358235</v>
      </c>
      <c r="G4">
        <f>INDEX('AEO 2026 Table 7 raw'!19:19,MATCH(G2,'AEO 2026 Table 7 raw'!10:10,0))/INDEX('AEO 2026 Table 7 raw'!19:19,MATCH($E$2,'AEO 2026 Table 7 raw'!10:10,0))*$AF4</f>
        <v>1.0640101059467235</v>
      </c>
      <c r="H4">
        <f>INDEX('AEO 2026 Table 7 raw'!19:19,MATCH(H2,'AEO 2026 Table 7 raw'!10:10,0))/INDEX('AEO 2026 Table 7 raw'!19:19,MATCH($E$2,'AEO 2026 Table 7 raw'!10:10,0))*$AF4</f>
        <v>1.0741264960603474</v>
      </c>
      <c r="I4">
        <f>INDEX('AEO 2026 Table 7 raw'!19:19,MATCH(I2,'AEO 2026 Table 7 raw'!10:10,0))/INDEX('AEO 2026 Table 7 raw'!19:19,MATCH($E$2,'AEO 2026 Table 7 raw'!10:10,0))*$AF4</f>
        <v>1.0830005351146201</v>
      </c>
      <c r="J4">
        <f>INDEX('AEO 2026 Table 7 raw'!19:19,MATCH(J2,'AEO 2026 Table 7 raw'!10:10,0))/INDEX('AEO 2026 Table 7 raw'!19:19,MATCH($E$2,'AEO 2026 Table 7 raw'!10:10,0))*$AF4</f>
        <v>1.0904279862145998</v>
      </c>
      <c r="K4">
        <f>INDEX('AEO 2026 Table 7 raw'!19:19,MATCH(K2,'AEO 2026 Table 7 raw'!10:10,0))/INDEX('AEO 2026 Table 7 raw'!19:19,MATCH($E$2,'AEO 2026 Table 7 raw'!10:10,0))*$AF4</f>
        <v>1.096243514731049</v>
      </c>
      <c r="L4">
        <f>INDEX('AEO 2026 Table 7 raw'!19:19,MATCH(L2,'AEO 2026 Table 7 raw'!10:10,0))/INDEX('AEO 2026 Table 7 raw'!19:19,MATCH($E$2,'AEO 2026 Table 7 raw'!10:10,0))*$AF4</f>
        <v>1.1016318387370911</v>
      </c>
      <c r="M4">
        <f>INDEX('AEO 2026 Table 7 raw'!19:19,MATCH(M2,'AEO 2026 Table 7 raw'!10:10,0))/INDEX('AEO 2026 Table 7 raw'!19:19,MATCH($E$2,'AEO 2026 Table 7 raw'!10:10,0))*$AF4</f>
        <v>1.1075307549804874</v>
      </c>
      <c r="N4">
        <f>INDEX('AEO 2026 Table 7 raw'!19:19,MATCH(N2,'AEO 2026 Table 7 raw'!10:10,0))/INDEX('AEO 2026 Table 7 raw'!19:19,MATCH($E$2,'AEO 2026 Table 7 raw'!10:10,0))*$AF4</f>
        <v>1.1129532985721018</v>
      </c>
      <c r="O4">
        <f>INDEX('AEO 2026 Table 7 raw'!19:19,MATCH(O2,'AEO 2026 Table 7 raw'!10:10,0))/INDEX('AEO 2026 Table 7 raw'!19:19,MATCH($E$2,'AEO 2026 Table 7 raw'!10:10,0))*$AF4</f>
        <v>1.1187217301326182</v>
      </c>
      <c r="P4">
        <f>INDEX('AEO 2026 Table 7 raw'!19:19,MATCH(P2,'AEO 2026 Table 7 raw'!10:10,0))/INDEX('AEO 2026 Table 7 raw'!19:19,MATCH($E$2,'AEO 2026 Table 7 raw'!10:10,0))*$AF4</f>
        <v>1.1236870820506806</v>
      </c>
      <c r="Q4">
        <f>INDEX('AEO 2026 Table 7 raw'!19:19,MATCH(Q2,'AEO 2026 Table 7 raw'!10:10,0))/INDEX('AEO 2026 Table 7 raw'!19:19,MATCH($E$2,'AEO 2026 Table 7 raw'!10:10,0))*$AF4</f>
        <v>1.1287961562281463</v>
      </c>
      <c r="R4">
        <f>INDEX('AEO 2026 Table 7 raw'!19:19,MATCH(R2,'AEO 2026 Table 7 raw'!10:10,0))/INDEX('AEO 2026 Table 7 raw'!19:19,MATCH($E$2,'AEO 2026 Table 7 raw'!10:10,0))*$AF4</f>
        <v>1.1333913963127835</v>
      </c>
      <c r="S4">
        <f>INDEX('AEO 2026 Table 7 raw'!19:19,MATCH(S2,'AEO 2026 Table 7 raw'!10:10,0))/INDEX('AEO 2026 Table 7 raw'!19:19,MATCH($E$2,'AEO 2026 Table 7 raw'!10:10,0))*$AF4</f>
        <v>1.1379705171715853</v>
      </c>
      <c r="T4">
        <f>INDEX('AEO 2026 Table 7 raw'!19:19,MATCH(T2,'AEO 2026 Table 7 raw'!10:10,0))/INDEX('AEO 2026 Table 7 raw'!19:19,MATCH($E$2,'AEO 2026 Table 7 raw'!10:10,0))*$AF4</f>
        <v>1.1425007400436349</v>
      </c>
      <c r="U4">
        <f>INDEX('AEO 2026 Table 7 raw'!19:19,MATCH(U2,'AEO 2026 Table 7 raw'!10:10,0))/INDEX('AEO 2026 Table 7 raw'!19:19,MATCH($E$2,'AEO 2026 Table 7 raw'!10:10,0))*$AF4</f>
        <v>1.1462422915197874</v>
      </c>
      <c r="V4">
        <f>INDEX('AEO 2026 Table 7 raw'!19:19,MATCH(V2,'AEO 2026 Table 7 raw'!10:10,0))/INDEX('AEO 2026 Table 7 raw'!19:19,MATCH($E$2,'AEO 2026 Table 7 raw'!10:10,0))*$AF4</f>
        <v>1.1499391774316143</v>
      </c>
      <c r="W4">
        <f>INDEX('AEO 2026 Table 7 raw'!19:19,MATCH(W2,'AEO 2026 Table 7 raw'!10:10,0))/INDEX('AEO 2026 Table 7 raw'!19:19,MATCH($E$2,'AEO 2026 Table 7 raw'!10:10,0))*$AF4</f>
        <v>1.1532908957868671</v>
      </c>
      <c r="X4">
        <f>INDEX('AEO 2026 Table 7 raw'!19:19,MATCH(X2,'AEO 2026 Table 7 raw'!10:10,0))/INDEX('AEO 2026 Table 7 raw'!19:19,MATCH($E$2,'AEO 2026 Table 7 raw'!10:10,0))*$AF4</f>
        <v>1.1565204142010108</v>
      </c>
      <c r="Y4">
        <f>INDEX('AEO 2026 Table 7 raw'!19:19,MATCH(Y2,'AEO 2026 Table 7 raw'!10:10,0))/INDEX('AEO 2026 Table 7 raw'!19:19,MATCH($E$2,'AEO 2026 Table 7 raw'!10:10,0))*$AF4</f>
        <v>1.1596350268488649</v>
      </c>
      <c r="Z4">
        <f>INDEX('AEO 2026 Table 7 raw'!19:19,MATCH(Z2,'AEO 2026 Table 7 raw'!10:10,0))/INDEX('AEO 2026 Table 7 raw'!19:19,MATCH($E$2,'AEO 2026 Table 7 raw'!10:10,0))*$AF4</f>
        <v>1.1623466588508362</v>
      </c>
      <c r="AA4">
        <f>INDEX('AEO 2026 Table 7 raw'!19:19,MATCH(AA2,'AEO 2026 Table 7 raw'!10:10,0))/INDEX('AEO 2026 Table 7 raw'!19:19,MATCH($E$2,'AEO 2026 Table 7 raw'!10:10,0))*$AF4</f>
        <v>1.1649405034372062</v>
      </c>
      <c r="AB4">
        <f>INDEX('AEO 2026 Table 7 raw'!19:19,MATCH(AB2,'AEO 2026 Table 7 raw'!10:10,0))/INDEX('AEO 2026 Table 7 raw'!19:19,MATCH($E$2,'AEO 2026 Table 7 raw'!10:10,0))*$AF4</f>
        <v>1.1671353296454972</v>
      </c>
      <c r="AC4">
        <f>INDEX('AEO 2026 Table 7 raw'!19:19,MATCH(AC2,'AEO 2026 Table 7 raw'!10:10,0))/INDEX('AEO 2026 Table 7 raw'!19:19,MATCH($E$2,'AEO 2026 Table 7 raw'!10:10,0))*$AF4</f>
        <v>1.1691443795247467</v>
      </c>
      <c r="AD4">
        <f>INDEX('AEO 2026 Table 7 raw'!19:19,MATCH(AD2,'AEO 2026 Table 7 raw'!10:10,0))/INDEX('AEO 2026 Table 7 raw'!19:19,MATCH($E$2,'AEO 2026 Table 7 raw'!10:10,0))*$AF4</f>
        <v>1.1710775159549514</v>
      </c>
      <c r="AF4">
        <f>INDEX('AEO 2025 Table 7'!13:13,MATCH($E$2,'AEO 2025 Table 7'!5:5,0))/INDEX('AEO 2025 Table 7'!13:13,MATCH($D$2,'AEO 2025 Table 7'!5:5,0))</f>
        <v>1.0307023822785142</v>
      </c>
    </row>
    <row r="5" spans="1:32">
      <c r="B5" t="s">
        <v>115</v>
      </c>
      <c r="C5">
        <v>1</v>
      </c>
      <c r="D5">
        <f>INDEX('AEO 2025 Table 7'!16:16,MATCH(D2,'AEO 2025 Table 7'!5:5,0))/INDEX('AEO 2025 Table 7'!16:16,MATCH($D$2,'AEO 2025 Table 7'!5:5,0))</f>
        <v>1</v>
      </c>
      <c r="E5">
        <f>INDEX('AEO 2026 Table 7 raw'!22:22,MATCH(E2,'AEO 2026 Table 7 raw'!10:10,0))/INDEX('AEO 2026 Table 7 raw'!22:22,MATCH($E$2,'AEO 2026 Table 7 raw'!10:10,0))*$AF5</f>
        <v>1.0094575910272034</v>
      </c>
      <c r="F5">
        <f>INDEX('AEO 2026 Table 7 raw'!22:22,MATCH(F2,'AEO 2026 Table 7 raw'!10:10,0))/INDEX('AEO 2026 Table 7 raw'!22:22,MATCH($E$2,'AEO 2026 Table 7 raw'!10:10,0))*$AF5</f>
        <v>1.0422421487325464</v>
      </c>
      <c r="G5">
        <f>INDEX('AEO 2026 Table 7 raw'!22:22,MATCH(G2,'AEO 2026 Table 7 raw'!10:10,0))/INDEX('AEO 2026 Table 7 raw'!22:22,MATCH($E$2,'AEO 2026 Table 7 raw'!10:10,0))*$AF5</f>
        <v>1.0623628030860433</v>
      </c>
      <c r="H5">
        <f>INDEX('AEO 2026 Table 7 raw'!22:22,MATCH(H2,'AEO 2026 Table 7 raw'!10:10,0))/INDEX('AEO 2026 Table 7 raw'!22:22,MATCH($E$2,'AEO 2026 Table 7 raw'!10:10,0))*$AF5</f>
        <v>1.0716039127576542</v>
      </c>
      <c r="I5">
        <f>INDEX('AEO 2026 Table 7 raw'!22:22,MATCH(I2,'AEO 2026 Table 7 raw'!10:10,0))/INDEX('AEO 2026 Table 7 raw'!22:22,MATCH($E$2,'AEO 2026 Table 7 raw'!10:10,0))*$AF5</f>
        <v>1.0857521820776621</v>
      </c>
      <c r="J5">
        <f>INDEX('AEO 2026 Table 7 raw'!22:22,MATCH(J2,'AEO 2026 Table 7 raw'!10:10,0))/INDEX('AEO 2026 Table 7 raw'!22:22,MATCH($E$2,'AEO 2026 Table 7 raw'!10:10,0))*$AF5</f>
        <v>1.1041278182252716</v>
      </c>
      <c r="K5">
        <f>INDEX('AEO 2026 Table 7 raw'!22:22,MATCH(K2,'AEO 2026 Table 7 raw'!10:10,0))/INDEX('AEO 2026 Table 7 raw'!22:22,MATCH($E$2,'AEO 2026 Table 7 raw'!10:10,0))*$AF5</f>
        <v>1.1216527818270872</v>
      </c>
      <c r="L5">
        <f>INDEX('AEO 2026 Table 7 raw'!22:22,MATCH(L2,'AEO 2026 Table 7 raw'!10:10,0))/INDEX('AEO 2026 Table 7 raw'!22:22,MATCH($E$2,'AEO 2026 Table 7 raw'!10:10,0))*$AF5</f>
        <v>1.1436739098766582</v>
      </c>
      <c r="M5">
        <f>INDEX('AEO 2026 Table 7 raw'!22:22,MATCH(M2,'AEO 2026 Table 7 raw'!10:10,0))/INDEX('AEO 2026 Table 7 raw'!22:22,MATCH($E$2,'AEO 2026 Table 7 raw'!10:10,0))*$AF5</f>
        <v>1.1676833777689293</v>
      </c>
      <c r="N5">
        <f>INDEX('AEO 2026 Table 7 raw'!22:22,MATCH(N2,'AEO 2026 Table 7 raw'!10:10,0))/INDEX('AEO 2026 Table 7 raw'!22:22,MATCH($E$2,'AEO 2026 Table 7 raw'!10:10,0))*$AF5</f>
        <v>1.1941612431491795</v>
      </c>
      <c r="O5">
        <f>INDEX('AEO 2026 Table 7 raw'!22:22,MATCH(O2,'AEO 2026 Table 7 raw'!10:10,0))/INDEX('AEO 2026 Table 7 raw'!22:22,MATCH($E$2,'AEO 2026 Table 7 raw'!10:10,0))*$AF5</f>
        <v>1.2233183327775097</v>
      </c>
      <c r="P5">
        <f>INDEX('AEO 2026 Table 7 raw'!22:22,MATCH(P2,'AEO 2026 Table 7 raw'!10:10,0))/INDEX('AEO 2026 Table 7 raw'!22:22,MATCH($E$2,'AEO 2026 Table 7 raw'!10:10,0))*$AF5</f>
        <v>1.2454562690772317</v>
      </c>
      <c r="Q5">
        <f>INDEX('AEO 2026 Table 7 raw'!22:22,MATCH(Q2,'AEO 2026 Table 7 raw'!10:10,0))/INDEX('AEO 2026 Table 7 raw'!22:22,MATCH($E$2,'AEO 2026 Table 7 raw'!10:10,0))*$AF5</f>
        <v>1.2677327635312492</v>
      </c>
      <c r="R5">
        <f>INDEX('AEO 2026 Table 7 raw'!22:22,MATCH(R2,'AEO 2026 Table 7 raw'!10:10,0))/INDEX('AEO 2026 Table 7 raw'!22:22,MATCH($E$2,'AEO 2026 Table 7 raw'!10:10,0))*$AF5</f>
        <v>1.2898168883151369</v>
      </c>
      <c r="S5">
        <f>INDEX('AEO 2026 Table 7 raw'!22:22,MATCH(S2,'AEO 2026 Table 7 raw'!10:10,0))/INDEX('AEO 2026 Table 7 raw'!22:22,MATCH($E$2,'AEO 2026 Table 7 raw'!10:10,0))*$AF5</f>
        <v>1.310945923682733</v>
      </c>
      <c r="T5">
        <f>INDEX('AEO 2026 Table 7 raw'!22:22,MATCH(T2,'AEO 2026 Table 7 raw'!10:10,0))/INDEX('AEO 2026 Table 7 raw'!22:22,MATCH($E$2,'AEO 2026 Table 7 raw'!10:10,0))*$AF5</f>
        <v>1.332595656954747</v>
      </c>
      <c r="U5">
        <f>INDEX('AEO 2026 Table 7 raw'!22:22,MATCH(U2,'AEO 2026 Table 7 raw'!10:10,0))/INDEX('AEO 2026 Table 7 raw'!22:22,MATCH($E$2,'AEO 2026 Table 7 raw'!10:10,0))*$AF5</f>
        <v>1.3528936033555798</v>
      </c>
      <c r="V5">
        <f>INDEX('AEO 2026 Table 7 raw'!22:22,MATCH(V2,'AEO 2026 Table 7 raw'!10:10,0))/INDEX('AEO 2026 Table 7 raw'!22:22,MATCH($E$2,'AEO 2026 Table 7 raw'!10:10,0))*$AF5</f>
        <v>1.3743682975583771</v>
      </c>
      <c r="W5">
        <f>INDEX('AEO 2026 Table 7 raw'!22:22,MATCH(W2,'AEO 2026 Table 7 raw'!10:10,0))/INDEX('AEO 2026 Table 7 raw'!22:22,MATCH($E$2,'AEO 2026 Table 7 raw'!10:10,0))*$AF5</f>
        <v>1.3972743260905442</v>
      </c>
      <c r="X5">
        <f>INDEX('AEO 2026 Table 7 raw'!22:22,MATCH(X2,'AEO 2026 Table 7 raw'!10:10,0))/INDEX('AEO 2026 Table 7 raw'!22:22,MATCH($E$2,'AEO 2026 Table 7 raw'!10:10,0))*$AF5</f>
        <v>1.4201595579016162</v>
      </c>
      <c r="Y5">
        <f>INDEX('AEO 2026 Table 7 raw'!22:22,MATCH(Y2,'AEO 2026 Table 7 raw'!10:10,0))/INDEX('AEO 2026 Table 7 raw'!22:22,MATCH($E$2,'AEO 2026 Table 7 raw'!10:10,0))*$AF5</f>
        <v>1.4432453914182513</v>
      </c>
      <c r="Z5">
        <f>INDEX('AEO 2026 Table 7 raw'!22:22,MATCH(Z2,'AEO 2026 Table 7 raw'!10:10,0))/INDEX('AEO 2026 Table 7 raw'!22:22,MATCH($E$2,'AEO 2026 Table 7 raw'!10:10,0))*$AF5</f>
        <v>1.4653423408468149</v>
      </c>
      <c r="AA5">
        <f>INDEX('AEO 2026 Table 7 raw'!22:22,MATCH(AA2,'AEO 2026 Table 7 raw'!10:10,0))/INDEX('AEO 2026 Table 7 raw'!22:22,MATCH($E$2,'AEO 2026 Table 7 raw'!10:10,0))*$AF5</f>
        <v>1.4854581426320566</v>
      </c>
      <c r="AB5">
        <f>INDEX('AEO 2026 Table 7 raw'!22:22,MATCH(AB2,'AEO 2026 Table 7 raw'!10:10,0))/INDEX('AEO 2026 Table 7 raw'!22:22,MATCH($E$2,'AEO 2026 Table 7 raw'!10:10,0))*$AF5</f>
        <v>1.5058167461360834</v>
      </c>
      <c r="AC5">
        <f>INDEX('AEO 2026 Table 7 raw'!22:22,MATCH(AC2,'AEO 2026 Table 7 raw'!10:10,0))/INDEX('AEO 2026 Table 7 raw'!22:22,MATCH($E$2,'AEO 2026 Table 7 raw'!10:10,0))*$AF5</f>
        <v>1.5251235554707256</v>
      </c>
      <c r="AD5">
        <f>INDEX('AEO 2026 Table 7 raw'!22:22,MATCH(AD2,'AEO 2026 Table 7 raw'!10:10,0))/INDEX('AEO 2026 Table 7 raw'!22:22,MATCH($E$2,'AEO 2026 Table 7 raw'!10:10,0))*$AF5</f>
        <v>1.5449941292530545</v>
      </c>
      <c r="AF5">
        <f>INDEX('AEO 2025 Table 7'!16:16,MATCH($E$2,'AEO 2025 Table 7'!5:5,0))/INDEX('AEO 2025 Table 7'!16:16,MATCH($D$2,'AEO 2025 Table 7'!5:5,0))</f>
        <v>1.0094575910272034</v>
      </c>
    </row>
    <row r="6" spans="1:32">
      <c r="B6" t="s">
        <v>120</v>
      </c>
      <c r="C6">
        <v>1</v>
      </c>
      <c r="D6">
        <v>1</v>
      </c>
      <c r="E6" s="5">
        <f>AVERAGE(D6,F6)</f>
        <v>1.0324367173070559</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c r="AF6" t="s">
        <v>2792</v>
      </c>
    </row>
    <row r="7" spans="1:32">
      <c r="B7" t="s">
        <v>121</v>
      </c>
      <c r="C7">
        <v>1</v>
      </c>
      <c r="D7">
        <f>INDEX('AEO 2025 Table 7'!53:53,MATCH(D2,'AEO 2025 Table 7'!5:5,0))/INDEX('AEO 2025 Table 7'!53:53,MATCH($D$2,'AEO 2025 Table 7'!5:5,0))</f>
        <v>1</v>
      </c>
      <c r="E7">
        <f>INDEX('AEO 2026 Table 7 raw'!61:61,MATCH(E2,'AEO 2026 Table 7 raw'!10:10,0))/INDEX('AEO 2026 Table 7 raw'!61:61,MATCH($E$2,'AEO 2026 Table 7 raw'!10:10,0))*$AF7</f>
        <v>0.99248573011247321</v>
      </c>
      <c r="F7">
        <f>INDEX('AEO 2026 Table 7 raw'!61:61,MATCH(F2,'AEO 2026 Table 7 raw'!10:10,0))/INDEX('AEO 2026 Table 7 raw'!61:61,MATCH($E$2,'AEO 2026 Table 7 raw'!10:10,0))*$AF7</f>
        <v>0.99550181754848577</v>
      </c>
      <c r="G7">
        <f>INDEX('AEO 2026 Table 7 raw'!61:61,MATCH(G2,'AEO 2026 Table 7 raw'!10:10,0))/INDEX('AEO 2026 Table 7 raw'!61:61,MATCH($E$2,'AEO 2026 Table 7 raw'!10:10,0))*$AF7</f>
        <v>0.99147224459295202</v>
      </c>
      <c r="H7">
        <f>INDEX('AEO 2026 Table 7 raw'!61:61,MATCH(H2,'AEO 2026 Table 7 raw'!10:10,0))/INDEX('AEO 2026 Table 7 raw'!61:61,MATCH($E$2,'AEO 2026 Table 7 raw'!10:10,0))*$AF7</f>
        <v>0.98149021150446736</v>
      </c>
      <c r="I7">
        <f>INDEX('AEO 2026 Table 7 raw'!61:61,MATCH(I2,'AEO 2026 Table 7 raw'!10:10,0))/INDEX('AEO 2026 Table 7 raw'!61:61,MATCH($E$2,'AEO 2026 Table 7 raw'!10:10,0))*$AF7</f>
        <v>0.9739078620407533</v>
      </c>
      <c r="J7">
        <f>INDEX('AEO 2026 Table 7 raw'!61:61,MATCH(J2,'AEO 2026 Table 7 raw'!10:10,0))/INDEX('AEO 2026 Table 7 raw'!61:61,MATCH($E$2,'AEO 2026 Table 7 raw'!10:10,0))*$AF7</f>
        <v>0.96858310219276378</v>
      </c>
      <c r="K7">
        <f>INDEX('AEO 2026 Table 7 raw'!61:61,MATCH(K2,'AEO 2026 Table 7 raw'!10:10,0))/INDEX('AEO 2026 Table 7 raw'!61:61,MATCH($E$2,'AEO 2026 Table 7 raw'!10:10,0))*$AF7</f>
        <v>0.96282225583101166</v>
      </c>
      <c r="L7">
        <f>INDEX('AEO 2026 Table 7 raw'!61:61,MATCH(L2,'AEO 2026 Table 7 raw'!10:10,0))/INDEX('AEO 2026 Table 7 raw'!61:61,MATCH($E$2,'AEO 2026 Table 7 raw'!10:10,0))*$AF7</f>
        <v>0.9593678083770919</v>
      </c>
      <c r="M7">
        <f>INDEX('AEO 2026 Table 7 raw'!61:61,MATCH(M2,'AEO 2026 Table 7 raw'!10:10,0))/INDEX('AEO 2026 Table 7 raw'!61:61,MATCH($E$2,'AEO 2026 Table 7 raw'!10:10,0))*$AF7</f>
        <v>0.95708982827106892</v>
      </c>
      <c r="N7">
        <f>INDEX('AEO 2026 Table 7 raw'!61:61,MATCH(N2,'AEO 2026 Table 7 raw'!10:10,0))/INDEX('AEO 2026 Table 7 raw'!61:61,MATCH($E$2,'AEO 2026 Table 7 raw'!10:10,0))*$AF7</f>
        <v>0.95603755108707789</v>
      </c>
      <c r="O7">
        <f>INDEX('AEO 2026 Table 7 raw'!61:61,MATCH(O2,'AEO 2026 Table 7 raw'!10:10,0))/INDEX('AEO 2026 Table 7 raw'!61:61,MATCH($E$2,'AEO 2026 Table 7 raw'!10:10,0))*$AF7</f>
        <v>0.95627250353103588</v>
      </c>
      <c r="P7">
        <f>INDEX('AEO 2026 Table 7 raw'!61:61,MATCH(P2,'AEO 2026 Table 7 raw'!10:10,0))/INDEX('AEO 2026 Table 7 raw'!61:61,MATCH($E$2,'AEO 2026 Table 7 raw'!10:10,0))*$AF7</f>
        <v>0.95352049781083525</v>
      </c>
      <c r="Q7">
        <f>INDEX('AEO 2026 Table 7 raw'!61:61,MATCH(Q2,'AEO 2026 Table 7 raw'!10:10,0))/INDEX('AEO 2026 Table 7 raw'!61:61,MATCH($E$2,'AEO 2026 Table 7 raw'!10:10,0))*$AF7</f>
        <v>0.95079044561503234</v>
      </c>
      <c r="R7">
        <f>INDEX('AEO 2026 Table 7 raw'!61:61,MATCH(R2,'AEO 2026 Table 7 raw'!10:10,0))/INDEX('AEO 2026 Table 7 raw'!61:61,MATCH($E$2,'AEO 2026 Table 7 raw'!10:10,0))*$AF7</f>
        <v>0.94787979193373206</v>
      </c>
      <c r="S7">
        <f>INDEX('AEO 2026 Table 7 raw'!61:61,MATCH(S2,'AEO 2026 Table 7 raw'!10:10,0))/INDEX('AEO 2026 Table 7 raw'!61:61,MATCH($E$2,'AEO 2026 Table 7 raw'!10:10,0))*$AF7</f>
        <v>0.9448821056718909</v>
      </c>
      <c r="T7">
        <f>INDEX('AEO 2026 Table 7 raw'!61:61,MATCH(T2,'AEO 2026 Table 7 raw'!10:10,0))/INDEX('AEO 2026 Table 7 raw'!61:61,MATCH($E$2,'AEO 2026 Table 7 raw'!10:10,0))*$AF7</f>
        <v>0.94196171855097022</v>
      </c>
      <c r="U7">
        <f>INDEX('AEO 2026 Table 7 raw'!61:61,MATCH(U2,'AEO 2026 Table 7 raw'!10:10,0))/INDEX('AEO 2026 Table 7 raw'!61:61,MATCH($E$2,'AEO 2026 Table 7 raw'!10:10,0))*$AF7</f>
        <v>0.93828063115262195</v>
      </c>
      <c r="V7">
        <f>INDEX('AEO 2026 Table 7 raw'!61:61,MATCH(V2,'AEO 2026 Table 7 raw'!10:10,0))/INDEX('AEO 2026 Table 7 raw'!61:61,MATCH($E$2,'AEO 2026 Table 7 raw'!10:10,0))*$AF7</f>
        <v>0.93501182952152084</v>
      </c>
      <c r="W7">
        <f>INDEX('AEO 2026 Table 7 raw'!61:61,MATCH(W2,'AEO 2026 Table 7 raw'!10:10,0))/INDEX('AEO 2026 Table 7 raw'!61:61,MATCH($E$2,'AEO 2026 Table 7 raw'!10:10,0))*$AF7</f>
        <v>0.93202657648547105</v>
      </c>
      <c r="X7">
        <f>INDEX('AEO 2026 Table 7 raw'!61:61,MATCH(X2,'AEO 2026 Table 7 raw'!10:10,0))/INDEX('AEO 2026 Table 7 raw'!61:61,MATCH($E$2,'AEO 2026 Table 7 raw'!10:10,0))*$AF7</f>
        <v>0.92902789556556664</v>
      </c>
      <c r="Y7">
        <f>INDEX('AEO 2026 Table 7 raw'!61:61,MATCH(Y2,'AEO 2026 Table 7 raw'!10:10,0))/INDEX('AEO 2026 Table 7 raw'!61:61,MATCH($E$2,'AEO 2026 Table 7 raw'!10:10,0))*$AF7</f>
        <v>0.92598267885769936</v>
      </c>
      <c r="Z7">
        <f>INDEX('AEO 2026 Table 7 raw'!61:61,MATCH(Z2,'AEO 2026 Table 7 raw'!10:10,0))/INDEX('AEO 2026 Table 7 raw'!61:61,MATCH($E$2,'AEO 2026 Table 7 raw'!10:10,0))*$AF7</f>
        <v>0.9224485877117089</v>
      </c>
      <c r="AA7">
        <f>INDEX('AEO 2026 Table 7 raw'!61:61,MATCH(AA2,'AEO 2026 Table 7 raw'!10:10,0))/INDEX('AEO 2026 Table 7 raw'!61:61,MATCH($E$2,'AEO 2026 Table 7 raw'!10:10,0))*$AF7</f>
        <v>0.91824061572781734</v>
      </c>
      <c r="AB7">
        <f>INDEX('AEO 2026 Table 7 raw'!61:61,MATCH(AB2,'AEO 2026 Table 7 raw'!10:10,0))/INDEX('AEO 2026 Table 7 raw'!61:61,MATCH($E$2,'AEO 2026 Table 7 raw'!10:10,0))*$AF7</f>
        <v>0.91387278798374882</v>
      </c>
      <c r="AC7">
        <f>INDEX('AEO 2026 Table 7 raw'!61:61,MATCH(AC2,'AEO 2026 Table 7 raw'!10:10,0))/INDEX('AEO 2026 Table 7 raw'!61:61,MATCH($E$2,'AEO 2026 Table 7 raw'!10:10,0))*$AF7</f>
        <v>0.90910631549730192</v>
      </c>
      <c r="AD7">
        <f>INDEX('AEO 2026 Table 7 raw'!61:61,MATCH(AD2,'AEO 2026 Table 7 raw'!10:10,0))/INDEX('AEO 2026 Table 7 raw'!61:61,MATCH($E$2,'AEO 2026 Table 7 raw'!10:10,0))*$AF7</f>
        <v>0.90459909353035928</v>
      </c>
      <c r="AF7">
        <f>INDEX('AEO 2025 Table 7'!53:53,MATCH($E$2,'AEO 2025 Table 7'!5:5,0))/INDEX('AEO 2025 Table 7'!53:53,MATCH($D$2,'AEO 2025 Table 7'!5:5,0))</f>
        <v>0.99248573011247321</v>
      </c>
    </row>
    <row r="8" spans="1:32">
      <c r="B8" t="s">
        <v>122</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c r="AF8" t="s">
        <v>2793</v>
      </c>
    </row>
    <row r="10" spans="1:32" s="34" customFormat="1">
      <c r="A10" s="34" t="s">
        <v>1965</v>
      </c>
    </row>
    <row r="11" spans="1:32">
      <c r="B11" s="1" t="s">
        <v>134</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c r="AF11" t="s">
        <v>2791</v>
      </c>
    </row>
    <row r="12" spans="1:32">
      <c r="B12" t="s">
        <v>119</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raw'!C$16)/SUM('AEO 2026 Table 49 raw'!$D$19,'AEO 2026 Table 49 raw'!$D$33,'AEO 2026 Table 7 raw'!$C$16)*$AF12</f>
        <v>0.99945748585602567</v>
      </c>
      <c r="F12">
        <f>SUM('AEO 2026 Table 49 raw'!E$19,'AEO 2026 Table 49 raw'!E$33,'AEO 2026 Table 7 raw'!D$16)/SUM('AEO 2026 Table 49 raw'!$D$19,'AEO 2026 Table 49 raw'!$D$33,'AEO 2026 Table 7 raw'!$C$16)*$AF12</f>
        <v>0.99663342553347722</v>
      </c>
      <c r="G12">
        <f>SUM('AEO 2026 Table 49 raw'!F$19,'AEO 2026 Table 49 raw'!F$33,'AEO 2026 Table 7 raw'!E$16)/SUM('AEO 2026 Table 49 raw'!$D$19,'AEO 2026 Table 49 raw'!$D$33,'AEO 2026 Table 7 raw'!$C$16)*$AF12</f>
        <v>0.99926569011716337</v>
      </c>
      <c r="H12">
        <f>SUM('AEO 2026 Table 49 raw'!G$19,'AEO 2026 Table 49 raw'!G$33,'AEO 2026 Table 7 raw'!F$16)/SUM('AEO 2026 Table 49 raw'!$D$19,'AEO 2026 Table 49 raw'!$D$33,'AEO 2026 Table 7 raw'!$C$16)*$AF12</f>
        <v>1.001524701868874</v>
      </c>
      <c r="I12">
        <f>SUM('AEO 2026 Table 49 raw'!H$19,'AEO 2026 Table 49 raw'!H$33,'AEO 2026 Table 7 raw'!G$16)/SUM('AEO 2026 Table 49 raw'!$D$19,'AEO 2026 Table 49 raw'!$D$33,'AEO 2026 Table 7 raw'!$C$16)*$AF12</f>
        <v>1.004955724919552</v>
      </c>
      <c r="J12">
        <f>SUM('AEO 2026 Table 49 raw'!I$19,'AEO 2026 Table 49 raw'!I$33,'AEO 2026 Table 7 raw'!H$16)/SUM('AEO 2026 Table 49 raw'!$D$19,'AEO 2026 Table 49 raw'!$D$33,'AEO 2026 Table 7 raw'!$C$16)*$AF12</f>
        <v>1.0132009430712945</v>
      </c>
      <c r="K12">
        <f>SUM('AEO 2026 Table 49 raw'!J$19,'AEO 2026 Table 49 raw'!J$33,'AEO 2026 Table 7 raw'!I$16)/SUM('AEO 2026 Table 49 raw'!$D$19,'AEO 2026 Table 49 raw'!$D$33,'AEO 2026 Table 7 raw'!$C$16)*$AF12</f>
        <v>1.0200990013836215</v>
      </c>
      <c r="L12">
        <f>SUM('AEO 2026 Table 49 raw'!K$19,'AEO 2026 Table 49 raw'!K$33,'AEO 2026 Table 7 raw'!J$16)/SUM('AEO 2026 Table 49 raw'!$D$19,'AEO 2026 Table 49 raw'!$D$33,'AEO 2026 Table 7 raw'!$C$16)*$AF12</f>
        <v>1.0288420513851775</v>
      </c>
      <c r="M12">
        <f>SUM('AEO 2026 Table 49 raw'!L$19,'AEO 2026 Table 49 raw'!L$33,'AEO 2026 Table 7 raw'!K$16)/SUM('AEO 2026 Table 49 raw'!$D$19,'AEO 2026 Table 49 raw'!$D$33,'AEO 2026 Table 7 raw'!$C$16)*$AF12</f>
        <v>1.0363063154394105</v>
      </c>
      <c r="N12">
        <f>SUM('AEO 2026 Table 49 raw'!M$19,'AEO 2026 Table 49 raw'!M$33,'AEO 2026 Table 7 raw'!L$16)/SUM('AEO 2026 Table 49 raw'!$D$19,'AEO 2026 Table 49 raw'!$D$33,'AEO 2026 Table 7 raw'!$C$16)*$AF12</f>
        <v>1.0457678730145341</v>
      </c>
      <c r="O12">
        <f>SUM('AEO 2026 Table 49 raw'!N$19,'AEO 2026 Table 49 raw'!N$33,'AEO 2026 Table 7 raw'!M$16)/SUM('AEO 2026 Table 49 raw'!$D$19,'AEO 2026 Table 49 raw'!$D$33,'AEO 2026 Table 7 raw'!$C$16)*$AF12</f>
        <v>1.0559932380141159</v>
      </c>
      <c r="P12">
        <f>SUM('AEO 2026 Table 49 raw'!O$19,'AEO 2026 Table 49 raw'!O$33,'AEO 2026 Table 7 raw'!N$16)/SUM('AEO 2026 Table 49 raw'!$D$19,'AEO 2026 Table 49 raw'!$D$33,'AEO 2026 Table 7 raw'!$C$16)*$AF12</f>
        <v>1.0666121791693306</v>
      </c>
      <c r="Q12">
        <f>SUM('AEO 2026 Table 49 raw'!P$19,'AEO 2026 Table 49 raw'!P$33,'AEO 2026 Table 7 raw'!O$16)/SUM('AEO 2026 Table 49 raw'!$D$19,'AEO 2026 Table 49 raw'!$D$33,'AEO 2026 Table 7 raw'!$C$16)*$AF12</f>
        <v>1.0785767257119692</v>
      </c>
      <c r="R12">
        <f>SUM('AEO 2026 Table 49 raw'!Q$19,'AEO 2026 Table 49 raw'!Q$33,'AEO 2026 Table 7 raw'!P$16)/SUM('AEO 2026 Table 49 raw'!$D$19,'AEO 2026 Table 49 raw'!$D$33,'AEO 2026 Table 7 raw'!$C$16)*$AF12</f>
        <v>1.0918662842834099</v>
      </c>
      <c r="S12">
        <f>SUM('AEO 2026 Table 49 raw'!R$19,'AEO 2026 Table 49 raw'!R$33,'AEO 2026 Table 7 raw'!Q$16)/SUM('AEO 2026 Table 49 raw'!$D$19,'AEO 2026 Table 49 raw'!$D$33,'AEO 2026 Table 7 raw'!$C$16)*$AF12</f>
        <v>1.1055965601553241</v>
      </c>
      <c r="T12">
        <f>SUM('AEO 2026 Table 49 raw'!S$19,'AEO 2026 Table 49 raw'!S$33,'AEO 2026 Table 7 raw'!R$16)/SUM('AEO 2026 Table 49 raw'!$D$19,'AEO 2026 Table 49 raw'!$D$33,'AEO 2026 Table 7 raw'!$C$16)*$AF12</f>
        <v>1.1199238119824564</v>
      </c>
      <c r="U12">
        <f>SUM('AEO 2026 Table 49 raw'!T$19,'AEO 2026 Table 49 raw'!T$33,'AEO 2026 Table 7 raw'!S$16)/SUM('AEO 2026 Table 49 raw'!$D$19,'AEO 2026 Table 49 raw'!$D$33,'AEO 2026 Table 7 raw'!$C$16)*$AF12</f>
        <v>1.1333020184308777</v>
      </c>
      <c r="V12">
        <f>SUM('AEO 2026 Table 49 raw'!U$19,'AEO 2026 Table 49 raw'!U$33,'AEO 2026 Table 7 raw'!T$16)/SUM('AEO 2026 Table 49 raw'!$D$19,'AEO 2026 Table 49 raw'!$D$33,'AEO 2026 Table 7 raw'!$C$16)*$AF12</f>
        <v>1.1461049938609686</v>
      </c>
      <c r="W12">
        <f>SUM('AEO 2026 Table 49 raw'!V$19,'AEO 2026 Table 49 raw'!V$33,'AEO 2026 Table 7 raw'!U$16)/SUM('AEO 2026 Table 49 raw'!$D$19,'AEO 2026 Table 49 raw'!$D$33,'AEO 2026 Table 7 raw'!$C$16)*$AF12</f>
        <v>1.1562895357775684</v>
      </c>
      <c r="X12">
        <f>SUM('AEO 2026 Table 49 raw'!W$19,'AEO 2026 Table 49 raw'!W$33,'AEO 2026 Table 7 raw'!V$16)/SUM('AEO 2026 Table 49 raw'!$D$19,'AEO 2026 Table 49 raw'!$D$33,'AEO 2026 Table 7 raw'!$C$16)*$AF12</f>
        <v>1.1662382326624232</v>
      </c>
      <c r="Y12">
        <f>SUM('AEO 2026 Table 49 raw'!X$19,'AEO 2026 Table 49 raw'!X$33,'AEO 2026 Table 7 raw'!W$16)/SUM('AEO 2026 Table 49 raw'!$D$19,'AEO 2026 Table 49 raw'!$D$33,'AEO 2026 Table 7 raw'!$C$16)*$AF12</f>
        <v>1.1776606067751589</v>
      </c>
      <c r="Z12">
        <f>SUM('AEO 2026 Table 49 raw'!Y$19,'AEO 2026 Table 49 raw'!Y$33,'AEO 2026 Table 7 raw'!X$16)/SUM('AEO 2026 Table 49 raw'!$D$19,'AEO 2026 Table 49 raw'!$D$33,'AEO 2026 Table 7 raw'!$C$16)*$AF12</f>
        <v>1.1896285816077652</v>
      </c>
      <c r="AA12">
        <f>SUM('AEO 2026 Table 49 raw'!Z$19,'AEO 2026 Table 49 raw'!Z$33,'AEO 2026 Table 7 raw'!Y$16)/SUM('AEO 2026 Table 49 raw'!$D$19,'AEO 2026 Table 49 raw'!$D$33,'AEO 2026 Table 7 raw'!$C$16)*$AF12</f>
        <v>1.2023747541233956</v>
      </c>
      <c r="AB12">
        <f>SUM('AEO 2026 Table 49 raw'!AA$19,'AEO 2026 Table 49 raw'!AA$33,'AEO 2026 Table 7 raw'!Z$16)/SUM('AEO 2026 Table 49 raw'!$D$19,'AEO 2026 Table 49 raw'!$D$33,'AEO 2026 Table 7 raw'!$C$16)*$AF12</f>
        <v>1.2138301301757373</v>
      </c>
      <c r="AC12">
        <f>SUM('AEO 2026 Table 49 raw'!AB$19,'AEO 2026 Table 49 raw'!AB$33,'AEO 2026 Table 7 raw'!AA$16)/SUM('AEO 2026 Table 49 raw'!$D$19,'AEO 2026 Table 49 raw'!$D$33,'AEO 2026 Table 7 raw'!$C$16)*$AF12</f>
        <v>1.2261650151039702</v>
      </c>
      <c r="AD12">
        <f>SUM('AEO 2026 Table 49 raw'!AC$19,'AEO 2026 Table 49 raw'!AC$33,'AEO 2026 Table 7 raw'!AB$16)/SUM('AEO 2026 Table 49 raw'!$D$19,'AEO 2026 Table 49 raw'!$D$33,'AEO 2026 Table 7 raw'!$C$16)*$AF12</f>
        <v>1.2377510427836469</v>
      </c>
      <c r="AF12">
        <f>SUM(INDEX('AEO 2025 Table 49'!21:21,MATCH($E$11,'AEO 2025 Table 49'!5:5,0)),INDEX('AEO 2025 Table 49'!35:35,MATCH($E$11,'AEO 2025 Table 49'!5:5,0)),INDEX('AEO 2025 Table 7'!10:10,MATCH($E$11,'AEO 2025 Table 7'!5:5,0)))/SUM(INDEX('AEO 2025 Table 49'!21:21,MATCH($D$11,'AEO 2025 Table 49'!5:5,0)),INDEX('AEO 2025 Table 49'!35:35,MATCH($D$11,'AEO 2025 Table 49'!5:5,0)),INDEX('AEO 2025 Table 7'!10:10,MATCH($D$11,'AEO 2025 Table 7'!5:5,0)))</f>
        <v>0.99945748585602567</v>
      </c>
    </row>
    <row r="13" spans="1:32">
      <c r="B13" t="s">
        <v>117</v>
      </c>
      <c r="C13">
        <v>1</v>
      </c>
      <c r="D13">
        <f>INDEX('AEO 2025 Table 49'!49:49,MATCH(D11,'AEO 2025 Table 49'!5:5,0))/INDEX('AEO 2025 Table 49'!49:49,MATCH($D$11,'AEO 2025 Table 49'!5:5,0))</f>
        <v>1</v>
      </c>
      <c r="E13">
        <f>'AEO 2026 Table 49 raw'!D$47/'AEO 2026 Table 49 raw'!$D$47*$AF13</f>
        <v>1.0245121206392416</v>
      </c>
      <c r="F13">
        <f>'AEO 2026 Table 49 raw'!E$47/'AEO 2026 Table 49 raw'!$D$47*$AF13</f>
        <v>1.0366367697065633</v>
      </c>
      <c r="G13">
        <f>'AEO 2026 Table 49 raw'!F$47/'AEO 2026 Table 49 raw'!$D$47*$AF13</f>
        <v>1.053135193265931</v>
      </c>
      <c r="H13">
        <f>'AEO 2026 Table 49 raw'!G$47/'AEO 2026 Table 49 raw'!$D$47*$AF13</f>
        <v>1.0687768581124997</v>
      </c>
      <c r="I13">
        <f>'AEO 2026 Table 49 raw'!H$47/'AEO 2026 Table 49 raw'!$D$47*$AF13</f>
        <v>1.0817746766588043</v>
      </c>
      <c r="J13">
        <f>'AEO 2026 Table 49 raw'!I$47/'AEO 2026 Table 49 raw'!$D$47*$AF13</f>
        <v>1.0972462412390889</v>
      </c>
      <c r="K13">
        <f>'AEO 2026 Table 49 raw'!J$47/'AEO 2026 Table 49 raw'!$D$47*$AF13</f>
        <v>1.1082098758804888</v>
      </c>
      <c r="L13">
        <f>'AEO 2026 Table 49 raw'!K$47/'AEO 2026 Table 49 raw'!$D$47*$AF13</f>
        <v>1.120161949827752</v>
      </c>
      <c r="M13">
        <f>'AEO 2026 Table 49 raw'!L$47/'AEO 2026 Table 49 raw'!$D$47*$AF13</f>
        <v>1.129879646894943</v>
      </c>
      <c r="N13">
        <f>'AEO 2026 Table 49 raw'!M$47/'AEO 2026 Table 49 raw'!$D$47*$AF13</f>
        <v>1.1409429673495013</v>
      </c>
      <c r="O13">
        <f>'AEO 2026 Table 49 raw'!N$47/'AEO 2026 Table 49 raw'!$D$47*$AF13</f>
        <v>1.1519049484859782</v>
      </c>
      <c r="P13">
        <f>'AEO 2026 Table 49 raw'!O$47/'AEO 2026 Table 49 raw'!$D$47*$AF13</f>
        <v>1.1620650013490597</v>
      </c>
      <c r="Q13">
        <f>'AEO 2026 Table 49 raw'!P$47/'AEO 2026 Table 49 raw'!$D$47*$AF13</f>
        <v>1.171525524364557</v>
      </c>
      <c r="R13">
        <f>'AEO 2026 Table 49 raw'!Q$47/'AEO 2026 Table 49 raw'!$D$47*$AF13</f>
        <v>1.1799498671722364</v>
      </c>
      <c r="S13">
        <f>'AEO 2026 Table 49 raw'!R$47/'AEO 2026 Table 49 raw'!$D$47*$AF13</f>
        <v>1.1877973745205348</v>
      </c>
      <c r="T13">
        <f>'AEO 2026 Table 49 raw'!S$47/'AEO 2026 Table 49 raw'!$D$47*$AF13</f>
        <v>1.1958568655228989</v>
      </c>
      <c r="U13">
        <f>'AEO 2026 Table 49 raw'!T$47/'AEO 2026 Table 49 raw'!$D$47*$AF13</f>
        <v>1.2036772413410655</v>
      </c>
      <c r="V13">
        <f>'AEO 2026 Table 49 raw'!U$47/'AEO 2026 Table 49 raw'!$D$47*$AF13</f>
        <v>1.210957720783695</v>
      </c>
      <c r="W13">
        <f>'AEO 2026 Table 49 raw'!V$47/'AEO 2026 Table 49 raw'!$D$47*$AF13</f>
        <v>1.2171727486584745</v>
      </c>
      <c r="X13">
        <f>'AEO 2026 Table 49 raw'!W$47/'AEO 2026 Table 49 raw'!$D$47*$AF13</f>
        <v>1.2237448741569839</v>
      </c>
      <c r="Y13">
        <f>'AEO 2026 Table 49 raw'!X$47/'AEO 2026 Table 49 raw'!$D$47*$AF13</f>
        <v>1.232354160949982</v>
      </c>
      <c r="Z13">
        <f>'AEO 2026 Table 49 raw'!Y$47/'AEO 2026 Table 49 raw'!$D$47*$AF13</f>
        <v>1.241220940607715</v>
      </c>
      <c r="AA13">
        <f>'AEO 2026 Table 49 raw'!Z$47/'AEO 2026 Table 49 raw'!$D$47*$AF13</f>
        <v>1.2500164034093082</v>
      </c>
      <c r="AB13">
        <f>'AEO 2026 Table 49 raw'!AA$47/'AEO 2026 Table 49 raw'!$D$47*$AF13</f>
        <v>1.2565376593151749</v>
      </c>
      <c r="AC13">
        <f>'AEO 2026 Table 49 raw'!AB$47/'AEO 2026 Table 49 raw'!$D$47*$AF13</f>
        <v>1.2629947635529031</v>
      </c>
      <c r="AD13">
        <f>'AEO 2026 Table 49 raw'!AC$47/'AEO 2026 Table 49 raw'!$D$47*$AF13</f>
        <v>1.2688550821999527</v>
      </c>
      <c r="AF13">
        <f>INDEX('AEO 2025 Table 49'!49:49,MATCH($E$11,'AEO 2025 Table 49'!5:5,0))/INDEX('AEO 2025 Table 49'!49:49,MATCH($D$11,'AEO 2025 Table 49'!5:5,0))</f>
        <v>1.0245121206392416</v>
      </c>
    </row>
    <row r="14" spans="1:32">
      <c r="B14" t="s">
        <v>115</v>
      </c>
      <c r="C14">
        <f>C5</f>
        <v>1</v>
      </c>
      <c r="D14">
        <f t="shared" ref="D14" si="0">D5</f>
        <v>1</v>
      </c>
      <c r="E14">
        <f>'AEO 2026 Table 47'!E68/'AEO 2026 Table 47'!$E$68*$AF14</f>
        <v>1.0221311688085781</v>
      </c>
      <c r="F14">
        <f>'AEO 2026 Table 47'!F68/'AEO 2026 Table 47'!$E$68*$AF14</f>
        <v>1.0506709125433564</v>
      </c>
      <c r="G14">
        <f>'AEO 2026 Table 47'!G68/'AEO 2026 Table 47'!$E$68*$AF14</f>
        <v>1.0713139250923156</v>
      </c>
      <c r="H14">
        <f>'AEO 2026 Table 47'!H68/'AEO 2026 Table 47'!$E$68*$AF14</f>
        <v>1.0853690274850445</v>
      </c>
      <c r="I14">
        <f>'AEO 2026 Table 47'!I68/'AEO 2026 Table 47'!$E$68*$AF14</f>
        <v>1.1032493963698644</v>
      </c>
      <c r="J14">
        <f>'AEO 2026 Table 47'!J68/'AEO 2026 Table 47'!$E$68*$AF14</f>
        <v>1.1242326395290629</v>
      </c>
      <c r="K14">
        <f>'AEO 2026 Table 47'!K68/'AEO 2026 Table 47'!$E$68*$AF14</f>
        <v>1.1449156505013611</v>
      </c>
      <c r="L14">
        <f>'AEO 2026 Table 47'!L68/'AEO 2026 Table 47'!$E$68*$AF14</f>
        <v>1.1688926653541458</v>
      </c>
      <c r="M14">
        <f>'AEO 2026 Table 47'!M68/'AEO 2026 Table 47'!$E$68*$AF14</f>
        <v>1.1944801779736034</v>
      </c>
      <c r="N14">
        <f>'AEO 2026 Table 47'!N68/'AEO 2026 Table 47'!$E$68*$AF14</f>
        <v>1.2220075458016966</v>
      </c>
      <c r="O14">
        <f>'AEO 2026 Table 47'!O68/'AEO 2026 Table 47'!$E$68*$AF14</f>
        <v>1.2516079017067383</v>
      </c>
      <c r="P14">
        <f>'AEO 2026 Table 47'!P68/'AEO 2026 Table 47'!$E$68*$AF14</f>
        <v>1.2766308880184611</v>
      </c>
      <c r="Q14">
        <f>'AEO 2026 Table 47'!Q68/'AEO 2026 Table 47'!$E$68*$AF14</f>
        <v>1.3019456344254641</v>
      </c>
      <c r="R14">
        <f>'AEO 2026 Table 47'!R68/'AEO 2026 Table 47'!$E$68*$AF14</f>
        <v>1.3273175576904277</v>
      </c>
      <c r="S14">
        <f>'AEO 2026 Table 47'!S68/'AEO 2026 Table 47'!$E$68*$AF14</f>
        <v>1.3522056152065816</v>
      </c>
      <c r="T14">
        <f>'AEO 2026 Table 47'!T68/'AEO 2026 Table 47'!$E$68*$AF14</f>
        <v>1.3776494731665203</v>
      </c>
      <c r="U14">
        <f>'AEO 2026 Table 47'!U68/'AEO 2026 Table 47'!$E$68*$AF14</f>
        <v>1.4023138206136321</v>
      </c>
      <c r="V14">
        <f>'AEO 2026 Table 47'!V68/'AEO 2026 Table 47'!$E$68*$AF14</f>
        <v>1.4279673921225871</v>
      </c>
      <c r="W14">
        <f>'AEO 2026 Table 47'!W68/'AEO 2026 Table 47'!$E$68*$AF14</f>
        <v>1.4547966322718699</v>
      </c>
      <c r="X14">
        <f>'AEO 2026 Table 47'!X68/'AEO 2026 Table 47'!$E$68*$AF14</f>
        <v>1.4817929717397391</v>
      </c>
      <c r="Y14">
        <f>'AEO 2026 Table 47'!Y68/'AEO 2026 Table 47'!$E$68*$AF14</f>
        <v>1.5091092205105292</v>
      </c>
      <c r="Z14">
        <f>'AEO 2026 Table 47'!Z68/'AEO 2026 Table 47'!$E$68*$AF14</f>
        <v>1.5359134348039205</v>
      </c>
      <c r="AA14">
        <f>'AEO 2026 Table 47'!AA68/'AEO 2026 Table 47'!$E$68*$AF14</f>
        <v>1.5614961062281671</v>
      </c>
      <c r="AB14">
        <f>'AEO 2026 Table 47'!AB68/'AEO 2026 Table 47'!$E$68*$AF14</f>
        <v>1.587436518553397</v>
      </c>
      <c r="AC14">
        <f>'AEO 2026 Table 47'!AC68/'AEO 2026 Table 47'!$E$68*$AF14</f>
        <v>1.6128188855257721</v>
      </c>
      <c r="AD14">
        <f>'AEO 2026 Table 47'!AD68/'AEO 2026 Table 47'!$E$68*$AF14</f>
        <v>1.6388120044117711</v>
      </c>
      <c r="AF14">
        <f>'AEO 2025 Table 47'!$G$68/'AEO 2025 Table 47'!$F$68</f>
        <v>1.0221311688085781</v>
      </c>
    </row>
    <row r="15" spans="1:32">
      <c r="B15" t="s">
        <v>120</v>
      </c>
      <c r="C15">
        <v>1</v>
      </c>
      <c r="D15">
        <f>INDEX('AEO 2025 Table 7'!18:18,MATCH(D11,'AEO 2025 Table 7'!5:5,0))/INDEX('AEO 2025 Table 7'!18:18,MATCH($D$11,'AEO 2025 Table 7'!5:5,0))</f>
        <v>1</v>
      </c>
      <c r="E15">
        <f>INDEX('AEO 2026 Table 7 raw'!24:24,MATCH(E11,'AEO 2026 Table 7 raw'!10:10,0))/INDEX('AEO 2026 Table 7 raw'!24:24,MATCH($E$11,'AEO 2026 Table 7 raw'!10:10,0))*$AF15</f>
        <v>1.0230209862548021</v>
      </c>
      <c r="F15">
        <f>INDEX('AEO 2026 Table 7 raw'!24:24,MATCH(F11,'AEO 2026 Table 7 raw'!10:10,0))/INDEX('AEO 2026 Table 7 raw'!24:24,MATCH($E$11,'AEO 2026 Table 7 raw'!10:10,0))*$AF15</f>
        <v>1.0008314415806128</v>
      </c>
      <c r="G15">
        <f>INDEX('AEO 2026 Table 7 raw'!24:24,MATCH(G11,'AEO 2026 Table 7 raw'!10:10,0))/INDEX('AEO 2026 Table 7 raw'!24:24,MATCH($E$11,'AEO 2026 Table 7 raw'!10:10,0))*$AF15</f>
        <v>1.0341759289768822</v>
      </c>
      <c r="H15">
        <f>INDEX('AEO 2026 Table 7 raw'!24:24,MATCH(H11,'AEO 2026 Table 7 raw'!10:10,0))/INDEX('AEO 2026 Table 7 raw'!24:24,MATCH($E$11,'AEO 2026 Table 7 raw'!10:10,0))*$AF15</f>
        <v>1.0140135663687915</v>
      </c>
      <c r="I15">
        <f>INDEX('AEO 2026 Table 7 raw'!24:24,MATCH(I11,'AEO 2026 Table 7 raw'!10:10,0))/INDEX('AEO 2026 Table 7 raw'!24:24,MATCH($E$11,'AEO 2026 Table 7 raw'!10:10,0))*$AF15</f>
        <v>1.0070407414141334</v>
      </c>
      <c r="J15">
        <f>INDEX('AEO 2026 Table 7 raw'!24:24,MATCH(J11,'AEO 2026 Table 7 raw'!10:10,0))/INDEX('AEO 2026 Table 7 raw'!24:24,MATCH($E$11,'AEO 2026 Table 7 raw'!10:10,0))*$AF15</f>
        <v>1.0147779589528849</v>
      </c>
      <c r="K15">
        <f>INDEX('AEO 2026 Table 7 raw'!24:24,MATCH(K11,'AEO 2026 Table 7 raw'!10:10,0))/INDEX('AEO 2026 Table 7 raw'!24:24,MATCH($E$11,'AEO 2026 Table 7 raw'!10:10,0))*$AF15</f>
        <v>0.98981127105766753</v>
      </c>
      <c r="L15">
        <f>INDEX('AEO 2026 Table 7 raw'!24:24,MATCH(L11,'AEO 2026 Table 7 raw'!10:10,0))/INDEX('AEO 2026 Table 7 raw'!24:24,MATCH($E$11,'AEO 2026 Table 7 raw'!10:10,0))*$AF15</f>
        <v>0.99502598518288565</v>
      </c>
      <c r="M15">
        <f>INDEX('AEO 2026 Table 7 raw'!24:24,MATCH(M11,'AEO 2026 Table 7 raw'!10:10,0))/INDEX('AEO 2026 Table 7 raw'!24:24,MATCH($E$11,'AEO 2026 Table 7 raw'!10:10,0))*$AF15</f>
        <v>1.0004023628588501</v>
      </c>
      <c r="N15">
        <f>INDEX('AEO 2026 Table 7 raw'!24:24,MATCH(N11,'AEO 2026 Table 7 raw'!10:10,0))/INDEX('AEO 2026 Table 7 raw'!24:24,MATCH($E$11,'AEO 2026 Table 7 raw'!10:10,0))*$AF15</f>
        <v>0.99862177685284181</v>
      </c>
      <c r="O15">
        <f>INDEX('AEO 2026 Table 7 raw'!24:24,MATCH(O11,'AEO 2026 Table 7 raw'!10:10,0))/INDEX('AEO 2026 Table 7 raw'!24:24,MATCH($E$11,'AEO 2026 Table 7 raw'!10:10,0))*$AF15</f>
        <v>1.0029433984355176</v>
      </c>
      <c r="P15">
        <f>INDEX('AEO 2026 Table 7 raw'!24:24,MATCH(P11,'AEO 2026 Table 7 raw'!10:10,0))/INDEX('AEO 2026 Table 7 raw'!24:24,MATCH($E$11,'AEO 2026 Table 7 raw'!10:10,0))*$AF15</f>
        <v>1.0063796557819815</v>
      </c>
      <c r="Q15">
        <f>INDEX('AEO 2026 Table 7 raw'!24:24,MATCH(Q11,'AEO 2026 Table 7 raw'!10:10,0))/INDEX('AEO 2026 Table 7 raw'!24:24,MATCH($E$11,'AEO 2026 Table 7 raw'!10:10,0))*$AF15</f>
        <v>1.0112508545769281</v>
      </c>
      <c r="R15">
        <f>INDEX('AEO 2026 Table 7 raw'!24:24,MATCH(R11,'AEO 2026 Table 7 raw'!10:10,0))/INDEX('AEO 2026 Table 7 raw'!24:24,MATCH($E$11,'AEO 2026 Table 7 raw'!10:10,0))*$AF15</f>
        <v>1.0127210465655021</v>
      </c>
      <c r="S15">
        <f>INDEX('AEO 2026 Table 7 raw'!24:24,MATCH(S11,'AEO 2026 Table 7 raw'!10:10,0))/INDEX('AEO 2026 Table 7 raw'!24:24,MATCH($E$11,'AEO 2026 Table 7 raw'!10:10,0))*$AF15</f>
        <v>1.0158221477701728</v>
      </c>
      <c r="T15">
        <f>INDEX('AEO 2026 Table 7 raw'!24:24,MATCH(T11,'AEO 2026 Table 7 raw'!10:10,0))/INDEX('AEO 2026 Table 7 raw'!24:24,MATCH($E$11,'AEO 2026 Table 7 raw'!10:10,0))*$AF15</f>
        <v>1.0178896274335549</v>
      </c>
      <c r="U15">
        <f>INDEX('AEO 2026 Table 7 raw'!24:24,MATCH(U11,'AEO 2026 Table 7 raw'!10:10,0))/INDEX('AEO 2026 Table 7 raw'!24:24,MATCH($E$11,'AEO 2026 Table 7 raw'!10:10,0))*$AF15</f>
        <v>1.0180337051443915</v>
      </c>
      <c r="V15">
        <f>INDEX('AEO 2026 Table 7 raw'!24:24,MATCH(V11,'AEO 2026 Table 7 raw'!10:10,0))/INDEX('AEO 2026 Table 7 raw'!24:24,MATCH($E$11,'AEO 2026 Table 7 raw'!10:10,0))*$AF15</f>
        <v>1.0159521094929196</v>
      </c>
      <c r="W15">
        <f>INDEX('AEO 2026 Table 7 raw'!24:24,MATCH(W11,'AEO 2026 Table 7 raw'!10:10,0))/INDEX('AEO 2026 Table 7 raw'!24:24,MATCH($E$11,'AEO 2026 Table 7 raw'!10:10,0))*$AF15</f>
        <v>1.0145288393641967</v>
      </c>
      <c r="X15">
        <f>INDEX('AEO 2026 Table 7 raw'!24:24,MATCH(X11,'AEO 2026 Table 7 raw'!10:10,0))/INDEX('AEO 2026 Table 7 raw'!24:24,MATCH($E$11,'AEO 2026 Table 7 raw'!10:10,0))*$AF15</f>
        <v>1.0156939998336054</v>
      </c>
      <c r="Y15">
        <f>INDEX('AEO 2026 Table 7 raw'!24:24,MATCH(Y11,'AEO 2026 Table 7 raw'!10:10,0))/INDEX('AEO 2026 Table 7 raw'!24:24,MATCH($E$11,'AEO 2026 Table 7 raw'!10:10,0))*$AF15</f>
        <v>1.0162311171234284</v>
      </c>
      <c r="Z15">
        <f>INDEX('AEO 2026 Table 7 raw'!24:24,MATCH(Z11,'AEO 2026 Table 7 raw'!10:10,0))/INDEX('AEO 2026 Table 7 raw'!24:24,MATCH($E$11,'AEO 2026 Table 7 raw'!10:10,0))*$AF15</f>
        <v>1.0194175451387859</v>
      </c>
      <c r="AA15">
        <f>INDEX('AEO 2026 Table 7 raw'!24:24,MATCH(AA11,'AEO 2026 Table 7 raw'!10:10,0))/INDEX('AEO 2026 Table 7 raw'!24:24,MATCH($E$11,'AEO 2026 Table 7 raw'!10:10,0))*$AF15</f>
        <v>1.0264886299881908</v>
      </c>
      <c r="AB15">
        <f>INDEX('AEO 2026 Table 7 raw'!24:24,MATCH(AB11,'AEO 2026 Table 7 raw'!10:10,0))/INDEX('AEO 2026 Table 7 raw'!24:24,MATCH($E$11,'AEO 2026 Table 7 raw'!10:10,0))*$AF15</f>
        <v>1.0308092263873745</v>
      </c>
      <c r="AC15">
        <f>INDEX('AEO 2026 Table 7 raw'!24:24,MATCH(AC11,'AEO 2026 Table 7 raw'!10:10,0))/INDEX('AEO 2026 Table 7 raw'!24:24,MATCH($E$11,'AEO 2026 Table 7 raw'!10:10,0))*$AF15</f>
        <v>1.0289375567710675</v>
      </c>
      <c r="AD15">
        <f>INDEX('AEO 2026 Table 7 raw'!24:24,MATCH(AD11,'AEO 2026 Table 7 raw'!10:10,0))/INDEX('AEO 2026 Table 7 raw'!24:24,MATCH($E$11,'AEO 2026 Table 7 raw'!10:10,0))*$AF15</f>
        <v>1.0277628542091517</v>
      </c>
      <c r="AF15">
        <f>INDEX('AEO 2025 Table 7'!18:18,MATCH($E$11,'AEO 2025 Table 7'!5:5,0))/INDEX('AEO 2025 Table 7'!18:18,MATCH($D$11,'AEO 2025 Table 7'!5:5,0))</f>
        <v>1.0230209862548021</v>
      </c>
    </row>
    <row r="16" spans="1:32">
      <c r="B16" t="s">
        <v>121</v>
      </c>
      <c r="C16">
        <v>1</v>
      </c>
      <c r="D16" s="39">
        <f>('AEO 2025 Table 7'!F42*SUM('AEO 2025 Table 7'!F51:F52))/('AEO 2025 Table 7'!$F$42*SUM('AEO 2025 Table 7'!$F$51:$F$52))</f>
        <v>1</v>
      </c>
      <c r="E16" s="39">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raw'!10:10,0))))*$AF16</f>
        <v>0.982722847791895</v>
      </c>
      <c r="F16" s="39">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raw'!10:10,0))))*$AF16</f>
        <v>0.97603732274084387</v>
      </c>
      <c r="G16" s="39">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raw'!10:10,0))))*$AF16</f>
        <v>0.9959167462856453</v>
      </c>
      <c r="H16" s="39">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raw'!10:10,0))))*$AF16</f>
        <v>1.0178247370572386</v>
      </c>
      <c r="I16" s="39">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raw'!10:10,0))))*$AF16</f>
        <v>1.03644476426239</v>
      </c>
      <c r="J16" s="39">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raw'!10:10,0))))*$AF16</f>
        <v>1.0560066899017855</v>
      </c>
      <c r="K16" s="39">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raw'!10:10,0))))*$AF16</f>
        <v>1.0742241117094886</v>
      </c>
      <c r="L16" s="39">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raw'!10:10,0))))*$AF16</f>
        <v>1.094513904985881</v>
      </c>
      <c r="M16" s="39">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raw'!10:10,0))))*$AF16</f>
        <v>1.1151402293144352</v>
      </c>
      <c r="N16" s="39">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raw'!10:10,0))))*$AF16</f>
        <v>1.1365283947745999</v>
      </c>
      <c r="O16" s="39">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raw'!10:10,0))))*$AF16</f>
        <v>1.1589696545569166</v>
      </c>
      <c r="P16" s="39">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raw'!10:10,0))))*$AF16</f>
        <v>1.1774495025730489</v>
      </c>
      <c r="Q16" s="39">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raw'!10:10,0))))*$AF16</f>
        <v>1.1926180382116436</v>
      </c>
      <c r="R16" s="39">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raw'!10:10,0))))*$AF16</f>
        <v>1.2078054851742159</v>
      </c>
      <c r="S16" s="39">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raw'!10:10,0))))*$AF16</f>
        <v>1.2218328067205158</v>
      </c>
      <c r="T16" s="39">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raw'!10:10,0))))*$AF16</f>
        <v>1.2359667428916432</v>
      </c>
      <c r="U16" s="39">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raw'!10:10,0))))*$AF16</f>
        <v>1.2497452339375765</v>
      </c>
      <c r="V16" s="39">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raw'!10:10,0))))*$AF16</f>
        <v>1.2646282421952768</v>
      </c>
      <c r="W16" s="39">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raw'!10:10,0))))*$AF16</f>
        <v>1.2791165875275143</v>
      </c>
      <c r="X16" s="39">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raw'!10:10,0))))*$AF16</f>
        <v>1.2934841043099414</v>
      </c>
      <c r="Y16" s="39">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raw'!10:10,0))))*$AF16</f>
        <v>1.3092548206194776</v>
      </c>
      <c r="Z16" s="39">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raw'!10:10,0))))*$AF16</f>
        <v>1.3252181233085218</v>
      </c>
      <c r="AA16" s="39">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raw'!10:10,0))))*$AF16</f>
        <v>1.3414104717749122</v>
      </c>
      <c r="AB16" s="39">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raw'!10:10,0))))*$AF16</f>
        <v>1.3568517216373714</v>
      </c>
      <c r="AC16" s="39">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raw'!10:10,0))))*$AF16</f>
        <v>1.3720102818966908</v>
      </c>
      <c r="AD16" s="39">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raw'!10:10,0))))*$AF16</f>
        <v>1.3886730164742265</v>
      </c>
      <c r="AF16">
        <f>('AEO 2025 Table 7'!$G$42*SUM('AEO 2025 Table 7'!$G$51:$G$52))/('AEO 2025 Table 7'!$F$42*SUM('AEO 2025 Table 7'!$F$51:$F$52))</f>
        <v>0.982722847791895</v>
      </c>
    </row>
    <row r="17" spans="2:30">
      <c r="B17" t="s">
        <v>122</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4"/>
      <c r="E21" s="13"/>
    </row>
    <row r="22" spans="2:30">
      <c r="C22" s="15"/>
      <c r="D22" s="15"/>
      <c r="E22" s="15"/>
    </row>
  </sheetData>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8C90-753D-44C3-B788-16B45E791F04}">
  <dimension ref="A1:AE15"/>
  <sheetViews>
    <sheetView tabSelected="1" workbookViewId="0"/>
  </sheetViews>
  <sheetFormatPr defaultRowHeight="15"/>
  <cols>
    <col min="1" max="1" width="60.7109375" customWidth="1"/>
  </cols>
  <sheetData>
    <row r="1" spans="1:31">
      <c r="A1" s="60" t="s">
        <v>2752</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row>
    <row r="2" spans="1:31">
      <c r="A2" s="12" t="s">
        <v>2753</v>
      </c>
    </row>
    <row r="4" spans="1:31">
      <c r="A4" t="s">
        <v>2754</v>
      </c>
      <c r="B4">
        <v>240.42126699499124</v>
      </c>
      <c r="C4">
        <v>-1.137317169335542E-2</v>
      </c>
      <c r="D4" t="s">
        <v>2755</v>
      </c>
    </row>
    <row r="5" spans="1:31">
      <c r="A5" t="s">
        <v>2756</v>
      </c>
      <c r="B5">
        <v>1.7236610842482132E-2</v>
      </c>
      <c r="C5">
        <v>-7.0013753160500583E-3</v>
      </c>
    </row>
    <row r="6" spans="1:31">
      <c r="A6" t="s">
        <v>2757</v>
      </c>
      <c r="B6">
        <v>3.2618972581153483E-3</v>
      </c>
    </row>
    <row r="7" spans="1:31">
      <c r="A7" t="s">
        <v>2758</v>
      </c>
      <c r="B7">
        <v>2019</v>
      </c>
    </row>
    <row r="8" spans="1:31">
      <c r="A8" t="s">
        <v>2759</v>
      </c>
      <c r="B8">
        <v>1989</v>
      </c>
    </row>
    <row r="10" spans="1:31" s="1" customFormat="1">
      <c r="A10" s="1" t="s">
        <v>2760</v>
      </c>
      <c r="B10" s="1">
        <v>2024</v>
      </c>
      <c r="C10" s="1">
        <v>2025</v>
      </c>
      <c r="D10" s="1">
        <v>2026</v>
      </c>
      <c r="E10" s="1">
        <v>2027</v>
      </c>
      <c r="F10" s="1">
        <v>2028</v>
      </c>
      <c r="G10" s="1">
        <v>2029</v>
      </c>
      <c r="H10" s="1">
        <v>2030</v>
      </c>
      <c r="I10" s="1">
        <v>2031</v>
      </c>
      <c r="J10" s="1">
        <v>2032</v>
      </c>
      <c r="K10" s="1">
        <v>2033</v>
      </c>
      <c r="L10" s="1">
        <v>2034</v>
      </c>
      <c r="M10" s="1">
        <v>2035</v>
      </c>
      <c r="N10" s="1">
        <v>2036</v>
      </c>
      <c r="O10" s="1">
        <v>2037</v>
      </c>
      <c r="P10" s="1">
        <v>2038</v>
      </c>
      <c r="Q10" s="1">
        <v>2039</v>
      </c>
      <c r="R10" s="1">
        <v>2040</v>
      </c>
      <c r="S10" s="1">
        <v>2041</v>
      </c>
      <c r="T10" s="1">
        <v>2042</v>
      </c>
      <c r="U10" s="1">
        <v>2043</v>
      </c>
      <c r="V10" s="1">
        <v>2044</v>
      </c>
      <c r="W10" s="1">
        <v>2045</v>
      </c>
      <c r="X10" s="1">
        <v>2046</v>
      </c>
      <c r="Y10" s="1">
        <v>2047</v>
      </c>
      <c r="Z10" s="1">
        <v>2048</v>
      </c>
      <c r="AA10" s="1">
        <v>2049</v>
      </c>
      <c r="AB10" s="1">
        <v>2050</v>
      </c>
    </row>
    <row r="11" spans="1:31">
      <c r="A11" t="s">
        <v>2761</v>
      </c>
      <c r="B11">
        <f t="shared" ref="B11:AB11" si="0">B$10-$B$8</f>
        <v>35</v>
      </c>
      <c r="C11">
        <f t="shared" si="0"/>
        <v>36</v>
      </c>
      <c r="D11">
        <f t="shared" si="0"/>
        <v>37</v>
      </c>
      <c r="E11">
        <f t="shared" si="0"/>
        <v>38</v>
      </c>
      <c r="F11">
        <f t="shared" si="0"/>
        <v>39</v>
      </c>
      <c r="G11">
        <f t="shared" si="0"/>
        <v>40</v>
      </c>
      <c r="H11">
        <f t="shared" si="0"/>
        <v>41</v>
      </c>
      <c r="I11">
        <f t="shared" si="0"/>
        <v>42</v>
      </c>
      <c r="J11">
        <f t="shared" si="0"/>
        <v>43</v>
      </c>
      <c r="K11">
        <f t="shared" si="0"/>
        <v>44</v>
      </c>
      <c r="L11">
        <f t="shared" si="0"/>
        <v>45</v>
      </c>
      <c r="M11">
        <f t="shared" si="0"/>
        <v>46</v>
      </c>
      <c r="N11">
        <f t="shared" si="0"/>
        <v>47</v>
      </c>
      <c r="O11">
        <f t="shared" si="0"/>
        <v>48</v>
      </c>
      <c r="P11">
        <f t="shared" si="0"/>
        <v>49</v>
      </c>
      <c r="Q11">
        <f t="shared" si="0"/>
        <v>50</v>
      </c>
      <c r="R11">
        <f t="shared" si="0"/>
        <v>51</v>
      </c>
      <c r="S11">
        <f t="shared" si="0"/>
        <v>52</v>
      </c>
      <c r="T11">
        <f t="shared" si="0"/>
        <v>53</v>
      </c>
      <c r="U11">
        <f t="shared" si="0"/>
        <v>54</v>
      </c>
      <c r="V11">
        <f t="shared" si="0"/>
        <v>55</v>
      </c>
      <c r="W11">
        <f t="shared" si="0"/>
        <v>56</v>
      </c>
      <c r="X11">
        <f t="shared" si="0"/>
        <v>57</v>
      </c>
      <c r="Y11">
        <f t="shared" si="0"/>
        <v>58</v>
      </c>
      <c r="Z11">
        <f t="shared" si="0"/>
        <v>59</v>
      </c>
      <c r="AA11">
        <f t="shared" si="0"/>
        <v>60</v>
      </c>
      <c r="AB11">
        <f t="shared" si="0"/>
        <v>61</v>
      </c>
    </row>
    <row r="12" spans="1:31">
      <c r="A12" t="s">
        <v>2762</v>
      </c>
      <c r="B12">
        <f t="shared" ref="B12:AB12" si="1">$B$5*EXP($C$5*B11)+$B$6</f>
        <v>1.6752421392102756E-2</v>
      </c>
      <c r="C12">
        <f t="shared" si="1"/>
        <v>1.6658299046846497E-2</v>
      </c>
      <c r="D12">
        <f t="shared" si="1"/>
        <v>1.6564833385925737E-2</v>
      </c>
      <c r="E12">
        <f t="shared" si="1"/>
        <v>1.6472019827704583E-2</v>
      </c>
      <c r="F12">
        <f t="shared" si="1"/>
        <v>1.6379853822512842E-2</v>
      </c>
      <c r="G12">
        <f t="shared" si="1"/>
        <v>1.6288330852423025E-2</v>
      </c>
      <c r="H12">
        <f t="shared" si="1"/>
        <v>1.6197446431028883E-2</v>
      </c>
      <c r="I12">
        <f t="shared" si="1"/>
        <v>1.610719610322546E-2</v>
      </c>
      <c r="J12">
        <f t="shared" si="1"/>
        <v>1.6017575444990745E-2</v>
      </c>
      <c r="K12">
        <f t="shared" si="1"/>
        <v>1.5928580063168767E-2</v>
      </c>
      <c r="L12">
        <f t="shared" si="1"/>
        <v>1.5840205595254269E-2</v>
      </c>
      <c r="M12">
        <f t="shared" si="1"/>
        <v>1.5752447709178871E-2</v>
      </c>
      <c r="N12">
        <f t="shared" si="1"/>
        <v>1.5665302103098681E-2</v>
      </c>
      <c r="O12">
        <f t="shared" si="1"/>
        <v>1.5578764505183453E-2</v>
      </c>
      <c r="P12">
        <f t="shared" si="1"/>
        <v>1.5492830673407161E-2</v>
      </c>
      <c r="Q12">
        <f t="shared" si="1"/>
        <v>1.5407496395340073E-2</v>
      </c>
      <c r="R12">
        <f t="shared" si="1"/>
        <v>1.5322757487942254E-2</v>
      </c>
      <c r="S12">
        <f t="shared" si="1"/>
        <v>1.5238609797358513E-2</v>
      </c>
      <c r="T12">
        <f t="shared" si="1"/>
        <v>1.5155049198714785E-2</v>
      </c>
      <c r="U12">
        <f t="shared" si="1"/>
        <v>1.5072071595915939E-2</v>
      </c>
      <c r="V12">
        <f t="shared" si="1"/>
        <v>1.4989672921444975E-2</v>
      </c>
      <c r="W12">
        <f t="shared" si="1"/>
        <v>1.4907849136163652E-2</v>
      </c>
      <c r="X12">
        <f t="shared" si="1"/>
        <v>1.4826596229114484E-2</v>
      </c>
      <c r="Y12">
        <f t="shared" si="1"/>
        <v>1.4745910217324118E-2</v>
      </c>
      <c r="Z12">
        <f t="shared" si="1"/>
        <v>1.466578714560811E-2</v>
      </c>
      <c r="AA12">
        <f t="shared" si="1"/>
        <v>1.4586223086377022E-2</v>
      </c>
      <c r="AB12">
        <f t="shared" si="1"/>
        <v>1.4507214139443912E-2</v>
      </c>
    </row>
    <row r="13" spans="1:31">
      <c r="A13" t="s">
        <v>2763</v>
      </c>
      <c r="B13">
        <f t="shared" ref="B13:AB13" si="2">B12/$B$12</f>
        <v>1</v>
      </c>
      <c r="C13">
        <f t="shared" si="2"/>
        <v>0.99438156771172015</v>
      </c>
      <c r="D13">
        <f t="shared" si="2"/>
        <v>0.98880233479170654</v>
      </c>
      <c r="E13">
        <f t="shared" si="2"/>
        <v>0.98326202774899407</v>
      </c>
      <c r="F13">
        <f t="shared" si="2"/>
        <v>0.97776037500074198</v>
      </c>
      <c r="G13">
        <f t="shared" si="2"/>
        <v>0.97229710685892201</v>
      </c>
      <c r="H13">
        <f t="shared" si="2"/>
        <v>0.96687195551709959</v>
      </c>
      <c r="I13">
        <f t="shared" si="2"/>
        <v>0.9614846550373034</v>
      </c>
      <c r="J13">
        <f t="shared" si="2"/>
        <v>0.95613494133699239</v>
      </c>
      <c r="K13">
        <f t="shared" si="2"/>
        <v>0.95082255217610778</v>
      </c>
      <c r="L13">
        <f t="shared" si="2"/>
        <v>0.94554722714421957</v>
      </c>
      <c r="M13">
        <f t="shared" si="2"/>
        <v>0.94030870764776242</v>
      </c>
      <c r="N13">
        <f t="shared" si="2"/>
        <v>0.93510673689735668</v>
      </c>
      <c r="O13">
        <f t="shared" si="2"/>
        <v>0.92994105989522347</v>
      </c>
      <c r="P13">
        <f t="shared" si="2"/>
        <v>0.9248114234226833</v>
      </c>
      <c r="Q13">
        <f t="shared" si="2"/>
        <v>0.91971757602774407</v>
      </c>
      <c r="R13">
        <f t="shared" si="2"/>
        <v>0.91465926801277464</v>
      </c>
      <c r="S13">
        <f t="shared" si="2"/>
        <v>0.9096362514222649</v>
      </c>
      <c r="T13">
        <f t="shared" si="2"/>
        <v>0.90464828003067144</v>
      </c>
      <c r="U13">
        <f t="shared" si="2"/>
        <v>0.89969510933034735</v>
      </c>
      <c r="V13">
        <f t="shared" si="2"/>
        <v>0.89477649651955649</v>
      </c>
      <c r="W13">
        <f t="shared" si="2"/>
        <v>0.88989220049057194</v>
      </c>
      <c r="X13">
        <f t="shared" si="2"/>
        <v>0.88504198181785687</v>
      </c>
      <c r="Y13">
        <f t="shared" si="2"/>
        <v>0.88022560274632744</v>
      </c>
      <c r="Z13">
        <f t="shared" si="2"/>
        <v>0.87544282717969923</v>
      </c>
      <c r="AA13">
        <f t="shared" si="2"/>
        <v>0.87069342066891298</v>
      </c>
      <c r="AB13">
        <f t="shared" si="2"/>
        <v>0.8659771504006426</v>
      </c>
    </row>
    <row r="14" spans="1:31">
      <c r="A14" t="s">
        <v>2794</v>
      </c>
      <c r="B14">
        <f>calcs!D7</f>
        <v>1</v>
      </c>
      <c r="C14">
        <f>calcs!E7</f>
        <v>0.99248573011247321</v>
      </c>
      <c r="D14">
        <f>calcs!F7</f>
        <v>0.99550181754848577</v>
      </c>
      <c r="E14">
        <f>calcs!G7</f>
        <v>0.99147224459295202</v>
      </c>
      <c r="F14">
        <f>calcs!H7</f>
        <v>0.98149021150446736</v>
      </c>
      <c r="G14">
        <f>calcs!I7</f>
        <v>0.9739078620407533</v>
      </c>
      <c r="H14">
        <f>calcs!J7</f>
        <v>0.96858310219276378</v>
      </c>
      <c r="I14">
        <f>calcs!K7</f>
        <v>0.96282225583101166</v>
      </c>
      <c r="J14">
        <f>calcs!L7</f>
        <v>0.9593678083770919</v>
      </c>
      <c r="K14">
        <f>calcs!M7</f>
        <v>0.95708982827106892</v>
      </c>
      <c r="L14">
        <f>calcs!N7</f>
        <v>0.95603755108707789</v>
      </c>
      <c r="M14">
        <f>calcs!O7</f>
        <v>0.95627250353103588</v>
      </c>
      <c r="N14">
        <f>calcs!P7</f>
        <v>0.95352049781083525</v>
      </c>
      <c r="O14">
        <f>calcs!Q7</f>
        <v>0.95079044561503234</v>
      </c>
      <c r="P14">
        <f>calcs!R7</f>
        <v>0.94787979193373206</v>
      </c>
      <c r="Q14">
        <f>calcs!S7</f>
        <v>0.9448821056718909</v>
      </c>
      <c r="R14">
        <f>calcs!T7</f>
        <v>0.94196171855097022</v>
      </c>
      <c r="S14">
        <f>calcs!U7</f>
        <v>0.93828063115262195</v>
      </c>
      <c r="T14">
        <f>calcs!V7</f>
        <v>0.93501182952152084</v>
      </c>
      <c r="U14">
        <f>calcs!W7</f>
        <v>0.93202657648547105</v>
      </c>
      <c r="V14">
        <f>calcs!X7</f>
        <v>0.92902789556556664</v>
      </c>
      <c r="W14">
        <f>calcs!Y7</f>
        <v>0.92598267885769936</v>
      </c>
      <c r="X14">
        <f>calcs!Z7</f>
        <v>0.9224485877117089</v>
      </c>
      <c r="Y14">
        <f>calcs!AA7</f>
        <v>0.91824061572781734</v>
      </c>
      <c r="Z14">
        <f>calcs!AB7</f>
        <v>0.91387278798374882</v>
      </c>
      <c r="AA14">
        <f>calcs!AC7</f>
        <v>0.90910631549730192</v>
      </c>
      <c r="AB14">
        <f>calcs!AD7</f>
        <v>0.90459909353035928</v>
      </c>
    </row>
    <row r="15" spans="1:31">
      <c r="A15" t="s">
        <v>2764</v>
      </c>
      <c r="B15">
        <f t="shared" ref="B15:AB15" si="3">B14/B13</f>
        <v>1</v>
      </c>
      <c r="C15">
        <f t="shared" si="3"/>
        <v>0.99809345058194343</v>
      </c>
      <c r="D15">
        <f t="shared" si="3"/>
        <v>1.0067753508674617</v>
      </c>
      <c r="E15">
        <f t="shared" si="3"/>
        <v>1.0083499785532792</v>
      </c>
      <c r="F15">
        <f t="shared" si="3"/>
        <v>1.0038146734098552</v>
      </c>
      <c r="G15">
        <f t="shared" si="3"/>
        <v>1.0016566491563828</v>
      </c>
      <c r="H15">
        <f t="shared" si="3"/>
        <v>1.0017697758900754</v>
      </c>
      <c r="I15">
        <f t="shared" si="3"/>
        <v>1.0013911826743156</v>
      </c>
      <c r="J15">
        <f t="shared" si="3"/>
        <v>1.0033811828229799</v>
      </c>
      <c r="K15">
        <f t="shared" si="3"/>
        <v>1.0065914255826363</v>
      </c>
      <c r="L15">
        <f t="shared" si="3"/>
        <v>1.0110944473651957</v>
      </c>
      <c r="M15">
        <f t="shared" si="3"/>
        <v>1.0169771860596801</v>
      </c>
      <c r="N15">
        <f t="shared" si="3"/>
        <v>1.019691614001814</v>
      </c>
      <c r="O15">
        <f t="shared" si="3"/>
        <v>1.0224201152298382</v>
      </c>
      <c r="P15">
        <f t="shared" si="3"/>
        <v>1.0249438619882894</v>
      </c>
      <c r="Q15">
        <f t="shared" si="3"/>
        <v>1.0273611490092778</v>
      </c>
      <c r="R15">
        <f t="shared" si="3"/>
        <v>1.0298498593880909</v>
      </c>
      <c r="S15">
        <f t="shared" si="3"/>
        <v>1.0314899276337877</v>
      </c>
      <c r="T15">
        <f t="shared" si="3"/>
        <v>1.0335639277287079</v>
      </c>
      <c r="U15">
        <f t="shared" si="3"/>
        <v>1.0359360263491799</v>
      </c>
      <c r="V15">
        <f t="shared" si="3"/>
        <v>1.0382792788805237</v>
      </c>
      <c r="W15">
        <f t="shared" si="3"/>
        <v>1.0405560115564916</v>
      </c>
      <c r="X15">
        <f t="shared" si="3"/>
        <v>1.042265346347774</v>
      </c>
      <c r="Y15">
        <f t="shared" si="3"/>
        <v>1.0431878064701618</v>
      </c>
      <c r="Z15">
        <f t="shared" si="3"/>
        <v>1.0438977390766391</v>
      </c>
      <c r="AA15">
        <f t="shared" si="3"/>
        <v>1.0441175894023389</v>
      </c>
      <c r="AB15">
        <f t="shared" si="3"/>
        <v>1.0445992635161889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B7"/>
  <sheetViews>
    <sheetView workbookViewId="0"/>
  </sheetViews>
  <sheetFormatPr defaultColWidth="9.140625" defaultRowHeight="15"/>
  <cols>
    <col min="1" max="1" width="16.5703125" customWidth="1"/>
    <col min="3" max="3" width="12" bestFit="1" customWidth="1"/>
  </cols>
  <sheetData>
    <row r="1" spans="1:28">
      <c r="A1" t="s">
        <v>134</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119</v>
      </c>
      <c r="B2">
        <f>calcs!D3</f>
        <v>1</v>
      </c>
      <c r="C2">
        <f>calcs!E3</f>
        <v>1.0148128232823066</v>
      </c>
      <c r="D2">
        <f>calcs!F3</f>
        <v>1.0221431408687249</v>
      </c>
      <c r="E2">
        <f>calcs!G3</f>
        <v>1.0309346244042075</v>
      </c>
      <c r="F2">
        <f>calcs!H3</f>
        <v>1.0366028188829439</v>
      </c>
      <c r="G2">
        <f>calcs!I3</f>
        <v>1.0418613431090087</v>
      </c>
      <c r="H2">
        <f>calcs!J3</f>
        <v>1.0463685873418198</v>
      </c>
      <c r="I2">
        <f>calcs!K3</f>
        <v>1.050354876720244</v>
      </c>
      <c r="J2">
        <f>calcs!L3</f>
        <v>1.0545121452596431</v>
      </c>
      <c r="K2">
        <f>calcs!M3</f>
        <v>1.057243193132114</v>
      </c>
      <c r="L2">
        <f>calcs!N3</f>
        <v>1.0605887899562638</v>
      </c>
      <c r="M2">
        <f>calcs!O3</f>
        <v>1.0630652862847965</v>
      </c>
      <c r="N2">
        <f>calcs!P3</f>
        <v>1.0662585530511564</v>
      </c>
      <c r="O2">
        <f>calcs!Q3</f>
        <v>1.0698984396951898</v>
      </c>
      <c r="P2">
        <f>calcs!R3</f>
        <v>1.073598020898483</v>
      </c>
      <c r="Q2">
        <f>calcs!S3</f>
        <v>1.0766779115749203</v>
      </c>
      <c r="R2">
        <f>calcs!T3</f>
        <v>1.0799660796187018</v>
      </c>
      <c r="S2">
        <f>calcs!U3</f>
        <v>1.0823861929109699</v>
      </c>
      <c r="T2">
        <f>calcs!V3</f>
        <v>1.0846782025505202</v>
      </c>
      <c r="U2">
        <f>calcs!W3</f>
        <v>1.0866187550258442</v>
      </c>
      <c r="V2">
        <f>calcs!X3</f>
        <v>1.0887933798897405</v>
      </c>
      <c r="W2">
        <f>calcs!Y3</f>
        <v>1.0907378539054537</v>
      </c>
      <c r="X2">
        <f>calcs!Z3</f>
        <v>1.0924016327746333</v>
      </c>
      <c r="Y2">
        <f>calcs!AA3</f>
        <v>1.0932416267260274</v>
      </c>
      <c r="Z2">
        <f>calcs!AB3</f>
        <v>1.094209550039456</v>
      </c>
      <c r="AA2">
        <f>calcs!AC3</f>
        <v>1.0949302420176728</v>
      </c>
      <c r="AB2">
        <f>calcs!AD3</f>
        <v>1.0960616499926652</v>
      </c>
    </row>
    <row r="3" spans="1:28">
      <c r="A3" t="s">
        <v>117</v>
      </c>
      <c r="B3">
        <f>calcs!D4</f>
        <v>1</v>
      </c>
      <c r="C3">
        <f>calcs!E4</f>
        <v>1.0307023822785142</v>
      </c>
      <c r="D3">
        <f>calcs!F4</f>
        <v>1.0503320873358235</v>
      </c>
      <c r="E3">
        <f>calcs!G4</f>
        <v>1.0640101059467235</v>
      </c>
      <c r="F3">
        <f>calcs!H4</f>
        <v>1.0741264960603474</v>
      </c>
      <c r="G3">
        <f>calcs!I4</f>
        <v>1.0830005351146201</v>
      </c>
      <c r="H3">
        <f>calcs!J4</f>
        <v>1.0904279862145998</v>
      </c>
      <c r="I3">
        <f>calcs!K4</f>
        <v>1.096243514731049</v>
      </c>
      <c r="J3">
        <f>calcs!L4</f>
        <v>1.1016318387370911</v>
      </c>
      <c r="K3">
        <f>calcs!M4</f>
        <v>1.1075307549804874</v>
      </c>
      <c r="L3">
        <f>calcs!N4</f>
        <v>1.1129532985721018</v>
      </c>
      <c r="M3">
        <f>calcs!O4</f>
        <v>1.1187217301326182</v>
      </c>
      <c r="N3">
        <f>calcs!P4</f>
        <v>1.1236870820506806</v>
      </c>
      <c r="O3">
        <f>calcs!Q4</f>
        <v>1.1287961562281463</v>
      </c>
      <c r="P3">
        <f>calcs!R4</f>
        <v>1.1333913963127835</v>
      </c>
      <c r="Q3">
        <f>calcs!S4</f>
        <v>1.1379705171715853</v>
      </c>
      <c r="R3">
        <f>calcs!T4</f>
        <v>1.1425007400436349</v>
      </c>
      <c r="S3">
        <f>calcs!U4</f>
        <v>1.1462422915197874</v>
      </c>
      <c r="T3">
        <f>calcs!V4</f>
        <v>1.1499391774316143</v>
      </c>
      <c r="U3">
        <f>calcs!W4</f>
        <v>1.1532908957868671</v>
      </c>
      <c r="V3">
        <f>calcs!X4</f>
        <v>1.1565204142010108</v>
      </c>
      <c r="W3">
        <f>calcs!Y4</f>
        <v>1.1596350268488649</v>
      </c>
      <c r="X3">
        <f>calcs!Z4</f>
        <v>1.1623466588508362</v>
      </c>
      <c r="Y3">
        <f>calcs!AA4</f>
        <v>1.1649405034372062</v>
      </c>
      <c r="Z3">
        <f>calcs!AB4</f>
        <v>1.1671353296454972</v>
      </c>
      <c r="AA3">
        <f>calcs!AC4</f>
        <v>1.1691443795247467</v>
      </c>
      <c r="AB3">
        <f>calcs!AD4</f>
        <v>1.1710775159549514</v>
      </c>
    </row>
    <row r="4" spans="1:28">
      <c r="A4" t="s">
        <v>115</v>
      </c>
      <c r="B4">
        <f>calcs!D5</f>
        <v>1</v>
      </c>
      <c r="C4">
        <f>calcs!E5</f>
        <v>1.0094575910272034</v>
      </c>
      <c r="D4">
        <f>calcs!F5</f>
        <v>1.0422421487325464</v>
      </c>
      <c r="E4">
        <f>calcs!G5</f>
        <v>1.0623628030860433</v>
      </c>
      <c r="F4">
        <f>calcs!H5</f>
        <v>1.0716039127576542</v>
      </c>
      <c r="G4">
        <f>calcs!I5</f>
        <v>1.0857521820776621</v>
      </c>
      <c r="H4">
        <f>calcs!J5</f>
        <v>1.1041278182252716</v>
      </c>
      <c r="I4">
        <f>calcs!K5</f>
        <v>1.1216527818270872</v>
      </c>
      <c r="J4">
        <f>calcs!L5</f>
        <v>1.1436739098766582</v>
      </c>
      <c r="K4">
        <f>calcs!M5</f>
        <v>1.1676833777689293</v>
      </c>
      <c r="L4">
        <f>calcs!N5</f>
        <v>1.1941612431491795</v>
      </c>
      <c r="M4">
        <f>calcs!O5</f>
        <v>1.2233183327775097</v>
      </c>
      <c r="N4">
        <f>calcs!P5</f>
        <v>1.2454562690772317</v>
      </c>
      <c r="O4">
        <f>calcs!Q5</f>
        <v>1.2677327635312492</v>
      </c>
      <c r="P4">
        <f>calcs!R5</f>
        <v>1.2898168883151369</v>
      </c>
      <c r="Q4">
        <f>calcs!S5</f>
        <v>1.310945923682733</v>
      </c>
      <c r="R4">
        <f>calcs!T5</f>
        <v>1.332595656954747</v>
      </c>
      <c r="S4">
        <f>calcs!U5</f>
        <v>1.3528936033555798</v>
      </c>
      <c r="T4">
        <f>calcs!V5</f>
        <v>1.3743682975583771</v>
      </c>
      <c r="U4">
        <f>calcs!W5</f>
        <v>1.3972743260905442</v>
      </c>
      <c r="V4">
        <f>calcs!X5</f>
        <v>1.4201595579016162</v>
      </c>
      <c r="W4">
        <f>calcs!Y5</f>
        <v>1.4432453914182513</v>
      </c>
      <c r="X4">
        <f>calcs!Z5</f>
        <v>1.4653423408468149</v>
      </c>
      <c r="Y4">
        <f>calcs!AA5</f>
        <v>1.4854581426320566</v>
      </c>
      <c r="Z4">
        <f>calcs!AB5</f>
        <v>1.5058167461360834</v>
      </c>
      <c r="AA4">
        <f>calcs!AC5</f>
        <v>1.5251235554707256</v>
      </c>
      <c r="AB4">
        <f>calcs!AD5</f>
        <v>1.5449941292530545</v>
      </c>
    </row>
    <row r="5" spans="1:28">
      <c r="A5" t="s">
        <v>120</v>
      </c>
      <c r="B5">
        <f>calcs!D6</f>
        <v>1</v>
      </c>
      <c r="C5">
        <f>calcs!E6</f>
        <v>1.0324367173070559</v>
      </c>
      <c r="D5">
        <f>calcs!F6</f>
        <v>1.0648734346141118</v>
      </c>
      <c r="E5">
        <f>calcs!G6</f>
        <v>1.1134850518093471</v>
      </c>
      <c r="F5">
        <f>calcs!H6</f>
        <v>1.1506462997269236</v>
      </c>
      <c r="G5">
        <f>calcs!I6</f>
        <v>1.183058879722384</v>
      </c>
      <c r="H5">
        <f>calcs!J6</f>
        <v>1.2108931455141039</v>
      </c>
      <c r="I5">
        <f>calcs!K6</f>
        <v>1.2345255463271598</v>
      </c>
      <c r="J5">
        <f>calcs!L6</f>
        <v>1.2560120473035605</v>
      </c>
      <c r="K5">
        <f>calcs!M6</f>
        <v>1.2784251657467409</v>
      </c>
      <c r="L5">
        <f>calcs!N6</f>
        <v>1.2957967192751751</v>
      </c>
      <c r="M5">
        <f>calcs!O6</f>
        <v>1.3131794131012688</v>
      </c>
      <c r="N5">
        <f>calcs!P6</f>
        <v>1.3268421758672375</v>
      </c>
      <c r="O5">
        <f>calcs!Q6</f>
        <v>1.3414179788622134</v>
      </c>
      <c r="P5">
        <f>calcs!R6</f>
        <v>1.3547107909100742</v>
      </c>
      <c r="Q5">
        <f>calcs!S6</f>
        <v>1.3652879233139041</v>
      </c>
      <c r="R5">
        <f>calcs!T6</f>
        <v>1.3762506724794263</v>
      </c>
      <c r="S5">
        <f>calcs!U6</f>
        <v>1.3857035631777888</v>
      </c>
      <c r="T5">
        <f>calcs!V6</f>
        <v>1.3952048445441088</v>
      </c>
      <c r="U5">
        <f>calcs!W6</f>
        <v>1.4031384771491606</v>
      </c>
      <c r="V5">
        <f>calcs!X6</f>
        <v>1.4119216734955145</v>
      </c>
      <c r="W5">
        <f>calcs!Y6</f>
        <v>1.4213966126996609</v>
      </c>
      <c r="X5">
        <f>calcs!Z6</f>
        <v>1.4292179139699797</v>
      </c>
      <c r="Y5">
        <f>calcs!AA6</f>
        <v>1.4378002368241611</v>
      </c>
      <c r="Z5">
        <f>calcs!AB6</f>
        <v>1.4440223251565096</v>
      </c>
      <c r="AA5">
        <f>calcs!AC6</f>
        <v>1.449828160908603</v>
      </c>
      <c r="AB5">
        <f>calcs!AD6</f>
        <v>1.4553276384750604</v>
      </c>
    </row>
    <row r="6" spans="1:28">
      <c r="A6" t="s">
        <v>121</v>
      </c>
      <c r="B6">
        <f>'boat activity'!B15</f>
        <v>1</v>
      </c>
      <c r="C6">
        <f>'boat activity'!C15</f>
        <v>0.99809345058194343</v>
      </c>
      <c r="D6">
        <f>'boat activity'!D15</f>
        <v>1.0067753508674617</v>
      </c>
      <c r="E6">
        <f>'boat activity'!E15</f>
        <v>1.0083499785532792</v>
      </c>
      <c r="F6">
        <f>'boat activity'!F15</f>
        <v>1.0038146734098552</v>
      </c>
      <c r="G6">
        <f>'boat activity'!G15</f>
        <v>1.0016566491563828</v>
      </c>
      <c r="H6">
        <f>'boat activity'!H15</f>
        <v>1.0017697758900754</v>
      </c>
      <c r="I6">
        <f>'boat activity'!I15</f>
        <v>1.0013911826743156</v>
      </c>
      <c r="J6">
        <f>'boat activity'!J15</f>
        <v>1.0033811828229799</v>
      </c>
      <c r="K6">
        <f>'boat activity'!K15</f>
        <v>1.0065914255826363</v>
      </c>
      <c r="L6">
        <f>'boat activity'!L15</f>
        <v>1.0110944473651957</v>
      </c>
      <c r="M6">
        <f>'boat activity'!M15</f>
        <v>1.0169771860596801</v>
      </c>
      <c r="N6">
        <f>'boat activity'!N15</f>
        <v>1.019691614001814</v>
      </c>
      <c r="O6">
        <f>'boat activity'!O15</f>
        <v>1.0224201152298382</v>
      </c>
      <c r="P6">
        <f>'boat activity'!P15</f>
        <v>1.0249438619882894</v>
      </c>
      <c r="Q6">
        <f>'boat activity'!Q15</f>
        <v>1.0273611490092778</v>
      </c>
      <c r="R6">
        <f>'boat activity'!R15</f>
        <v>1.0298498593880909</v>
      </c>
      <c r="S6">
        <f>'boat activity'!S15</f>
        <v>1.0314899276337877</v>
      </c>
      <c r="T6">
        <f>'boat activity'!T15</f>
        <v>1.0335639277287079</v>
      </c>
      <c r="U6">
        <f>'boat activity'!U15</f>
        <v>1.0359360263491799</v>
      </c>
      <c r="V6">
        <f>'boat activity'!V15</f>
        <v>1.0382792788805237</v>
      </c>
      <c r="W6">
        <f>'boat activity'!W15</f>
        <v>1.0405560115564916</v>
      </c>
      <c r="X6">
        <f>'boat activity'!X15</f>
        <v>1.042265346347774</v>
      </c>
      <c r="Y6">
        <f>'boat activity'!Y15</f>
        <v>1.0431878064701618</v>
      </c>
      <c r="Z6">
        <f>'boat activity'!Z15</f>
        <v>1.0438977390766391</v>
      </c>
      <c r="AA6">
        <f>'boat activity'!AA15</f>
        <v>1.0441175894023389</v>
      </c>
      <c r="AB6">
        <f>'boat activity'!AB15</f>
        <v>1.0445992635161889</v>
      </c>
    </row>
    <row r="7" spans="1:28">
      <c r="A7" t="s">
        <v>122</v>
      </c>
      <c r="B7">
        <f>calcs!D8</f>
        <v>1</v>
      </c>
      <c r="C7">
        <f>calcs!E8</f>
        <v>1</v>
      </c>
      <c r="D7">
        <f>calcs!F8</f>
        <v>1.0069874254767137</v>
      </c>
      <c r="E7">
        <f>calcs!G8</f>
        <v>1.0161839026320174</v>
      </c>
      <c r="F7">
        <f>calcs!H8</f>
        <v>1.0224479516998086</v>
      </c>
      <c r="G7">
        <f>calcs!I8</f>
        <v>1.028511418050944</v>
      </c>
      <c r="H7">
        <f>calcs!J8</f>
        <v>1.0335455352531038</v>
      </c>
      <c r="I7">
        <f>calcs!K8</f>
        <v>1.0387351837548324</v>
      </c>
      <c r="J7">
        <f>calcs!L8</f>
        <v>1.0439840260848761</v>
      </c>
      <c r="K7">
        <f>calcs!M8</f>
        <v>1.0476920676818111</v>
      </c>
      <c r="L7">
        <f>calcs!N8</f>
        <v>1.0517649236077315</v>
      </c>
      <c r="M7">
        <f>calcs!O8</f>
        <v>1.0549224502729573</v>
      </c>
      <c r="N7">
        <f>calcs!P8</f>
        <v>1.0588988806677784</v>
      </c>
      <c r="O7">
        <f>calcs!Q8</f>
        <v>1.0633378894323395</v>
      </c>
      <c r="P7">
        <f>calcs!R8</f>
        <v>1.0677536503976219</v>
      </c>
      <c r="Q7">
        <f>calcs!S8</f>
        <v>1.0714377573284815</v>
      </c>
      <c r="R7">
        <f>calcs!T8</f>
        <v>1.0753604536054238</v>
      </c>
      <c r="S7">
        <f>calcs!U8</f>
        <v>1.0787205531398196</v>
      </c>
      <c r="T7">
        <f>calcs!V8</f>
        <v>1.0818120349207305</v>
      </c>
      <c r="U7">
        <f>calcs!W8</f>
        <v>1.0846685025852962</v>
      </c>
      <c r="V7">
        <f>calcs!X8</f>
        <v>1.0878748848529458</v>
      </c>
      <c r="W7">
        <f>calcs!Y8</f>
        <v>1.0909496352631638</v>
      </c>
      <c r="X7">
        <f>calcs!Z8</f>
        <v>1.093549478925236</v>
      </c>
      <c r="Y7">
        <f>calcs!AA8</f>
        <v>1.0953931526918275</v>
      </c>
      <c r="Z7">
        <f>calcs!AB8</f>
        <v>1.097183145176448</v>
      </c>
      <c r="AA7">
        <f>calcs!AC8</f>
        <v>1.0988109490371607</v>
      </c>
      <c r="AB7">
        <f>calcs!AD8</f>
        <v>1.100854219250136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3"/>
  </sheetPr>
  <dimension ref="A1:AB7"/>
  <sheetViews>
    <sheetView workbookViewId="0"/>
  </sheetViews>
  <sheetFormatPr defaultColWidth="9.140625" defaultRowHeight="15"/>
  <cols>
    <col min="1" max="1" width="16.5703125" customWidth="1"/>
  </cols>
  <sheetData>
    <row r="1" spans="1:28">
      <c r="A1" t="s">
        <v>134</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119</v>
      </c>
      <c r="B2">
        <f>calcs!D12</f>
        <v>1</v>
      </c>
      <c r="C2">
        <f>calcs!E12</f>
        <v>0.99945748585602567</v>
      </c>
      <c r="D2">
        <f>calcs!F12</f>
        <v>0.99663342553347722</v>
      </c>
      <c r="E2">
        <f>calcs!G12</f>
        <v>0.99926569011716337</v>
      </c>
      <c r="F2">
        <f>calcs!H12</f>
        <v>1.001524701868874</v>
      </c>
      <c r="G2">
        <f>calcs!I12</f>
        <v>1.004955724919552</v>
      </c>
      <c r="H2">
        <f>calcs!J12</f>
        <v>1.0132009430712945</v>
      </c>
      <c r="I2">
        <f>calcs!K12</f>
        <v>1.0200990013836215</v>
      </c>
      <c r="J2">
        <f>calcs!L12</f>
        <v>1.0288420513851775</v>
      </c>
      <c r="K2">
        <f>calcs!M12</f>
        <v>1.0363063154394105</v>
      </c>
      <c r="L2">
        <f>calcs!N12</f>
        <v>1.0457678730145341</v>
      </c>
      <c r="M2">
        <f>calcs!O12</f>
        <v>1.0559932380141159</v>
      </c>
      <c r="N2">
        <f>calcs!P12</f>
        <v>1.0666121791693306</v>
      </c>
      <c r="O2">
        <f>calcs!Q12</f>
        <v>1.0785767257119692</v>
      </c>
      <c r="P2">
        <f>calcs!R12</f>
        <v>1.0918662842834099</v>
      </c>
      <c r="Q2">
        <f>calcs!S12</f>
        <v>1.1055965601553241</v>
      </c>
      <c r="R2">
        <f>calcs!T12</f>
        <v>1.1199238119824564</v>
      </c>
      <c r="S2">
        <f>calcs!U12</f>
        <v>1.1333020184308777</v>
      </c>
      <c r="T2">
        <f>calcs!V12</f>
        <v>1.1461049938609686</v>
      </c>
      <c r="U2">
        <f>calcs!W12</f>
        <v>1.1562895357775684</v>
      </c>
      <c r="V2">
        <f>calcs!X12</f>
        <v>1.1662382326624232</v>
      </c>
      <c r="W2">
        <f>calcs!Y12</f>
        <v>1.1776606067751589</v>
      </c>
      <c r="X2">
        <f>calcs!Z12</f>
        <v>1.1896285816077652</v>
      </c>
      <c r="Y2">
        <f>calcs!AA12</f>
        <v>1.2023747541233956</v>
      </c>
      <c r="Z2">
        <f>calcs!AB12</f>
        <v>1.2138301301757373</v>
      </c>
      <c r="AA2">
        <f>calcs!AC12</f>
        <v>1.2261650151039702</v>
      </c>
      <c r="AB2">
        <f>calcs!AD12</f>
        <v>1.2377510427836469</v>
      </c>
    </row>
    <row r="3" spans="1:28">
      <c r="A3" t="s">
        <v>117</v>
      </c>
      <c r="B3">
        <f>calcs!D13</f>
        <v>1</v>
      </c>
      <c r="C3">
        <f>calcs!E13</f>
        <v>1.0245121206392416</v>
      </c>
      <c r="D3">
        <f>calcs!F13</f>
        <v>1.0366367697065633</v>
      </c>
      <c r="E3">
        <f>calcs!G13</f>
        <v>1.053135193265931</v>
      </c>
      <c r="F3">
        <f>calcs!H13</f>
        <v>1.0687768581124997</v>
      </c>
      <c r="G3">
        <f>calcs!I13</f>
        <v>1.0817746766588043</v>
      </c>
      <c r="H3">
        <f>calcs!J13</f>
        <v>1.0972462412390889</v>
      </c>
      <c r="I3">
        <f>calcs!K13</f>
        <v>1.1082098758804888</v>
      </c>
      <c r="J3">
        <f>calcs!L13</f>
        <v>1.120161949827752</v>
      </c>
      <c r="K3">
        <f>calcs!M13</f>
        <v>1.129879646894943</v>
      </c>
      <c r="L3">
        <f>calcs!N13</f>
        <v>1.1409429673495013</v>
      </c>
      <c r="M3">
        <f>calcs!O13</f>
        <v>1.1519049484859782</v>
      </c>
      <c r="N3">
        <f>calcs!P13</f>
        <v>1.1620650013490597</v>
      </c>
      <c r="O3">
        <f>calcs!Q13</f>
        <v>1.171525524364557</v>
      </c>
      <c r="P3">
        <f>calcs!R13</f>
        <v>1.1799498671722364</v>
      </c>
      <c r="Q3">
        <f>calcs!S13</f>
        <v>1.1877973745205348</v>
      </c>
      <c r="R3">
        <f>calcs!T13</f>
        <v>1.1958568655228989</v>
      </c>
      <c r="S3">
        <f>calcs!U13</f>
        <v>1.2036772413410655</v>
      </c>
      <c r="T3">
        <f>calcs!V13</f>
        <v>1.210957720783695</v>
      </c>
      <c r="U3">
        <f>calcs!W13</f>
        <v>1.2171727486584745</v>
      </c>
      <c r="V3">
        <f>calcs!X13</f>
        <v>1.2237448741569839</v>
      </c>
      <c r="W3">
        <f>calcs!Y13</f>
        <v>1.232354160949982</v>
      </c>
      <c r="X3">
        <f>calcs!Z13</f>
        <v>1.241220940607715</v>
      </c>
      <c r="Y3">
        <f>calcs!AA13</f>
        <v>1.2500164034093082</v>
      </c>
      <c r="Z3">
        <f>calcs!AB13</f>
        <v>1.2565376593151749</v>
      </c>
      <c r="AA3">
        <f>calcs!AC13</f>
        <v>1.2629947635529031</v>
      </c>
      <c r="AB3">
        <f>calcs!AD13</f>
        <v>1.2688550821999527</v>
      </c>
    </row>
    <row r="4" spans="1:28">
      <c r="A4" t="s">
        <v>115</v>
      </c>
      <c r="B4">
        <f>calcs!D14</f>
        <v>1</v>
      </c>
      <c r="C4">
        <f>calcs!E14</f>
        <v>1.0221311688085781</v>
      </c>
      <c r="D4">
        <f>calcs!F14</f>
        <v>1.0506709125433564</v>
      </c>
      <c r="E4">
        <f>calcs!G14</f>
        <v>1.0713139250923156</v>
      </c>
      <c r="F4">
        <f>calcs!H14</f>
        <v>1.0853690274850445</v>
      </c>
      <c r="G4">
        <f>calcs!I14</f>
        <v>1.1032493963698644</v>
      </c>
      <c r="H4">
        <f>calcs!J14</f>
        <v>1.1242326395290629</v>
      </c>
      <c r="I4">
        <f>calcs!K14</f>
        <v>1.1449156505013611</v>
      </c>
      <c r="J4">
        <f>calcs!L14</f>
        <v>1.1688926653541458</v>
      </c>
      <c r="K4">
        <f>calcs!M14</f>
        <v>1.1944801779736034</v>
      </c>
      <c r="L4">
        <f>calcs!N14</f>
        <v>1.2220075458016966</v>
      </c>
      <c r="M4">
        <f>calcs!O14</f>
        <v>1.2516079017067383</v>
      </c>
      <c r="N4">
        <f>calcs!P14</f>
        <v>1.2766308880184611</v>
      </c>
      <c r="O4">
        <f>calcs!Q14</f>
        <v>1.3019456344254641</v>
      </c>
      <c r="P4">
        <f>calcs!R14</f>
        <v>1.3273175576904277</v>
      </c>
      <c r="Q4">
        <f>calcs!S14</f>
        <v>1.3522056152065816</v>
      </c>
      <c r="R4">
        <f>calcs!T14</f>
        <v>1.3776494731665203</v>
      </c>
      <c r="S4">
        <f>calcs!U14</f>
        <v>1.4023138206136321</v>
      </c>
      <c r="T4">
        <f>calcs!V14</f>
        <v>1.4279673921225871</v>
      </c>
      <c r="U4">
        <f>calcs!W14</f>
        <v>1.4547966322718699</v>
      </c>
      <c r="V4">
        <f>calcs!X14</f>
        <v>1.4817929717397391</v>
      </c>
      <c r="W4">
        <f>calcs!Y14</f>
        <v>1.5091092205105292</v>
      </c>
      <c r="X4">
        <f>calcs!Z14</f>
        <v>1.5359134348039205</v>
      </c>
      <c r="Y4">
        <f>calcs!AA14</f>
        <v>1.5614961062281671</v>
      </c>
      <c r="Z4">
        <f>calcs!AB14</f>
        <v>1.587436518553397</v>
      </c>
      <c r="AA4">
        <f>calcs!AC14</f>
        <v>1.6128188855257721</v>
      </c>
      <c r="AB4">
        <f>calcs!AD14</f>
        <v>1.6388120044117711</v>
      </c>
    </row>
    <row r="5" spans="1:28">
      <c r="A5" t="s">
        <v>120</v>
      </c>
      <c r="B5">
        <f>calcs!D15</f>
        <v>1</v>
      </c>
      <c r="C5">
        <f>calcs!E15</f>
        <v>1.0230209862548021</v>
      </c>
      <c r="D5">
        <f>calcs!F15</f>
        <v>1.0008314415806128</v>
      </c>
      <c r="E5">
        <f>calcs!G15</f>
        <v>1.0341759289768822</v>
      </c>
      <c r="F5">
        <f>calcs!H15</f>
        <v>1.0140135663687915</v>
      </c>
      <c r="G5">
        <f>calcs!I15</f>
        <v>1.0070407414141334</v>
      </c>
      <c r="H5">
        <f>calcs!J15</f>
        <v>1.0147779589528849</v>
      </c>
      <c r="I5">
        <f>calcs!K15</f>
        <v>0.98981127105766753</v>
      </c>
      <c r="J5">
        <f>calcs!L15</f>
        <v>0.99502598518288565</v>
      </c>
      <c r="K5">
        <f>calcs!M15</f>
        <v>1.0004023628588501</v>
      </c>
      <c r="L5">
        <f>calcs!N15</f>
        <v>0.99862177685284181</v>
      </c>
      <c r="M5">
        <f>calcs!O15</f>
        <v>1.0029433984355176</v>
      </c>
      <c r="N5">
        <f>calcs!P15</f>
        <v>1.0063796557819815</v>
      </c>
      <c r="O5">
        <f>calcs!Q15</f>
        <v>1.0112508545769281</v>
      </c>
      <c r="P5">
        <f>calcs!R15</f>
        <v>1.0127210465655021</v>
      </c>
      <c r="Q5">
        <f>calcs!S15</f>
        <v>1.0158221477701728</v>
      </c>
      <c r="R5">
        <f>calcs!T15</f>
        <v>1.0178896274335549</v>
      </c>
      <c r="S5">
        <f>calcs!U15</f>
        <v>1.0180337051443915</v>
      </c>
      <c r="T5">
        <f>calcs!V15</f>
        <v>1.0159521094929196</v>
      </c>
      <c r="U5">
        <f>calcs!W15</f>
        <v>1.0145288393641967</v>
      </c>
      <c r="V5">
        <f>calcs!X15</f>
        <v>1.0156939998336054</v>
      </c>
      <c r="W5">
        <f>calcs!Y15</f>
        <v>1.0162311171234284</v>
      </c>
      <c r="X5">
        <f>calcs!Z15</f>
        <v>1.0194175451387859</v>
      </c>
      <c r="Y5">
        <f>calcs!AA15</f>
        <v>1.0264886299881908</v>
      </c>
      <c r="Z5">
        <f>calcs!AB15</f>
        <v>1.0308092263873745</v>
      </c>
      <c r="AA5">
        <f>calcs!AC15</f>
        <v>1.0289375567710675</v>
      </c>
      <c r="AB5">
        <f>calcs!AD15</f>
        <v>1.0277628542091517</v>
      </c>
    </row>
    <row r="6" spans="1:28">
      <c r="A6" t="s">
        <v>121</v>
      </c>
      <c r="B6">
        <f>calcs!D16</f>
        <v>1</v>
      </c>
      <c r="C6">
        <f>calcs!E16</f>
        <v>0.982722847791895</v>
      </c>
      <c r="D6">
        <f>calcs!F16</f>
        <v>0.97603732274084387</v>
      </c>
      <c r="E6">
        <f>calcs!G16</f>
        <v>0.9959167462856453</v>
      </c>
      <c r="F6">
        <f>calcs!H16</f>
        <v>1.0178247370572386</v>
      </c>
      <c r="G6">
        <f>calcs!I16</f>
        <v>1.03644476426239</v>
      </c>
      <c r="H6">
        <f>calcs!J16</f>
        <v>1.0560066899017855</v>
      </c>
      <c r="I6">
        <f>calcs!K16</f>
        <v>1.0742241117094886</v>
      </c>
      <c r="J6">
        <f>calcs!L16</f>
        <v>1.094513904985881</v>
      </c>
      <c r="K6">
        <f>calcs!M16</f>
        <v>1.1151402293144352</v>
      </c>
      <c r="L6">
        <f>calcs!N16</f>
        <v>1.1365283947745999</v>
      </c>
      <c r="M6">
        <f>calcs!O16</f>
        <v>1.1589696545569166</v>
      </c>
      <c r="N6">
        <f>calcs!P16</f>
        <v>1.1774495025730489</v>
      </c>
      <c r="O6">
        <f>calcs!Q16</f>
        <v>1.1926180382116436</v>
      </c>
      <c r="P6">
        <f>calcs!R16</f>
        <v>1.2078054851742159</v>
      </c>
      <c r="Q6">
        <f>calcs!S16</f>
        <v>1.2218328067205158</v>
      </c>
      <c r="R6">
        <f>calcs!T16</f>
        <v>1.2359667428916432</v>
      </c>
      <c r="S6">
        <f>calcs!U16</f>
        <v>1.2497452339375765</v>
      </c>
      <c r="T6">
        <f>calcs!V16</f>
        <v>1.2646282421952768</v>
      </c>
      <c r="U6">
        <f>calcs!W16</f>
        <v>1.2791165875275143</v>
      </c>
      <c r="V6">
        <f>calcs!X16</f>
        <v>1.2934841043099414</v>
      </c>
      <c r="W6">
        <f>calcs!Y16</f>
        <v>1.3092548206194776</v>
      </c>
      <c r="X6">
        <f>calcs!Z16</f>
        <v>1.3252181233085218</v>
      </c>
      <c r="Y6">
        <f>calcs!AA16</f>
        <v>1.3414104717749122</v>
      </c>
      <c r="Z6">
        <f>calcs!AB16</f>
        <v>1.3568517216373714</v>
      </c>
      <c r="AA6">
        <f>calcs!AC16</f>
        <v>1.3720102818966908</v>
      </c>
      <c r="AB6">
        <f>calcs!AD16</f>
        <v>1.3886730164742265</v>
      </c>
    </row>
    <row r="7" spans="1:28">
      <c r="A7" t="s">
        <v>122</v>
      </c>
      <c r="B7">
        <f>calcs!D17</f>
        <v>0</v>
      </c>
      <c r="C7">
        <f>calcs!E17</f>
        <v>0</v>
      </c>
      <c r="D7">
        <f>calcs!F17</f>
        <v>0</v>
      </c>
      <c r="E7">
        <f>calcs!G17</f>
        <v>0</v>
      </c>
      <c r="F7">
        <f>calcs!H17</f>
        <v>0</v>
      </c>
      <c r="G7">
        <f>calcs!I17</f>
        <v>0</v>
      </c>
      <c r="H7">
        <f>calcs!J17</f>
        <v>0</v>
      </c>
      <c r="I7">
        <f>calcs!K17</f>
        <v>0</v>
      </c>
      <c r="J7">
        <f>calcs!L17</f>
        <v>0</v>
      </c>
      <c r="K7">
        <f>calcs!M17</f>
        <v>0</v>
      </c>
      <c r="L7">
        <f>calcs!N17</f>
        <v>0</v>
      </c>
      <c r="M7">
        <f>calcs!O17</f>
        <v>0</v>
      </c>
      <c r="N7">
        <f>calcs!P17</f>
        <v>0</v>
      </c>
      <c r="O7">
        <f>calcs!Q17</f>
        <v>0</v>
      </c>
      <c r="P7">
        <f>calcs!R17</f>
        <v>0</v>
      </c>
      <c r="Q7">
        <f>calcs!S17</f>
        <v>0</v>
      </c>
      <c r="R7">
        <f>calcs!T17</f>
        <v>0</v>
      </c>
      <c r="S7">
        <f>calcs!U17</f>
        <v>0</v>
      </c>
      <c r="T7">
        <f>calcs!V17</f>
        <v>0</v>
      </c>
      <c r="U7">
        <f>calcs!W17</f>
        <v>0</v>
      </c>
      <c r="V7">
        <f>calcs!X17</f>
        <v>0</v>
      </c>
      <c r="W7">
        <f>calcs!Y17</f>
        <v>0</v>
      </c>
      <c r="X7">
        <f>calcs!Z17</f>
        <v>0</v>
      </c>
      <c r="Y7">
        <f>calcs!AA17</f>
        <v>0</v>
      </c>
      <c r="Z7">
        <f>calcs!AB17</f>
        <v>0</v>
      </c>
      <c r="AA7">
        <f>calcs!AC17</f>
        <v>0</v>
      </c>
      <c r="AB7">
        <f>calcs!AD17</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About</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calcs&gt;</vt:lpstr>
      <vt:lpstr>AEO 2022 Table 36</vt:lpstr>
      <vt:lpstr>calcs</vt:lpstr>
      <vt:lpstr>boat activity</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2017-06-26T22:04:22Z</dcterms:created>
  <dcterms:modified xsi:type="dcterms:W3CDTF">2026-10-16T18:35:17Z</dcterms:modified>
</cp:coreProperties>
</file>